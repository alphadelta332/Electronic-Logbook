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showInkAnnotation="0" codeName="ThisWorkbook" defaultThemeVersion="166925"/>
  <bookViews>
    <workbookView xWindow="-120" yWindow="-120" windowWidth="51840" windowHeight="21120" tabRatio="601" xr2:uid="{397D80DD-EB37-4143-8BA6-C487B151CCF9}"/>
  </bookViews>
  <sheets>
    <sheet name="Logbook" sheetId="16" r:id="rId1"/>
  </sheets>
  <definedNames>
    <definedName name="LogbookFilterHeaders">(Logbook!$C$5,Logbook!$G$5:$AU$5)</definedName>
    <definedName name="LogbookHeaders">Logbook!$C$2:$BL$4</definedName>
    <definedName name="LogbookSumTotals">Logbook!$S$7:$AW$7</definedName>
    <definedName name="LogbookTotals">Logbook!$I$7:$K$8</definedName>
  </definedNames>
  <calcPr calcId="191029" forceFullCalc="1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<sst xmlns="http://schemas.openxmlformats.org/spreadsheetml/2006/main" count="129" uniqueCount="94">
  <si>
    <t>Year</t>
  </si>
  <si>
    <t>PIC</t>
  </si>
  <si>
    <t>Other Pilot or Crew</t>
  </si>
  <si>
    <t>Landings</t>
  </si>
  <si>
    <t>Approaches</t>
  </si>
  <si>
    <t>ICUS</t>
  </si>
  <si>
    <t>Dual</t>
  </si>
  <si>
    <t>Command</t>
  </si>
  <si>
    <t>In Flight</t>
  </si>
  <si>
    <t>Sim</t>
  </si>
  <si>
    <t>Month</t>
  </si>
  <si>
    <t>Day</t>
  </si>
  <si>
    <t>Type</t>
  </si>
  <si>
    <t>Reg</t>
  </si>
  <si>
    <t>Night</t>
  </si>
  <si>
    <t>ILS</t>
  </si>
  <si>
    <t>VOR</t>
  </si>
  <si>
    <t>NDB</t>
  </si>
  <si>
    <t>DGA (CDI)</t>
  </si>
  <si>
    <t>DGA (Azi)</t>
  </si>
  <si>
    <t>Circling</t>
  </si>
  <si>
    <t>Grand Total Flying Hours</t>
  </si>
  <si>
    <t>Total Aeronautical Experience</t>
  </si>
  <si>
    <t>IPC</t>
  </si>
  <si>
    <t>Cumulative</t>
  </si>
  <si>
    <t>2D</t>
  </si>
  <si>
    <t>3D</t>
  </si>
  <si>
    <t>CDI</t>
  </si>
  <si>
    <t>Azimuth</t>
  </si>
  <si>
    <t>Date</t>
  </si>
  <si>
    <t>SeIcusDay</t>
  </si>
  <si>
    <t>SeIcusNight</t>
  </si>
  <si>
    <t>SeDualDay</t>
  </si>
  <si>
    <t>SeDualNight</t>
  </si>
  <si>
    <t>SeCommandDay</t>
  </si>
  <si>
    <t>SeCommandNight</t>
  </si>
  <si>
    <t>MeIcusDay</t>
  </si>
  <si>
    <t>MeIcusNight</t>
  </si>
  <si>
    <t>MeDualDay</t>
  </si>
  <si>
    <t>MeDualNight</t>
  </si>
  <si>
    <t>MeCommandDay</t>
  </si>
  <si>
    <t>MeCommandNight</t>
  </si>
  <si>
    <t>CopilotDay</t>
  </si>
  <si>
    <t>CopilotNight</t>
  </si>
  <si>
    <t>IfrIf</t>
  </si>
  <si>
    <t>IfrSim</t>
  </si>
  <si>
    <t>LandingsDay</t>
  </si>
  <si>
    <t>LandingsNight</t>
  </si>
  <si>
    <t>CumLandingsDay</t>
  </si>
  <si>
    <t>CumLandingsNight</t>
  </si>
  <si>
    <t>CumILS</t>
  </si>
  <si>
    <t>CumVOR</t>
  </si>
  <si>
    <t>CumNDB</t>
  </si>
  <si>
    <t>CumDgaCdi</t>
  </si>
  <si>
    <t>CumDgaAzi</t>
  </si>
  <si>
    <t>CumCirc</t>
  </si>
  <si>
    <t>CumTotalApps</t>
  </si>
  <si>
    <t>Cum2D</t>
  </si>
  <si>
    <t>Cum3D</t>
  </si>
  <si>
    <t>CumCDI</t>
  </si>
  <si>
    <t>CumAzi</t>
  </si>
  <si>
    <t>TotalApps</t>
  </si>
  <si>
    <t>TOTALS:</t>
  </si>
  <si>
    <t>Totals</t>
  </si>
  <si>
    <t>TotalHours</t>
  </si>
  <si>
    <t>CumTotalHours</t>
  </si>
  <si>
    <t>Filter here ⮧</t>
  </si>
  <si>
    <t>Custom 1</t>
  </si>
  <si>
    <t>Custom 2</t>
  </si>
  <si>
    <t>Custom 3</t>
  </si>
  <si>
    <t>Custom 4</t>
  </si>
  <si>
    <t>OPC</t>
  </si>
  <si>
    <t>FR</t>
  </si>
  <si>
    <t>AIRCRAFT</t>
  </si>
  <si>
    <t>DATE</t>
  </si>
  <si>
    <t>CREW</t>
  </si>
  <si>
    <t>CUSTOM ENTRIES</t>
  </si>
  <si>
    <t>SINGLE ENGINE</t>
  </si>
  <si>
    <t>MULTI ENGINE</t>
  </si>
  <si>
    <t>CO PILOT</t>
  </si>
  <si>
    <t>INSTRUMENT</t>
  </si>
  <si>
    <t>LANDINGS</t>
  </si>
  <si>
    <t>APPROACHES</t>
  </si>
  <si>
    <t>DETAILS</t>
  </si>
  <si>
    <t>From</t>
  </si>
  <si>
    <t>To</t>
  </si>
  <si>
    <t>Remarks</t>
  </si>
  <si>
    <t>CHECKS</t>
  </si>
  <si>
    <t>RNP</t>
  </si>
  <si>
    <t>CumRNP</t>
  </si>
  <si>
    <t>Flight ID</t>
  </si>
  <si>
    <t xml:space="preserve"> ⮦ Edit here ⮧          ⮧</t>
  </si>
  <si>
    <t>Via</t>
  </si>
  <si>
    <t>EntryID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</si>
</sst>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.0"/>
    <numFmt numFmtId="166" formatCode="0.0&quot;hrs&quot;"/>
    <numFmt numFmtId="167" formatCode="mmm"/>
    <numFmt numFmtId="168" formatCode="d"/>
    <numFmt numFmtId="169" formatCode="0;;;@"/>
    <numFmt numFmtId="170" formatCode="dd"/>
    <numFmt numFmtId="172" formatCode="dd/mm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3333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6" xfId="0" applyFont="1" applyBorder="1" applyAlignment="1" applyProtection="1">
      <alignment horizontal="center" vertical="center" wrapText="1"/>
      <protection locked="0"/>
    </xf>
    <xf numFmtId="168" fontId="2" fillId="0" borderId="16" xfId="0" applyNumberFormat="1" applyFont="1" applyBorder="1" applyAlignment="1" applyProtection="1">
      <alignment horizontal="center" vertical="center" wrapText="1"/>
      <protection locked="0"/>
    </xf>
    <xf numFmtId="170" fontId="2" fillId="0" borderId="16" xfId="0" applyNumberFormat="1" applyFont="1" applyBorder="1" applyAlignment="1" applyProtection="1">
      <alignment horizontal="center" vertical="center" wrapText="1"/>
      <protection locked="0"/>
    </xf>
    <xf numFmtId="169" fontId="2" fillId="0" borderId="16" xfId="0" applyNumberFormat="1" applyFont="1" applyBorder="1" applyAlignment="1" applyProtection="1">
      <alignment horizontal="center" vertical="center" wrapText="1"/>
      <protection locked="0"/>
    </xf>
    <xf numFmtId="165" fontId="2" fillId="0" borderId="16" xfId="0" applyNumberFormat="1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right" vertical="center" wrapText="1"/>
      <protection locked="0"/>
    </xf>
    <xf numFmtId="172" fontId="3" fillId="0" borderId="16" xfId="0" applyNumberFormat="1" applyFont="1" applyBorder="1" applyAlignment="1" applyProtection="1">
      <alignment horizontal="center" vertical="center" wrapText="1"/>
      <protection locked="0"/>
    </xf>
    <xf numFmtId="1" fontId="3" fillId="0" borderId="6" xfId="0" applyNumberFormat="1" applyFont="1" applyBorder="1" applyAlignment="1" applyProtection="1">
      <alignment horizontal="center" vertical="center" wrapText="1"/>
      <protection locked="0"/>
    </xf>
    <xf numFmtId="167" fontId="3" fillId="0" borderId="11" xfId="0" applyNumberFormat="1" applyFont="1" applyBorder="1" applyAlignment="1" applyProtection="1">
      <alignment horizontal="center" vertical="center" wrapText="1"/>
      <protection locked="0"/>
    </xf>
    <xf numFmtId="170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1" fontId="3" fillId="0" borderId="11" xfId="0" applyNumberFormat="1" applyFont="1" applyBorder="1" applyAlignment="1" applyProtection="1">
      <alignment horizontal="center" vertical="center"/>
      <protection locked="0"/>
    </xf>
    <xf numFmtId="165" fontId="4" fillId="0" borderId="6" xfId="0" applyNumberFormat="1" applyFont="1" applyBorder="1" applyAlignment="1" applyProtection="1">
      <alignment horizontal="center" vertical="center" wrapText="1"/>
      <protection locked="0"/>
    </xf>
    <xf numFmtId="169" fontId="4" fillId="0" borderId="11" xfId="0" applyNumberFormat="1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65" fontId="5" fillId="0" borderId="11" xfId="0" applyNumberFormat="1" applyFont="1" applyBorder="1" applyAlignment="1" applyProtection="1">
      <alignment horizontal="center" vertical="center" wrapText="1"/>
      <protection locked="0"/>
    </xf>
    <xf numFmtId="1" fontId="5" fillId="0" borderId="5" xfId="0" applyNumberFormat="1" applyFont="1" applyBorder="1" applyAlignment="1" applyProtection="1">
      <alignment horizontal="center" vertical="center" wrapText="1"/>
      <protection locked="0"/>
    </xf>
    <xf numFmtId="1" fontId="5" fillId="0" borderId="11" xfId="0" applyNumberFormat="1" applyFont="1" applyBorder="1" applyAlignment="1" applyProtection="1">
      <alignment horizontal="center" vertical="center" wrapText="1"/>
      <protection locked="0"/>
    </xf>
    <xf numFmtId="1" fontId="5" fillId="0" borderId="27" xfId="0" applyNumberFormat="1" applyFont="1" applyBorder="1" applyAlignment="1" applyProtection="1">
      <alignment horizontal="center" vertical="center" wrapText="1"/>
      <protection locked="0"/>
    </xf>
    <xf numFmtId="1" fontId="2" fillId="0" borderId="16" xfId="0" applyNumberFormat="1" applyFont="1" applyBorder="1" applyProtection="1">
      <protection locked="0"/>
    </xf>
    <xf numFmtId="0" fontId="2" fillId="0" borderId="16" xfId="0" applyFont="1" applyBorder="1" applyProtection="1">
      <protection locked="0"/>
    </xf>
    <xf numFmtId="165" fontId="2" fillId="0" borderId="0" xfId="0" applyNumberFormat="1" applyFont="1" applyAlignment="1" applyProtection="1">
      <alignment horizontal="center"/>
      <protection locked="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167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1" fontId="2" fillId="0" borderId="16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 wrapText="1"/>
    </xf>
    <xf numFmtId="172" fontId="2" fillId="3" borderId="0" xfId="0" applyNumberFormat="1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167" fontId="2" fillId="3" borderId="0" xfId="0" applyNumberFormat="1" applyFont="1" applyFill="1" applyAlignment="1">
      <alignment horizontal="center" vertical="center" wrapText="1"/>
    </xf>
    <xf numFmtId="170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170" fontId="6" fillId="4" borderId="26" xfId="0" applyNumberFormat="1" applyFont="1" applyFill="1" applyBorder="1" applyAlignment="1">
      <alignment vertical="center" wrapText="1"/>
    </xf>
    <xf numFmtId="172" fontId="2" fillId="0" borderId="16" xfId="0" applyNumberFormat="1" applyFont="1" applyBorder="1" applyAlignment="1">
      <alignment horizontal="center" vertical="center" wrapText="1"/>
    </xf>
    <xf numFmtId="172" fontId="8" fillId="5" borderId="18" xfId="0" applyNumberFormat="1" applyFont="1" applyFill="1" applyBorder="1" applyAlignment="1">
      <alignment horizontal="center" vertical="center"/>
    </xf>
    <xf numFmtId="1" fontId="8" fillId="5" borderId="18" xfId="0" applyNumberFormat="1" applyFont="1" applyFill="1" applyBorder="1" applyAlignment="1">
      <alignment horizontal="center" vertical="center"/>
    </xf>
    <xf numFmtId="167" fontId="8" fillId="5" borderId="18" xfId="0" applyNumberFormat="1" applyFont="1" applyFill="1" applyBorder="1" applyAlignment="1">
      <alignment horizontal="center"/>
    </xf>
    <xf numFmtId="170" fontId="8" fillId="5" borderId="18" xfId="0" applyNumberFormat="1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8" xfId="0" applyFont="1" applyFill="1" applyBorder="1" applyAlignment="1">
      <alignment horizontal="right"/>
    </xf>
    <xf numFmtId="0" fontId="6" fillId="0" borderId="37" xfId="0" applyFont="1" applyBorder="1" applyAlignment="1">
      <alignment horizontal="right"/>
    </xf>
    <xf numFmtId="0" fontId="6" fillId="0" borderId="33" xfId="0" applyFont="1" applyBorder="1" applyAlignment="1">
      <alignment horizontal="right"/>
    </xf>
    <xf numFmtId="166" fontId="7" fillId="0" borderId="19" xfId="0" applyNumberFormat="1" applyFont="1" applyBorder="1" applyAlignment="1">
      <alignment horizontal="center" vertical="center"/>
    </xf>
    <xf numFmtId="0" fontId="8" fillId="5" borderId="17" xfId="0" applyFont="1" applyFill="1" applyBorder="1" applyAlignment="1">
      <alignment horizontal="right"/>
    </xf>
    <xf numFmtId="0" fontId="8" fillId="5" borderId="18" xfId="0" applyFont="1" applyFill="1" applyBorder="1" applyAlignment="1">
      <alignment horizontal="right"/>
    </xf>
    <xf numFmtId="166" fontId="8" fillId="5" borderId="18" xfId="0" applyNumberFormat="1" applyFont="1" applyFill="1" applyBorder="1" applyAlignment="1">
      <alignment horizontal="center" vertical="center"/>
    </xf>
    <xf numFmtId="165" fontId="8" fillId="6" borderId="18" xfId="0" applyNumberFormat="1" applyFont="1" applyFill="1" applyBorder="1" applyAlignment="1">
      <alignment horizontal="center"/>
    </xf>
    <xf numFmtId="1" fontId="8" fillId="6" borderId="18" xfId="0" applyNumberFormat="1" applyFont="1" applyFill="1" applyBorder="1" applyAlignment="1">
      <alignment horizontal="center"/>
    </xf>
    <xf numFmtId="165" fontId="8" fillId="6" borderId="17" xfId="0" applyNumberFormat="1" applyFont="1" applyFill="1" applyBorder="1" applyAlignment="1">
      <alignment horizontal="center"/>
    </xf>
    <xf numFmtId="1" fontId="8" fillId="6" borderId="18" xfId="0" applyNumberFormat="1" applyFont="1" applyFill="1" applyBorder="1" applyAlignment="1">
      <alignment horizontal="center" vertical="center" wrapText="1"/>
    </xf>
    <xf numFmtId="0" fontId="8" fillId="5" borderId="18" xfId="0" applyFont="1" applyFill="1" applyBorder="1"/>
    <xf numFmtId="0" fontId="8" fillId="5" borderId="18" xfId="0" applyFont="1" applyFill="1" applyBorder="1" applyAlignment="1">
      <alignment horizontal="center" vertical="center" wrapText="1"/>
    </xf>
    <xf numFmtId="1" fontId="8" fillId="5" borderId="18" xfId="0" applyNumberFormat="1" applyFont="1" applyFill="1" applyBorder="1"/>
    <xf numFmtId="0" fontId="3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right" vertical="center"/>
    </xf>
    <xf numFmtId="0" fontId="7" fillId="4" borderId="31" xfId="0" applyFont="1" applyFill="1" applyBorder="1" applyAlignment="1">
      <alignment horizontal="right" vertical="center"/>
    </xf>
    <xf numFmtId="0" fontId="7" fillId="4" borderId="30" xfId="0" applyFont="1" applyFill="1" applyBorder="1" applyAlignment="1">
      <alignment horizontal="right" vertical="center"/>
    </xf>
    <xf numFmtId="166" fontId="7" fillId="4" borderId="32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8" fillId="5" borderId="39" xfId="0" applyFont="1" applyFill="1" applyBorder="1"/>
    <xf numFmtId="0" fontId="7" fillId="4" borderId="2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9" fontId="7" fillId="4" borderId="3" xfId="0" applyNumberFormat="1" applyFont="1" applyFill="1" applyBorder="1" applyAlignment="1">
      <alignment horizontal="center" vertical="center" wrapText="1"/>
    </xf>
    <xf numFmtId="169" fontId="7" fillId="4" borderId="4" xfId="0" applyNumberFormat="1" applyFont="1" applyFill="1" applyBorder="1" applyAlignment="1">
      <alignment horizontal="center" vertical="center" wrapText="1"/>
    </xf>
    <xf numFmtId="169" fontId="7" fillId="4" borderId="0" xfId="0" applyNumberFormat="1" applyFont="1" applyFill="1" applyAlignment="1">
      <alignment horizontal="center" vertical="center" wrapText="1"/>
    </xf>
    <xf numFmtId="169" fontId="7" fillId="4" borderId="6" xfId="0" applyNumberFormat="1" applyFont="1" applyFill="1" applyBorder="1" applyAlignment="1">
      <alignment horizontal="center" vertical="center" wrapText="1"/>
    </xf>
    <xf numFmtId="169" fontId="7" fillId="4" borderId="8" xfId="0" applyNumberFormat="1" applyFont="1" applyFill="1" applyBorder="1" applyAlignment="1">
      <alignment horizontal="center" vertical="center" wrapText="1"/>
    </xf>
    <xf numFmtId="169" fontId="7" fillId="4" borderId="9" xfId="0" applyNumberFormat="1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170" fontId="7" fillId="4" borderId="25" xfId="0" applyNumberFormat="1" applyFont="1" applyFill="1" applyBorder="1" applyAlignment="1">
      <alignment horizontal="center" vertical="center" wrapText="1"/>
    </xf>
    <xf numFmtId="170" fontId="7" fillId="4" borderId="22" xfId="0" applyNumberFormat="1" applyFont="1" applyFill="1" applyBorder="1" applyAlignment="1">
      <alignment horizontal="center" vertical="center" wrapText="1"/>
    </xf>
    <xf numFmtId="170" fontId="7" fillId="4" borderId="23" xfId="0" applyNumberFormat="1" applyFont="1" applyFill="1" applyBorder="1" applyAlignment="1">
      <alignment horizontal="center" vertical="center" wrapText="1"/>
    </xf>
    <xf numFmtId="170" fontId="7" fillId="4" borderId="16" xfId="0" applyNumberFormat="1" applyFont="1" applyFill="1" applyBorder="1" applyAlignment="1">
      <alignment horizontal="center" vertical="center" wrapText="1"/>
    </xf>
    <xf numFmtId="170" fontId="7" fillId="4" borderId="0" xfId="0" applyNumberFormat="1" applyFont="1" applyFill="1" applyAlignment="1">
      <alignment horizontal="center" vertical="center" wrapText="1"/>
    </xf>
    <xf numFmtId="170" fontId="7" fillId="4" borderId="6" xfId="0" applyNumberFormat="1" applyFont="1" applyFill="1" applyBorder="1" applyAlignment="1">
      <alignment horizontal="center" vertical="center" wrapText="1"/>
    </xf>
    <xf numFmtId="170" fontId="6" fillId="4" borderId="8" xfId="0" applyNumberFormat="1" applyFont="1" applyFill="1" applyBorder="1" applyAlignment="1">
      <alignment horizontal="left" vertical="center"/>
    </xf>
    <xf numFmtId="170" fontId="6" fillId="4" borderId="9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5" formatCode="0.0"/>
      <fill>
        <patternFill patternType="solid">
          <fgColor indexed="64"/>
          <bgColor rgb="FF33333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6" formatCode="0.0&quot;hrs&quot;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6" formatCode="0.0&quot;hrs&quot;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6" formatCode="0.0&quot;hrs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70" formatCode="dd"/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67" formatCode="mmm"/>
      <fill>
        <patternFill patternType="solid">
          <fgColor indexed="64"/>
          <bgColor rgb="FF0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" formatCode="0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numFmt numFmtId="172" formatCode="dd/mm/yyyy"/>
      <fill>
        <patternFill patternType="solid">
          <fgColor indexed="64"/>
          <bgColor rgb="FF0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 style="double">
          <color rgb="FF000000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righ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9" formatCode="0;;;@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/>
        <bottom/>
      </border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0" formatCode="dd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d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mmm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72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border>
        <top style="double">
          <color rgb="FF000000"/>
        </top>
      </border>
    </dxf>
    <dxf>
      <font>
        <b val="0"/>
        <i val="0"/>
        <strike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0"/>
    </dxf>
    <dxf>
      <border outline="0">
        <right style="thin">
          <color indexed="64"/>
        </right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A3A3"/>
      <color rgb="FFD9D9D9"/>
      <color rgb="FFF2F2F2"/>
      <color rgb="FFFFE5F6"/>
      <color rgb="FFFECCB0"/>
      <color rgb="FFEEDDFF"/>
      <color rgb="FFCC99FF"/>
      <color rgb="FFB9FFFF"/>
      <color rgb="FFFF7C8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microsoft.com/office/2022/11/relationships/FeaturePropertyBag" Target="featurePropertyBag/featurePropertyBag.xml" /><Relationship Id="rId4" Type="http://schemas.openxmlformats.org/officeDocument/2006/relationships/sharedStrings" Target="sharedStrings.xml" 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553CE-740D-485A-AA62-0CD4E6CBE42E}" name="Logbook" displayName="Logbook" ref="B5:BL7" totalsRowCount="1" headerRowDxfId="130" dataDxfId="129" totalsRowDxfId="127" tableBorderDxfId="128" totalsRowBorderDxfId="126">
  <autoFilter ref="B5:BL6" xr:uid="{850553CE-740D-485A-AA62-0CD4E6CBE42E}">
    <filterColumn colId="0" hiddenButton="1"/>
    <filterColumn colId="2" hiddenButton="1"/>
    <filterColumn colId="3" hiddenButton="1"/>
    <filterColumn colId="4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</autoFilter>
  <sortState xmlns:xlrd2="http://schemas.microsoft.com/office/spreadsheetml/2017/richdata2" ref="C6:BL6">
    <sortCondition ref="C6"/>
  </sortState>
  <tableColumns count="63">
    <tableColumn id="56" xr3:uid="{D480B3D9-F0FD-4EFA-B700-B58C42026787}" name="EntryID" dataDxfId="125" totalsRowDxfId="62"/>
    <tableColumn id="1" xr3:uid="{4A9F7973-DB93-445C-A438-9DA51DE4C8E6}" name="Date" dataDxfId="124" totalsRowDxfId="61">
      <calculatedColumnFormula>IFERROR(IF(DAY(DATE(Logbook[[#This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Row],[Day]]))))&lt;&gt;IF(ISNUMBER(Logbook[[#This Row],[Day]]),IF(Logbook[[#This Row],[Day]]&gt;31,DAY(Logbook[[#This Row],[Day]]),Logbook[[#This Row],[Day]]),VALUE(Logbook[[#This Row],[Day]])),NA(),DATE(Logbook[[#This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Row],[Day]])))),NA())</calculatedColumnFormula>
    </tableColumn>
    <tableColumn id="53" xr3:uid="{5DE4E2FA-DD37-47CC-B3B2-F1F7CE60F8EF}" name="Year" dataDxfId="123" totalsRowDxfId="60"/>
    <tableColumn id="2" xr3:uid="{7F2FD0DE-1EBD-4A25-9AB2-8B2FD2016437}" name="Month" dataDxfId="122" totalsRowDxfId="59"/>
    <tableColumn id="3" xr3:uid="{C1637A1C-51D7-4EF1-B132-362CD3F92571}" name="Day" dataDxfId="121" totalsRowDxfId="58"/>
    <tableColumn id="4" xr3:uid="{96485EE2-5F0F-4FA0-B939-E32C66C44C7A}" name="Type" dataDxfId="120" totalsRowDxfId="57"/>
    <tableColumn id="5" xr3:uid="{4F0FBA5D-D369-4B9F-89AE-FEDEFC370AFE}" name="Reg" dataDxfId="119" totalsRowDxfId="56"/>
    <tableColumn id="59" xr3:uid="{08CD5548-8146-40A6-94B9-0F79712B2ABF}" name="Flight ID" dataDxfId="118" totalsRowDxfId="55"/>
    <tableColumn id="6" xr3:uid="{0E4DB6A7-0018-4A8F-AFD7-61529B568497}" name="PIC" totalsRowLabel="Grand Total Flying Hours" dataDxfId="117" totalsRowDxfId="54"/>
    <tableColumn id="7" xr3:uid="{7D9307E7-1F1E-42B0-9A4E-D7903D4B651E}" name="Other Pilot or Crew" totalsRowFunction="custom" dataDxfId="116" totalsRowDxfId="53">
      <totalsRowFormula>SUBTOTAL(109,Logbook[TotalHours])</totalsRowFormula>
    </tableColumn>
    <tableColumn id="62" xr3:uid="{35D88777-AA03-4EF0-B227-9E2048B1AA5E}" name="From" dataDxfId="115" totalsRowDxfId="52"/>
    <tableColumn id="60" xr3:uid="{7742768E-54CE-4898-B717-E41D101B8D07}" name="To" dataDxfId="114" totalsRowDxfId="51"/>
    <tableColumn id="64" xr3:uid="{8831D28C-8B2A-4FCF-A3EC-8584D90657FE}" name="Via" dataDxfId="113" totalsRowDxfId="50"/>
    <tableColumn id="63" xr3:uid="{51D1410F-0100-42EB-81DF-35978C12F28B}" name="Remarks" dataDxfId="112" totalsRowDxfId="49"/>
    <tableColumn id="58" xr3:uid="{15C88657-9674-4D76-90C3-DC868F8A7B1B}" name="FR" dataDxfId="111" totalsRowDxfId="48"/>
    <tableColumn id="38" xr3:uid="{17B82195-E8EA-4688-97B0-F2E1AD927F10}" name="IPC" dataDxfId="110" totalsRowDxfId="47"/>
    <tableColumn id="8" xr3:uid="{50C057AA-9B70-4B51-A37B-5531F77284BF}" name="OPC" totalsRowLabel="TOTALS:" dataDxfId="109" totalsRowDxfId="46"/>
    <tableColumn id="9" xr3:uid="{C53B3FE9-B5B3-4FE4-9D2F-CC5CB5F157FB}" name="Custom 1" totalsRowFunction="sum" dataDxfId="108" totalsRowDxfId="45"/>
    <tableColumn id="10" xr3:uid="{D4DF1EA3-5D43-434F-AEBE-A605D9FFD457}" name="Custom 2" totalsRowFunction="sum" dataDxfId="107" totalsRowDxfId="44"/>
    <tableColumn id="11" xr3:uid="{741C7510-6E1A-49A3-9C9E-E42097510CEC}" name="Custom 3" totalsRowFunction="sum" dataDxfId="106" totalsRowDxfId="43"/>
    <tableColumn id="57" xr3:uid="{4E4B2A2B-F980-49E5-9F31-D9E96FB9A587}" name="Custom 4" totalsRowFunction="sum" dataDxfId="105" totalsRowDxfId="42"/>
    <tableColumn id="12" xr3:uid="{EC4A1A18-0A2D-49AC-BFCD-E01030F64888}" name="SeIcusDay" totalsRowFunction="sum" dataDxfId="104" totalsRowDxfId="41"/>
    <tableColumn id="13" xr3:uid="{40EA09A9-61CC-4653-B74B-0553995DCA63}" name="SeIcusNight" totalsRowFunction="sum" dataDxfId="103" totalsRowDxfId="40"/>
    <tableColumn id="14" xr3:uid="{482A4ED7-9580-4817-A603-06ECE9BF848E}" name="SeDualDay" totalsRowFunction="sum" dataDxfId="102" totalsRowDxfId="39"/>
    <tableColumn id="15" xr3:uid="{ECD3AC03-3033-4736-ACF4-108BA4CADCA9}" name="SeDualNight" totalsRowFunction="sum" dataDxfId="101" totalsRowDxfId="38"/>
    <tableColumn id="16" xr3:uid="{0D5B8F94-E65D-4CF8-BCFB-AB7B435439E4}" name="SeCommandDay" totalsRowFunction="sum" dataDxfId="100" totalsRowDxfId="37"/>
    <tableColumn id="17" xr3:uid="{4A01EC43-EE14-4A57-8790-63AD1C10441E}" name="SeCommandNight" totalsRowFunction="sum" dataDxfId="99" totalsRowDxfId="36"/>
    <tableColumn id="18" xr3:uid="{A2239AA3-C2C3-451B-A2A2-60C04EDEE6F8}" name="MeIcusDay" totalsRowFunction="sum" dataDxfId="98" totalsRowDxfId="35"/>
    <tableColumn id="19" xr3:uid="{ECBDA53E-F388-4471-8A51-D64F6CA99F19}" name="MeIcusNight" totalsRowFunction="sum" dataDxfId="97" totalsRowDxfId="34"/>
    <tableColumn id="20" xr3:uid="{27DA3BE1-5062-4E05-9011-130B57ABC06D}" name="MeDualDay" totalsRowFunction="sum" dataDxfId="96" totalsRowDxfId="33"/>
    <tableColumn id="21" xr3:uid="{29820283-7307-4F78-B87D-C36611B4DDD3}" name="MeDualNight" totalsRowFunction="sum" dataDxfId="95" totalsRowDxfId="32"/>
    <tableColumn id="22" xr3:uid="{152C87A1-34A8-4A96-8523-01A7DF8751C5}" name="MeCommandDay" totalsRowFunction="sum" dataDxfId="94" totalsRowDxfId="31"/>
    <tableColumn id="23" xr3:uid="{61E0C9F1-CFD0-42E5-A7DC-2C41309F344C}" name="MeCommandNight" totalsRowFunction="sum" dataDxfId="93" totalsRowDxfId="30"/>
    <tableColumn id="24" xr3:uid="{ADC4E9A8-C2BB-4203-AD5D-C0E8E6DD1FEF}" name="CopilotDay" totalsRowFunction="sum" dataDxfId="92" totalsRowDxfId="29"/>
    <tableColumn id="25" xr3:uid="{FAA08A34-D45C-4AB5-83C7-9DB2A8B0C2E3}" name="CopilotNight" totalsRowFunction="sum" dataDxfId="91" totalsRowDxfId="28"/>
    <tableColumn id="26" xr3:uid="{2C960429-5AF1-4AB6-A6DC-6DA0D3E44FE8}" name="IfrIf" totalsRowFunction="sum" dataDxfId="90" totalsRowDxfId="27"/>
    <tableColumn id="27" xr3:uid="{FADE530A-F0C4-4ADF-96CA-8E4406906F48}" name="IfrSim" totalsRowFunction="sum" dataDxfId="89" totalsRowDxfId="26"/>
    <tableColumn id="28" xr3:uid="{1ABCF964-1A5D-4D44-94AD-A0AEA9405B55}" name="LandingsDay" totalsRowFunction="sum" dataDxfId="88" totalsRowDxfId="25"/>
    <tableColumn id="29" xr3:uid="{402C33EC-355B-4E27-9EDC-61E77D1949DA}" name="LandingsNight" totalsRowFunction="sum" dataDxfId="87" totalsRowDxfId="24"/>
    <tableColumn id="30" xr3:uid="{B49D717E-472F-4145-9125-1A5E9E338FAD}" name="ILS" totalsRowFunction="sum" dataDxfId="86" totalsRowDxfId="23"/>
    <tableColumn id="31" xr3:uid="{3D63FAA1-0E05-4BEC-9D6B-6D9D19465958}" name="VOR" totalsRowFunction="sum" dataDxfId="85" totalsRowDxfId="22"/>
    <tableColumn id="32" xr3:uid="{00BE2531-4BA9-460D-B922-80C609F07A18}" name="RNP" totalsRowFunction="sum" dataDxfId="84" totalsRowDxfId="21"/>
    <tableColumn id="33" xr3:uid="{DCC3F16C-616F-41F1-BA39-755856D47AF1}" name="NDB" totalsRowFunction="sum" dataDxfId="83" totalsRowDxfId="20"/>
    <tableColumn id="34" xr3:uid="{19FB5B5C-450E-4FCD-B6AD-F55217E6EEFE}" name="DGA (CDI)" totalsRowFunction="sum" dataDxfId="82" totalsRowDxfId="19"/>
    <tableColumn id="35" xr3:uid="{6D9A8927-28A8-42D9-8C00-39BDAD87B064}" name="DGA (Azi)" totalsRowFunction="sum" dataDxfId="81" totalsRowDxfId="18"/>
    <tableColumn id="36" xr3:uid="{F52CFC91-2462-4865-A135-E24F1A59D2F9}" name="Circling" totalsRowFunction="sum" dataDxfId="80" totalsRowDxfId="17"/>
    <tableColumn id="54" xr3:uid="{FA8413FA-CA54-4EB0-A142-59A7B4A9BE3A}" name="TotalHours" totalsRowFunction="sum" dataDxfId="79" totalsRowDxfId="16">
      <calculatedColumnFormula>SUM(Logbook[[#This Row],[SeIcusDay]:[CopilotNight]])</calculatedColumnFormula>
    </tableColumn>
    <tableColumn id="37" xr3:uid="{6F315B7F-6161-4654-A259-C403C03FD38C}" name="TotalApps" totalsRowFunction="sum" dataDxfId="78" totalsRowDxfId="15">
      <calculatedColumnFormula>SUM(Logbook[[#This Row],[ILS]:[DGA (Azi)]])</calculatedColumnFormula>
    </tableColumn>
    <tableColumn id="39" xr3:uid="{FC445918-ECBA-41EC-A2CD-AAD3627DAC1A}" name="CumLandingsDay" dataDxfId="77" totalsRowDxfId="14">
      <calculatedColumnFormula>IF(ROW()-ROW(Logbook[#Headers])=ROWS(Logbook[CumLandingsDay]),Logbook[[#This Row],[LandingsDay]],Logbook[[#This Row],[LandingsDay]]+INDEX(Logbook[CumLandingsDay],ROW()-ROW(Logbook[#Headers])+1))</calculatedColumnFormula>
    </tableColumn>
    <tableColumn id="40" xr3:uid="{7EDEE77D-C37A-462D-A6BA-2FE217273635}" name="CumLandingsNight" dataDxfId="76" totalsRowDxfId="13">
      <calculatedColumnFormula>IF(ROW()-ROW(Logbook[#Headers])=ROWS(Logbook[CumLandingsNight]),Logbook[[#This Row],[LandingsNight]],Logbook[[#This Row],[LandingsNight]]+INDEX(Logbook[CumLandingsNight],ROW()-ROW(Logbook[#Headers])+1))</calculatedColumnFormula>
    </tableColumn>
    <tableColumn id="41" xr3:uid="{26B7EE4D-23EF-49CC-B3B7-76C866CA9AB5}" name="CumILS" dataDxfId="75" totalsRowDxfId="12">
      <calculatedColumnFormula>IF(ROW()-ROW(Logbook[#Headers])=ROWS(Logbook[CumILS]),Logbook[[#This Row],[ILS]],Logbook[[#This Row],[ILS]]+INDEX(Logbook[CumILS],ROW()-ROW(Logbook[#Headers])+1))</calculatedColumnFormula>
    </tableColumn>
    <tableColumn id="42" xr3:uid="{535B9677-818A-48BF-95F1-87A2ED8DAC0E}" name="CumVOR" dataDxfId="74" totalsRowDxfId="11">
      <calculatedColumnFormula>IF(ROW()-ROW(Logbook[#Headers])=ROWS(Logbook[CumVOR]),Logbook[[#This Row],[VOR]],Logbook[[#This Row],[VOR]]+INDEX(Logbook[CumVOR],ROW()-ROW(Logbook[#Headers])+1))</calculatedColumnFormula>
    </tableColumn>
    <tableColumn id="43" xr3:uid="{144757E6-C50D-4123-B1DB-42C7FF7BA87A}" name="CumRNP" dataDxfId="73" totalsRowDxfId="10">
      <calculatedColumnFormula>IF(ROW()-ROW(Logbook[#Headers])=ROWS(Logbook[CumRNP]),Logbook[[#This Row],[RNP]],Logbook[[#This Row],[RNP]]+INDEX(Logbook[CumRNP],ROW()-ROW(Logbook[#Headers])+1))</calculatedColumnFormula>
    </tableColumn>
    <tableColumn id="44" xr3:uid="{73B414DB-72DC-4DDF-86A1-A0219BB39101}" name="CumNDB" dataDxfId="72" totalsRowDxfId="9">
      <calculatedColumnFormula>IF(ROW()-ROW(Logbook[#Headers])=ROWS(Logbook[CumNDB]),Logbook[[#This Row],[NDB]],Logbook[[#This Row],[NDB]]+INDEX(Logbook[CumNDB],ROW()-ROW(Logbook[#Headers])+1))</calculatedColumnFormula>
    </tableColumn>
    <tableColumn id="45" xr3:uid="{AFA0920F-834E-4312-94D5-1BB65D1BD529}" name="CumDgaCdi" dataDxfId="71" totalsRowDxfId="8">
      <calculatedColumnFormula>IF(ROW()-ROW(Logbook[#Headers])=ROWS(Logbook[CumDgaCdi]),Logbook[[#This Row],[DGA (CDI)]],Logbook[[#This Row],[DGA (CDI)]]+INDEX(Logbook[CumDgaCdi],ROW()-ROW(Logbook[#Headers])+1))</calculatedColumnFormula>
    </tableColumn>
    <tableColumn id="46" xr3:uid="{DE0A8510-855B-4C7A-9DC5-4006EA854638}" name="CumDgaAzi" dataDxfId="70" totalsRowDxfId="7">
      <calculatedColumnFormula>IF(ROW()-ROW(Logbook[#Headers])=ROWS(Logbook[CumDgaAzi]),Logbook[[#This Row],[DGA (Azi)]],Logbook[[#This Row],[DGA (Azi)]]+INDEX(Logbook[CumDgaAzi],ROW()-ROW(Logbook[#Headers])+1))</calculatedColumnFormula>
    </tableColumn>
    <tableColumn id="47" xr3:uid="{2E62ECFC-8938-43ED-A7A3-96021161E246}" name="CumCirc" dataDxfId="69" totalsRowDxfId="6">
      <calculatedColumnFormula>IF(ROW()-ROW(Logbook[#Headers])=ROWS(Logbook[CumCirc]),Logbook[[#This Row],[Circling]],Logbook[[#This Row],[Circling]]+INDEX(Logbook[CumCirc],ROW()-ROW(Logbook[#Headers])+1))</calculatedColumnFormula>
    </tableColumn>
    <tableColumn id="48" xr3:uid="{27CD4B83-2190-43DC-845B-C2367A3B9709}" name="CumTotalApps" dataDxfId="68" totalsRowDxfId="5">
      <calculatedColumnFormula>IF(ROW()-ROW(Logbook[#Headers])=ROWS(Logbook[CumTotalApps]),Logbook[[#This Row],[TotalApps]],Logbook[[#This Row],[TotalApps]]+INDEX(Logbook[CumTotalApps],ROW()-ROW(Logbook[#Headers])+1))</calculatedColumnFormula>
    </tableColumn>
    <tableColumn id="49" xr3:uid="{194F9066-B2DA-4EC2-9D85-921E960CF0B3}" name="CumTotalHours" dataDxfId="67" totalsRowDxfId="4">
      <calculatedColumnFormula>SUM(INDEX(Logbook[TotalHours],1):Logbook[[#This Row],[TotalHours]])</calculatedColumnFormula>
    </tableColumn>
    <tableColumn id="50" xr3:uid="{D904A10A-DC61-4EF5-A0A7-8E4E66C716B2}" name="Cum2D" dataDxfId="66" totalsRowDxfId="3">
      <calculatedColumnFormula>IF(ROW()-ROW(Logbook[#Headers])=ROWS(Logbook[Cum2D]),SUM(Logbook[[#This Row],[VOR]:[DGA (Azi)]]),SUM(Logbook[[#This Row],[VOR]:[DGA (Azi)]])+INDEX(Logbook[Cum2D],ROW()-ROW(Logbook[#Headers])+1))</calculatedColumnFormula>
    </tableColumn>
    <tableColumn id="51" xr3:uid="{53B0F290-2D6B-4939-856F-DDDAEF901884}" name="Cum3D" dataDxfId="65" totalsRowDxfId="2">
      <calculatedColumnFormula>IF(ROW()-ROW(Logbook[#Headers])=ROWS(Logbook[Cum3D]),Logbook[[#This Row],[ILS]],Logbook[[#This Row],[ILS]]+INDEX(Logbook[Cum3D],ROW()-ROW(Logbook[#Headers])+1))</calculatedColumnFormula>
    </tableColumn>
    <tableColumn id="52" xr3:uid="{2B647697-03EA-4F4D-93DD-5D0A77657840}" name="CumCDI" dataDxfId="64" totalsRowDxfId="1">
      <calculatedColumnFormula>IF(ROW()-ROW(Logbook[#Headers])=ROWS(Logbook[CumCDI]),SUM(Logbook[[#This Row],[ILS]:[RNP]])+Logbook[[#This Row],[DGA (CDI)]],SUM(Logbook[[#This Row],[ILS]:[RNP]])+Logbook[[#This Row],[DGA (CDI)]]+INDEX(Logbook[CumCDI],ROW()-ROW(Logbook[#Headers])+1))</calculatedColumnFormula>
    </tableColumn>
    <tableColumn id="55" xr3:uid="{18C8F4D1-667B-429B-9365-8A96E578D433}" name="CumAzi" dataDxfId="63" totalsRowDxfId="0">
      <calculatedColumnFormula>IF(ROW()-ROW(Logbook[#Headers])=ROWS(Logbook[CumAzi]),Logbook[[#This Row],[NDB]]+Logbook[[#This Row],[DGA (Azi)]],Logbook[[#This Row],[NDB]]+Logbook[[#This Row],[DGA (Azi)]]+INDEX(Logbook[CumAzi],ROW()-ROW(Logbook[#Headers])+1))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FBF8-1521-4512-A3CE-9DF50F2841ED}">
  <sheetPr codeName="Sheet15">
    <tabColor rgb="FFFFA3A3"/>
  </sheetPr>
  <dimension ref="A1:BV104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0" defaultRowHeight="15" zeroHeight="1" x14ac:dyDescent="0.25"/>
  <cols>
    <col min="1" max="1" width="3.7109375" style="38" customWidth="1"/>
    <col min="2" max="2" width="7.7109375" style="38" hidden="1" customWidth="1"/>
    <col min="3" max="3" width="12.7109375" style="39" customWidth="1"/>
    <col min="4" max="4" width="6.7109375" style="40" customWidth="1"/>
    <col min="5" max="5" width="6.7109375" style="41" customWidth="1"/>
    <col min="6" max="6" width="6.7109375" style="42" customWidth="1"/>
    <col min="7" max="8" width="9.7109375" style="38" customWidth="1"/>
    <col min="9" max="9" width="13" style="38" bestFit="1" customWidth="1"/>
    <col min="10" max="10" width="19" style="38" customWidth="1"/>
    <col min="11" max="11" width="22.7109375" style="38" bestFit="1" customWidth="1"/>
    <col min="12" max="12" width="10.28515625" style="38" bestFit="1" customWidth="1"/>
    <col min="13" max="13" width="10.28515625" style="38" customWidth="1"/>
    <col min="14" max="15" width="35.7109375" style="38" customWidth="1"/>
    <col min="16" max="18" width="9.5703125" style="38" customWidth="1"/>
    <col min="19" max="20" width="14.28515625" style="43" customWidth="1"/>
    <col min="21" max="22" width="14.28515625" style="40" customWidth="1"/>
    <col min="23" max="40" width="6.28515625" style="38" customWidth="1"/>
    <col min="41" max="47" width="7.7109375" style="38" customWidth="1"/>
    <col min="48" max="48" width="15.28515625" style="43" hidden="1" customWidth="1"/>
    <col min="49" max="49" width="14.42578125" style="44" hidden="1" customWidth="1"/>
    <col min="50" max="50" width="16.28515625" style="38" hidden="1" customWidth="1"/>
    <col min="51" max="51" width="17.7109375" style="38" hidden="1" customWidth="1"/>
    <col min="52" max="52" width="7.42578125" style="38" hidden="1" customWidth="1"/>
    <col min="53" max="53" width="8.7109375" style="38" hidden="1" customWidth="1"/>
    <col min="54" max="54" width="10.28515625" style="38" hidden="1" customWidth="1"/>
    <col min="55" max="55" width="8.7109375" style="38" hidden="1" customWidth="1"/>
    <col min="56" max="56" width="11.28515625" style="38" hidden="1" customWidth="1"/>
    <col min="57" max="57" width="11" style="38" hidden="1" customWidth="1"/>
    <col min="58" max="58" width="8.28515625" style="38" hidden="1" customWidth="1"/>
    <col min="59" max="59" width="14" style="38" hidden="1" customWidth="1"/>
    <col min="60" max="60" width="14.7109375" style="38" hidden="1" customWidth="1"/>
    <col min="61" max="62" width="7.42578125" style="38" hidden="1" customWidth="1"/>
    <col min="63" max="63" width="8" style="40" hidden="1" customWidth="1"/>
    <col min="64" max="64" width="8.42578125" style="38" hidden="1" customWidth="1"/>
    <col min="65" max="65" width="3.7109375" style="38" customWidth="1"/>
    <col min="66" max="66" width="0" style="38" hidden="1" customWidth="1"/>
    <col min="67" max="67" width="8" style="38" hidden="1" customWidth="1"/>
    <col min="68" max="68" width="8.42578125" style="38" hidden="1" customWidth="1"/>
    <col min="69" max="70" width="0" style="38" hidden="1" customWidth="1"/>
    <col min="71" max="71" width="8.42578125" style="38" hidden="1" customWidth="1"/>
    <col min="72" max="74" width="0" style="38" hidden="1" customWidth="1"/>
    <col min="75" max="16384" width="9.28515625" style="38" hidden="1"/>
  </cols>
  <sheetData>
    <row r="1" spans="1:74" x14ac:dyDescent="0.25">
      <c r="A1"/>
      <c r="BM1"/>
      <c r="BN1"/>
      <c r="BO1"/>
      <c r="BP1"/>
      <c r="BQ1"/>
      <c r="BR1"/>
      <c r="BS1"/>
      <c r="BT1"/>
      <c r="BU1"/>
      <c r="BV1"/>
    </row>
    <row r="2" spans="1:74" s="45" customFormat="1" ht="15" customHeight="1" x14ac:dyDescent="0.25">
      <c r="A2"/>
      <c r="B2" s="38"/>
      <c r="C2" s="105" t="s">
        <v>74</v>
      </c>
      <c r="D2" s="106"/>
      <c r="E2" s="106"/>
      <c r="F2" s="107"/>
      <c r="G2" s="96" t="s">
        <v>73</v>
      </c>
      <c r="H2" s="100"/>
      <c r="I2" s="97"/>
      <c r="J2" s="96" t="s">
        <v>75</v>
      </c>
      <c r="K2" s="97"/>
      <c r="L2" s="100" t="s">
        <v>83</v>
      </c>
      <c r="M2" s="100"/>
      <c r="N2" s="100"/>
      <c r="O2" s="97"/>
      <c r="P2" s="82" t="s">
        <v>87</v>
      </c>
      <c r="Q2" s="82"/>
      <c r="R2" s="82"/>
      <c r="S2" s="96" t="s">
        <v>76</v>
      </c>
      <c r="T2" s="100"/>
      <c r="U2" s="100"/>
      <c r="V2" s="97"/>
      <c r="W2" s="82" t="s">
        <v>77</v>
      </c>
      <c r="X2" s="82"/>
      <c r="Y2" s="82"/>
      <c r="Z2" s="82"/>
      <c r="AA2" s="82"/>
      <c r="AB2" s="82"/>
      <c r="AC2" s="82" t="s">
        <v>78</v>
      </c>
      <c r="AD2" s="82"/>
      <c r="AE2" s="82"/>
      <c r="AF2" s="82"/>
      <c r="AG2" s="82"/>
      <c r="AH2" s="82"/>
      <c r="AI2" s="96" t="s">
        <v>79</v>
      </c>
      <c r="AJ2" s="97"/>
      <c r="AK2" s="82" t="s">
        <v>80</v>
      </c>
      <c r="AL2" s="82"/>
      <c r="AM2" s="92" t="s">
        <v>81</v>
      </c>
      <c r="AN2" s="93"/>
      <c r="AO2" s="82" t="s">
        <v>82</v>
      </c>
      <c r="AP2" s="82"/>
      <c r="AQ2" s="82"/>
      <c r="AR2" s="82"/>
      <c r="AS2" s="82"/>
      <c r="AT2" s="82"/>
      <c r="AU2" s="90"/>
      <c r="AV2" s="84" t="s">
        <v>63</v>
      </c>
      <c r="AW2" s="85"/>
      <c r="AX2" s="114" t="s">
        <v>24</v>
      </c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6"/>
      <c r="BM2"/>
      <c r="BN2"/>
      <c r="BO2"/>
      <c r="BP2"/>
      <c r="BQ2"/>
      <c r="BR2"/>
      <c r="BS2"/>
      <c r="BT2"/>
      <c r="BU2"/>
      <c r="BV2"/>
    </row>
    <row r="3" spans="1:74" s="45" customFormat="1" x14ac:dyDescent="0.25">
      <c r="A3"/>
      <c r="B3" s="38"/>
      <c r="C3" s="108"/>
      <c r="D3" s="109"/>
      <c r="E3" s="109"/>
      <c r="F3" s="110"/>
      <c r="G3" s="101"/>
      <c r="H3" s="102"/>
      <c r="I3" s="103"/>
      <c r="J3" s="101"/>
      <c r="K3" s="103"/>
      <c r="L3" s="102"/>
      <c r="M3" s="102"/>
      <c r="N3" s="102"/>
      <c r="O3" s="103"/>
      <c r="P3" s="83"/>
      <c r="Q3" s="83"/>
      <c r="R3" s="83"/>
      <c r="S3" s="101"/>
      <c r="T3" s="102"/>
      <c r="U3" s="102"/>
      <c r="V3" s="103"/>
      <c r="W3" s="83" t="s">
        <v>5</v>
      </c>
      <c r="X3" s="83"/>
      <c r="Y3" s="83" t="s">
        <v>6</v>
      </c>
      <c r="Z3" s="83"/>
      <c r="AA3" s="83" t="s">
        <v>7</v>
      </c>
      <c r="AB3" s="83"/>
      <c r="AC3" s="83" t="s">
        <v>5</v>
      </c>
      <c r="AD3" s="83"/>
      <c r="AE3" s="83" t="s">
        <v>6</v>
      </c>
      <c r="AF3" s="83"/>
      <c r="AG3" s="83" t="s">
        <v>7</v>
      </c>
      <c r="AH3" s="83"/>
      <c r="AI3" s="98"/>
      <c r="AJ3" s="99"/>
      <c r="AK3" s="83" t="s">
        <v>8</v>
      </c>
      <c r="AL3" s="83" t="s">
        <v>9</v>
      </c>
      <c r="AM3" s="94" t="s">
        <v>11</v>
      </c>
      <c r="AN3" s="94" t="s">
        <v>14</v>
      </c>
      <c r="AO3" s="83" t="s">
        <v>15</v>
      </c>
      <c r="AP3" s="83" t="s">
        <v>16</v>
      </c>
      <c r="AQ3" s="83" t="s">
        <v>88</v>
      </c>
      <c r="AR3" s="83" t="s">
        <v>17</v>
      </c>
      <c r="AS3" s="83" t="s">
        <v>18</v>
      </c>
      <c r="AT3" s="83" t="s">
        <v>19</v>
      </c>
      <c r="AU3" s="91" t="s">
        <v>20</v>
      </c>
      <c r="AV3" s="86"/>
      <c r="AW3" s="87"/>
      <c r="AX3" s="114" t="s">
        <v>3</v>
      </c>
      <c r="AY3" s="116"/>
      <c r="AZ3" s="114" t="s">
        <v>4</v>
      </c>
      <c r="BA3" s="115"/>
      <c r="BB3" s="115"/>
      <c r="BC3" s="115"/>
      <c r="BD3" s="115"/>
      <c r="BE3" s="115"/>
      <c r="BF3" s="116"/>
      <c r="BG3" s="117" t="s">
        <v>63</v>
      </c>
      <c r="BH3" s="118"/>
      <c r="BI3" s="119" t="s">
        <v>25</v>
      </c>
      <c r="BJ3" s="119" t="s">
        <v>26</v>
      </c>
      <c r="BK3" s="119" t="s">
        <v>27</v>
      </c>
      <c r="BL3" s="113" t="s">
        <v>28</v>
      </c>
      <c r="BM3"/>
      <c r="BN3"/>
      <c r="BO3"/>
      <c r="BP3"/>
      <c r="BQ3"/>
      <c r="BR3"/>
      <c r="BS3"/>
      <c r="BT3"/>
      <c r="BU3"/>
      <c r="BV3"/>
    </row>
    <row r="4" spans="1:74" s="45" customFormat="1" ht="15" customHeight="1" x14ac:dyDescent="0.25">
      <c r="A4"/>
      <c r="B4" s="38"/>
      <c r="C4" s="48" t="s">
        <v>66</v>
      </c>
      <c r="D4" s="111" t="s">
        <v>91</v>
      </c>
      <c r="E4" s="111"/>
      <c r="F4" s="112"/>
      <c r="G4" s="98"/>
      <c r="H4" s="104"/>
      <c r="I4" s="99"/>
      <c r="J4" s="98"/>
      <c r="K4" s="99"/>
      <c r="L4" s="104"/>
      <c r="M4" s="104"/>
      <c r="N4" s="104"/>
      <c r="O4" s="99"/>
      <c r="P4" s="83"/>
      <c r="Q4" s="83"/>
      <c r="R4" s="83"/>
      <c r="S4" s="98"/>
      <c r="T4" s="104"/>
      <c r="U4" s="104"/>
      <c r="V4" s="99"/>
      <c r="W4" s="46" t="s">
        <v>11</v>
      </c>
      <c r="X4" s="46" t="s">
        <v>14</v>
      </c>
      <c r="Y4" s="46" t="s">
        <v>11</v>
      </c>
      <c r="Z4" s="46" t="s">
        <v>14</v>
      </c>
      <c r="AA4" s="46" t="s">
        <v>11</v>
      </c>
      <c r="AB4" s="46" t="s">
        <v>14</v>
      </c>
      <c r="AC4" s="46" t="s">
        <v>11</v>
      </c>
      <c r="AD4" s="46" t="s">
        <v>14</v>
      </c>
      <c r="AE4" s="46" t="s">
        <v>11</v>
      </c>
      <c r="AF4" s="46" t="s">
        <v>14</v>
      </c>
      <c r="AG4" s="46" t="s">
        <v>11</v>
      </c>
      <c r="AH4" s="46" t="s">
        <v>14</v>
      </c>
      <c r="AI4" s="46" t="s">
        <v>11</v>
      </c>
      <c r="AJ4" s="46" t="s">
        <v>14</v>
      </c>
      <c r="AK4" s="83"/>
      <c r="AL4" s="83"/>
      <c r="AM4" s="95"/>
      <c r="AN4" s="95"/>
      <c r="AO4" s="83"/>
      <c r="AP4" s="83"/>
      <c r="AQ4" s="83"/>
      <c r="AR4" s="83"/>
      <c r="AS4" s="83"/>
      <c r="AT4" s="83"/>
      <c r="AU4" s="91"/>
      <c r="AV4" s="88"/>
      <c r="AW4" s="89"/>
      <c r="AX4" s="47" t="s">
        <v>11</v>
      </c>
      <c r="AY4" s="47" t="s">
        <v>14</v>
      </c>
      <c r="AZ4" s="47" t="s">
        <v>15</v>
      </c>
      <c r="BA4" s="47" t="s">
        <v>16</v>
      </c>
      <c r="BB4" s="47" t="s">
        <v>88</v>
      </c>
      <c r="BC4" s="47" t="s">
        <v>17</v>
      </c>
      <c r="BD4" s="47" t="s">
        <v>18</v>
      </c>
      <c r="BE4" s="47" t="s">
        <v>19</v>
      </c>
      <c r="BF4" s="47" t="s">
        <v>20</v>
      </c>
      <c r="BG4" s="98"/>
      <c r="BH4" s="99"/>
      <c r="BI4" s="119"/>
      <c r="BJ4" s="119"/>
      <c r="BK4" s="119"/>
      <c r="BL4" s="113"/>
      <c r="BM4"/>
      <c r="BN4"/>
      <c r="BO4"/>
      <c r="BP4"/>
      <c r="BQ4"/>
      <c r="BR4"/>
      <c r="BS4"/>
      <c r="BT4"/>
      <c r="BU4"/>
      <c r="BV4"/>
    </row>
    <row r="5" spans="1:74" s="45" customFormat="1" ht="15" customHeight="1" x14ac:dyDescent="0.25">
      <c r="A5"/>
      <c r="B5" s="7" t="s">
        <v>93</v>
      </c>
      <c r="C5" s="7" t="s">
        <v>29</v>
      </c>
      <c r="D5" s="8" t="s">
        <v>0</v>
      </c>
      <c r="E5" s="9" t="s">
        <v>10</v>
      </c>
      <c r="F5" s="10" t="s">
        <v>11</v>
      </c>
      <c r="G5" s="11" t="s">
        <v>12</v>
      </c>
      <c r="H5" s="11" t="s">
        <v>13</v>
      </c>
      <c r="I5" s="11" t="s">
        <v>90</v>
      </c>
      <c r="J5" s="11" t="s">
        <v>1</v>
      </c>
      <c r="K5" s="11" t="s">
        <v>2</v>
      </c>
      <c r="L5" s="11" t="s">
        <v>84</v>
      </c>
      <c r="M5" s="11" t="s">
        <v>85</v>
      </c>
      <c r="N5" s="11" t="s">
        <v>92</v>
      </c>
      <c r="O5" s="11" t="s">
        <v>86</v>
      </c>
      <c r="P5" s="11" t="s">
        <v>72</v>
      </c>
      <c r="Q5" s="11" t="s">
        <v>23</v>
      </c>
      <c r="R5" s="11" t="s">
        <v>71</v>
      </c>
      <c r="S5" s="12" t="s">
        <v>67</v>
      </c>
      <c r="T5" s="12" t="s">
        <v>68</v>
      </c>
      <c r="U5" s="12" t="s">
        <v>69</v>
      </c>
      <c r="V5" s="13" t="s">
        <v>70</v>
      </c>
      <c r="W5" s="23" t="s">
        <v>30</v>
      </c>
      <c r="X5" s="23" t="s">
        <v>31</v>
      </c>
      <c r="Y5" s="23" t="s">
        <v>32</v>
      </c>
      <c r="Z5" s="23" t="s">
        <v>33</v>
      </c>
      <c r="AA5" s="23" t="s">
        <v>34</v>
      </c>
      <c r="AB5" s="23" t="s">
        <v>35</v>
      </c>
      <c r="AC5" s="23" t="s">
        <v>36</v>
      </c>
      <c r="AD5" s="23" t="s">
        <v>37</v>
      </c>
      <c r="AE5" s="23" t="s">
        <v>38</v>
      </c>
      <c r="AF5" s="23" t="s">
        <v>39</v>
      </c>
      <c r="AG5" s="23" t="s">
        <v>40</v>
      </c>
      <c r="AH5" s="23" t="s">
        <v>41</v>
      </c>
      <c r="AI5" s="23" t="s">
        <v>42</v>
      </c>
      <c r="AJ5" s="23" t="s">
        <v>43</v>
      </c>
      <c r="AK5" s="23" t="s">
        <v>44</v>
      </c>
      <c r="AL5" s="23" t="s">
        <v>45</v>
      </c>
      <c r="AM5" s="24" t="s">
        <v>46</v>
      </c>
      <c r="AN5" s="25" t="s">
        <v>47</v>
      </c>
      <c r="AO5" s="30" t="s">
        <v>15</v>
      </c>
      <c r="AP5" s="25" t="s">
        <v>16</v>
      </c>
      <c r="AQ5" s="30" t="s">
        <v>88</v>
      </c>
      <c r="AR5" s="25" t="s">
        <v>17</v>
      </c>
      <c r="AS5" s="30" t="s">
        <v>18</v>
      </c>
      <c r="AT5" s="25" t="s">
        <v>19</v>
      </c>
      <c r="AU5" s="26" t="s">
        <v>20</v>
      </c>
      <c r="AV5" s="14" t="s">
        <v>64</v>
      </c>
      <c r="AW5" s="15" t="s">
        <v>61</v>
      </c>
      <c r="AX5" s="16" t="s">
        <v>48</v>
      </c>
      <c r="AY5" s="16" t="s">
        <v>49</v>
      </c>
      <c r="AZ5" s="16" t="s">
        <v>50</v>
      </c>
      <c r="BA5" s="16" t="s">
        <v>51</v>
      </c>
      <c r="BB5" s="16" t="s">
        <v>89</v>
      </c>
      <c r="BC5" s="16" t="s">
        <v>52</v>
      </c>
      <c r="BD5" s="16" t="s">
        <v>53</v>
      </c>
      <c r="BE5" s="16" t="s">
        <v>54</v>
      </c>
      <c r="BF5" s="16" t="s">
        <v>55</v>
      </c>
      <c r="BG5" s="17" t="s">
        <v>56</v>
      </c>
      <c r="BH5" s="18" t="s">
        <v>65</v>
      </c>
      <c r="BI5" s="19" t="s">
        <v>57</v>
      </c>
      <c r="BJ5" s="18" t="s">
        <v>58</v>
      </c>
      <c r="BK5" s="18" t="s">
        <v>59</v>
      </c>
      <c r="BL5" s="20" t="s">
        <v>60</v>
      </c>
      <c r="BM5"/>
      <c r="BN5"/>
      <c r="BO5"/>
      <c r="BP5"/>
      <c r="BQ5"/>
      <c r="BR5"/>
      <c r="BS5"/>
      <c r="BT5"/>
      <c r="BU5"/>
      <c r="BV5"/>
    </row>
    <row r="6" spans="1:74" s="22" customFormat="1" ht="15.75" thickBot="1" x14ac:dyDescent="0.3">
      <c r="A6"/>
      <c r="B6" s="21"/>
      <c r="C6" s="49" t="e">
        <f>IFERROR(IF(DAY(DATE(Logbook[[#This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Row],[Day]]))))&lt;&gt;IF(ISNUMBER(Logbook[[#This Row],[Day]]),IF(Logbook[[#This Row],[Day]]&gt;31,DAY(Logbook[[#This Row],[Day]]),Logbook[[#This Row],[Day]]),VALUE(Logbook[[#This Row],[Day]])),NA(),DATE(Logbook[[#This Row],[Year]],IF(ISNUMBER(Logbook[[#This Row],[Month]]),MONTH(Logbook[[#This Row],[Month]]),MONTH(DATEVALUE(Logbook[[#This Row],[Month]]&amp;" 1"))),IF(ISNUMBER(Logbook[[#This Row],[Day]]),IF(Logbook[[#This Row],[Day]]&gt;31,DAY(Logbook[[#This Row],[Day]]),Logbook[[#This Row],[Day]]),VALUE(Logbook[[#This Row],[Day]])))),NA())</f>
        <v>#N/A</v>
      </c>
      <c r="D6" s="1"/>
      <c r="E6" s="31"/>
      <c r="F6" s="2"/>
      <c r="G6" s="3"/>
      <c r="H6" s="32"/>
      <c r="I6" s="32"/>
      <c r="J6" s="32"/>
      <c r="K6" s="32"/>
      <c r="L6" s="32"/>
      <c r="M6" s="32"/>
      <c r="N6" s="33"/>
      <c r="O6" s="32"/>
      <c r="P6" s="34"/>
      <c r="Q6" s="34"/>
      <c r="R6" s="34"/>
      <c r="S6" s="35"/>
      <c r="T6" s="35"/>
      <c r="U6" s="35"/>
      <c r="V6" s="36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2"/>
      <c r="AN6" s="32"/>
      <c r="AO6" s="32"/>
      <c r="AP6" s="32"/>
      <c r="AQ6" s="32"/>
      <c r="AR6" s="32"/>
      <c r="AS6" s="32"/>
      <c r="AT6" s="32"/>
      <c r="AU6" s="37"/>
      <c r="AV6" s="29">
        <f>SUM(Logbook[[#This Row],[SeIcusDay]:[CopilotNight]])</f>
        <v>0</v>
      </c>
      <c r="AW6" s="4">
        <f>SUM(Logbook[[#This Row],[ILS]:[DGA (Azi)]])</f>
        <v>0</v>
      </c>
      <c r="AX6" s="27">
        <f>IF(ROW()-ROW(Logbook[#Headers])=ROWS(Logbook[CumLandingsDay]),Logbook[[#This Row],[LandingsDay]],Logbook[[#This Row],[LandingsDay]]+INDEX(Logbook[CumLandingsDay],ROW()-ROW(Logbook[#Headers])+1))</f>
        <v>0</v>
      </c>
      <c r="AY6" s="27">
        <f>IF(ROW()-ROW(Logbook[#Headers])=ROWS(Logbook[CumLandingsNight]),Logbook[[#This Row],[LandingsNight]],Logbook[[#This Row],[LandingsNight]]+INDEX(Logbook[CumLandingsNight],ROW()-ROW(Logbook[#Headers])+1))</f>
        <v>0</v>
      </c>
      <c r="AZ6" s="27">
        <f>IF(ROW()-ROW(Logbook[#Headers])=ROWS(Logbook[CumILS]),Logbook[[#This Row],[ILS]],Logbook[[#This Row],[ILS]]+INDEX(Logbook[CumILS],ROW()-ROW(Logbook[#Headers])+1))</f>
        <v>0</v>
      </c>
      <c r="BA6" s="27">
        <f>IF(ROW()-ROW(Logbook[#Headers])=ROWS(Logbook[CumVOR]),Logbook[[#This Row],[VOR]],Logbook[[#This Row],[VOR]]+INDEX(Logbook[CumVOR],ROW()-ROW(Logbook[#Headers])+1))</f>
        <v>0</v>
      </c>
      <c r="BB6" s="27">
        <f>IF(ROW()-ROW(Logbook[#Headers])=ROWS(Logbook[CumRNP]),Logbook[[#This Row],[RNP]],Logbook[[#This Row],[RNP]]+INDEX(Logbook[CumRNP],ROW()-ROW(Logbook[#Headers])+1))</f>
        <v>0</v>
      </c>
      <c r="BC6" s="27">
        <f>IF(ROW()-ROW(Logbook[#Headers])=ROWS(Logbook[CumNDB]),Logbook[[#This Row],[NDB]],Logbook[[#This Row],[NDB]]+INDEX(Logbook[CumNDB],ROW()-ROW(Logbook[#Headers])+1))</f>
        <v>0</v>
      </c>
      <c r="BD6" s="27">
        <f>IF(ROW()-ROW(Logbook[#Headers])=ROWS(Logbook[CumDgaCdi]),Logbook[[#This Row],[DGA (CDI)]],Logbook[[#This Row],[DGA (CDI)]]+INDEX(Logbook[CumDgaCdi],ROW()-ROW(Logbook[#Headers])+1))</f>
        <v>0</v>
      </c>
      <c r="BE6" s="27">
        <f>IF(ROW()-ROW(Logbook[#Headers])=ROWS(Logbook[CumDgaAzi]),Logbook[[#This Row],[DGA (Azi)]],Logbook[[#This Row],[DGA (Azi)]]+INDEX(Logbook[CumDgaAzi],ROW()-ROW(Logbook[#Headers])+1))</f>
        <v>0</v>
      </c>
      <c r="BF6" s="27">
        <f>IF(ROW()-ROW(Logbook[#Headers])=ROWS(Logbook[CumCirc]),Logbook[[#This Row],[Circling]],Logbook[[#This Row],[Circling]]+INDEX(Logbook[CumCirc],ROW()-ROW(Logbook[#Headers])+1))</f>
        <v>0</v>
      </c>
      <c r="BG6" s="27">
        <f>IF(ROW()-ROW(Logbook[#Headers])=ROWS(Logbook[CumTotalApps]),Logbook[[#This Row],[TotalApps]],Logbook[[#This Row],[TotalApps]]+INDEX(Logbook[CumTotalApps],ROW()-ROW(Logbook[#Headers])+1))</f>
        <v>0</v>
      </c>
      <c r="BH6" s="5">
        <f>SUM(INDEX(Logbook[TotalHours],1):Logbook[[#This Row],[TotalHours]])</f>
        <v>0</v>
      </c>
      <c r="BI6" s="28">
        <f>IF(ROW()-ROW(Logbook[#Headers])=ROWS(Logbook[Cum2D]),SUM(Logbook[[#This Row],[VOR]:[DGA (Azi)]]),SUM(Logbook[[#This Row],[VOR]:[DGA (Azi)]])+INDEX(Logbook[Cum2D],ROW()-ROW(Logbook[#Headers])+1))</f>
        <v>0</v>
      </c>
      <c r="BJ6" s="27">
        <f>IF(ROW()-ROW(Logbook[#Headers])=ROWS(Logbook[Cum3D]),Logbook[[#This Row],[ILS]],Logbook[[#This Row],[ILS]]+INDEX(Logbook[Cum3D],ROW()-ROW(Logbook[#Headers])+1))</f>
        <v>0</v>
      </c>
      <c r="BK6" s="28">
        <f>IF(ROW()-ROW(Logbook[#Headers])=ROWS(Logbook[CumCDI]),SUM(Logbook[[#This Row],[ILS]:[RNP]])+Logbook[[#This Row],[DGA (CDI)]],SUM(Logbook[[#This Row],[ILS]:[RNP]])+Logbook[[#This Row],[DGA (CDI)]]+INDEX(Logbook[CumCDI],ROW()-ROW(Logbook[#Headers])+1))</f>
        <v>0</v>
      </c>
      <c r="BL6" s="6">
        <f>IF(ROW()-ROW(Logbook[#Headers])=ROWS(Logbook[CumAzi]),Logbook[[#This Row],[NDB]]+Logbook[[#This Row],[DGA (Azi)]],Logbook[[#This Row],[NDB]]+Logbook[[#This Row],[DGA (Azi)]]+INDEX(Logbook[CumAzi],ROW()-ROW(Logbook[#Headers])+1))</f>
        <v>0</v>
      </c>
      <c r="BM6"/>
      <c r="BN6"/>
      <c r="BO6"/>
      <c r="BP6"/>
      <c r="BQ6"/>
      <c r="BR6"/>
      <c r="BS6"/>
      <c r="BT6"/>
      <c r="BU6"/>
      <c r="BV6"/>
    </row>
    <row r="7" spans="1:74" s="22" customFormat="1" ht="15.75" thickTop="1" x14ac:dyDescent="0.25">
      <c r="A7"/>
      <c r="B7" s="81"/>
      <c r="C7" s="50"/>
      <c r="D7" s="51"/>
      <c r="E7" s="52"/>
      <c r="F7" s="53"/>
      <c r="G7" s="54"/>
      <c r="H7" s="55"/>
      <c r="I7" s="56"/>
      <c r="J7" s="57" t="s">
        <v>21</v>
      </c>
      <c r="K7" s="58">
        <f>SUBTOTAL(109,Logbook[TotalHours])</f>
        <v>0</v>
      </c>
      <c r="L7" s="59"/>
      <c r="M7" s="60"/>
      <c r="N7" s="60"/>
      <c r="O7" s="60"/>
      <c r="P7" s="61"/>
      <c r="Q7" s="61"/>
      <c r="R7" s="60" t="s">
        <v>62</v>
      </c>
      <c r="S7" s="62">
        <f>SUBTOTAL(109,Logbook[Custom 1])</f>
        <v>0</v>
      </c>
      <c r="T7" s="62">
        <f>SUBTOTAL(109,Logbook[Custom 2])</f>
        <v>0</v>
      </c>
      <c r="U7" s="62">
        <f>SUBTOTAL(109,Logbook[Custom 3])</f>
        <v>0</v>
      </c>
      <c r="V7" s="63">
        <f>SUBTOTAL(109,Logbook[Custom 4])</f>
        <v>0</v>
      </c>
      <c r="W7" s="62">
        <f>SUBTOTAL(109,Logbook[SeIcusDay])</f>
        <v>0</v>
      </c>
      <c r="X7" s="62">
        <f>SUBTOTAL(109,Logbook[SeIcusNight])</f>
        <v>0</v>
      </c>
      <c r="Y7" s="62">
        <f>SUBTOTAL(109,Logbook[SeDualDay])</f>
        <v>0</v>
      </c>
      <c r="Z7" s="62">
        <f>SUBTOTAL(109,Logbook[SeDualNight])</f>
        <v>0</v>
      </c>
      <c r="AA7" s="62">
        <f>SUBTOTAL(109,Logbook[SeCommandDay])</f>
        <v>0</v>
      </c>
      <c r="AB7" s="62">
        <f>SUBTOTAL(109,Logbook[SeCommandNight])</f>
        <v>0</v>
      </c>
      <c r="AC7" s="62">
        <f>SUBTOTAL(109,Logbook[MeIcusDay])</f>
        <v>0</v>
      </c>
      <c r="AD7" s="62">
        <f>SUBTOTAL(109,Logbook[MeIcusNight])</f>
        <v>0</v>
      </c>
      <c r="AE7" s="62">
        <f>SUBTOTAL(109,Logbook[MeDualDay])</f>
        <v>0</v>
      </c>
      <c r="AF7" s="62">
        <f>SUBTOTAL(109,Logbook[MeDualNight])</f>
        <v>0</v>
      </c>
      <c r="AG7" s="62">
        <f>SUBTOTAL(109,Logbook[MeCommandDay])</f>
        <v>0</v>
      </c>
      <c r="AH7" s="62">
        <f>SUBTOTAL(109,Logbook[MeCommandNight])</f>
        <v>0</v>
      </c>
      <c r="AI7" s="62">
        <f>SUBTOTAL(109,Logbook[CopilotDay])</f>
        <v>0</v>
      </c>
      <c r="AJ7" s="62">
        <f>SUBTOTAL(109,Logbook[CopilotNight])</f>
        <v>0</v>
      </c>
      <c r="AK7" s="62">
        <f>SUBTOTAL(109,Logbook[IfrIf])</f>
        <v>0</v>
      </c>
      <c r="AL7" s="62">
        <f>SUBTOTAL(109,Logbook[IfrSim])</f>
        <v>0</v>
      </c>
      <c r="AM7" s="63">
        <f>SUBTOTAL(109,Logbook[LandingsDay])</f>
        <v>0</v>
      </c>
      <c r="AN7" s="63">
        <f>SUBTOTAL(109,Logbook[LandingsNight])</f>
        <v>0</v>
      </c>
      <c r="AO7" s="63">
        <f>SUBTOTAL(109,Logbook[ILS])</f>
        <v>0</v>
      </c>
      <c r="AP7" s="63">
        <f>SUBTOTAL(109,Logbook[VOR])</f>
        <v>0</v>
      </c>
      <c r="AQ7" s="63">
        <f>SUBTOTAL(109,Logbook[RNP])</f>
        <v>0</v>
      </c>
      <c r="AR7" s="63">
        <f>SUBTOTAL(109,Logbook[NDB])</f>
        <v>0</v>
      </c>
      <c r="AS7" s="63">
        <f>SUBTOTAL(109,Logbook[DGA (CDI)])</f>
        <v>0</v>
      </c>
      <c r="AT7" s="63">
        <f>SUBTOTAL(109,Logbook[DGA (Azi)])</f>
        <v>0</v>
      </c>
      <c r="AU7" s="63">
        <f>SUBTOTAL(109,Logbook[Circling])</f>
        <v>0</v>
      </c>
      <c r="AV7" s="64">
        <f>SUBTOTAL(109,Logbook[TotalHours])</f>
        <v>0</v>
      </c>
      <c r="AW7" s="65">
        <f>SUBTOTAL(109,Logbook[TotalApps])</f>
        <v>0</v>
      </c>
      <c r="AX7" s="66"/>
      <c r="AY7" s="66"/>
      <c r="AZ7" s="66"/>
      <c r="BA7" s="66"/>
      <c r="BB7" s="66"/>
      <c r="BC7" s="66"/>
      <c r="BD7" s="66"/>
      <c r="BE7" s="66"/>
      <c r="BF7" s="66"/>
      <c r="BG7" s="67"/>
      <c r="BH7" s="66"/>
      <c r="BI7" s="66"/>
      <c r="BJ7" s="66"/>
      <c r="BK7" s="66"/>
      <c r="BL7" s="68"/>
      <c r="BM7"/>
      <c r="BN7"/>
      <c r="BO7"/>
      <c r="BP7"/>
      <c r="BQ7"/>
      <c r="BR7"/>
      <c r="BS7"/>
      <c r="BT7"/>
      <c r="BU7"/>
      <c r="BV7"/>
    </row>
    <row r="8" spans="1:74" s="45" customFormat="1" ht="15.75" thickBot="1" x14ac:dyDescent="0.3">
      <c r="A8"/>
      <c r="B8" s="38"/>
      <c r="C8" s="39"/>
      <c r="D8" s="40"/>
      <c r="E8" s="41"/>
      <c r="F8" s="42"/>
      <c r="G8" s="69"/>
      <c r="H8" s="70"/>
      <c r="I8" s="71"/>
      <c r="J8" s="72" t="s">
        <v>22</v>
      </c>
      <c r="K8" s="73">
        <f>SUBTOTAL(109,Logbook[TotalHours])+SUBTOTAL(109,Logbook[IfrSim])</f>
        <v>0</v>
      </c>
      <c r="L8" s="69"/>
      <c r="M8" s="69"/>
      <c r="N8" s="69"/>
      <c r="O8" s="69"/>
      <c r="P8" s="69"/>
      <c r="Q8" s="69"/>
      <c r="R8" s="69"/>
      <c r="S8" s="74"/>
      <c r="T8" s="74"/>
      <c r="U8" s="75"/>
      <c r="V8" s="75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38"/>
      <c r="AN8" s="38"/>
      <c r="AO8" s="38"/>
      <c r="AP8" s="38"/>
      <c r="AQ8" s="38"/>
      <c r="AR8" s="38"/>
      <c r="AS8" s="38"/>
      <c r="AT8" s="38"/>
      <c r="AU8" s="38"/>
      <c r="AV8" s="77"/>
      <c r="AW8" s="78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80"/>
      <c r="BL8" s="79"/>
      <c r="BM8"/>
      <c r="BN8"/>
      <c r="BO8"/>
      <c r="BP8"/>
      <c r="BQ8"/>
      <c r="BR8"/>
      <c r="BS8"/>
      <c r="BT8"/>
      <c r="BU8"/>
      <c r="BV8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spans="1:7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</row>
    <row r="11" spans="1:74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spans="1:74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spans="1:74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</row>
    <row r="14" spans="1:74" hidden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</row>
    <row r="15" spans="1:74" hidden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</row>
    <row r="16" spans="1:74" hidden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</row>
    <row r="17" spans="1:74" hidden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</row>
    <row r="18" spans="1:74" hidden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spans="1:74" hidden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</row>
    <row r="20" spans="1:74" hidden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</row>
    <row r="21" spans="1:74" hidden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spans="1:74" hidden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spans="1:74" hidden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</row>
    <row r="24" spans="1:74" hidden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</row>
    <row r="25" spans="1:74" hidden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spans="1:74" hidden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</row>
    <row r="27" spans="1:74" hidden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</row>
    <row r="28" spans="1:74" hidden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</row>
    <row r="29" spans="1:74" hidden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spans="1:74" hidden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</row>
    <row r="31" spans="1:74" hidden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spans="1:74" hidden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spans="1:74" hidden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</row>
    <row r="34" spans="1:74" hidden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spans="1:74" hidden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</row>
    <row r="36" spans="1:74" hidden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</row>
    <row r="37" spans="1:74" hidden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</row>
    <row r="38" spans="1:74" hidden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</row>
    <row r="39" spans="1:74" hidden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</row>
    <row r="40" spans="1:74" hidden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</row>
    <row r="41" spans="1:74" hidden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</row>
    <row r="42" spans="1:74" hidden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</row>
    <row r="43" spans="1:74" hidden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</row>
    <row r="44" spans="1:74" hidden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</row>
    <row r="45" spans="1:74" hidden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</row>
    <row r="46" spans="1:74" hidden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</row>
    <row r="47" spans="1:74" hidden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</row>
    <row r="48" spans="1:74" hidden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</row>
    <row r="49" spans="1:74" hidden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</row>
    <row r="50" spans="1:74" hidden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</row>
    <row r="51" spans="1:74" hidden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</row>
    <row r="52" spans="1:74" hidden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</row>
    <row r="53" spans="1:74" hidden="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</row>
    <row r="54" spans="1:74" hidden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</row>
    <row r="55" spans="1:74" hidden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</row>
    <row r="56" spans="1:74" hidden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</row>
    <row r="57" spans="1:74" hidden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</row>
    <row r="58" spans="1:74" hidden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</row>
    <row r="59" spans="1:74" hidden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</row>
    <row r="60" spans="1:74" hidden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</row>
    <row r="61" spans="1:74" hidden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</row>
    <row r="62" spans="1:74" hidden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</row>
    <row r="63" spans="1:74" hidden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</row>
    <row r="64" spans="1:74" hidden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</row>
    <row r="65" spans="1:74" hidden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</row>
    <row r="66" spans="1:74" hidden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</row>
    <row r="67" spans="1:74" hidden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</row>
    <row r="68" spans="1:74" hidden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</row>
    <row r="69" spans="1:74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</row>
    <row r="70" spans="1:74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</row>
    <row r="71" spans="1:74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</row>
    <row r="72" spans="1:74" hidden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</row>
    <row r="73" spans="1:74" hidden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</row>
    <row r="74" spans="1:74" hidden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</row>
    <row r="75" spans="1:74" hidden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</row>
    <row r="76" spans="1:74" hidden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</row>
    <row r="77" spans="1:74" hidden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</row>
    <row r="78" spans="1:74" hidden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</row>
    <row r="79" spans="1:74" hidden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</row>
    <row r="80" spans="1:74" hidden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</row>
    <row r="81" spans="1:74" hidden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</row>
    <row r="82" spans="1:74" hidden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</row>
    <row r="83" spans="1:74" hidden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</row>
    <row r="84" spans="1:74" hidden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</row>
    <row r="85" spans="1:74" hidden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</row>
    <row r="86" spans="1:74" hidden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</row>
    <row r="87" spans="1:74" hidden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</row>
    <row r="88" spans="1:74" hidden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</row>
    <row r="89" spans="1:74" hidden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</row>
    <row r="90" spans="1:74" hidden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</row>
    <row r="91" spans="1:74" hidden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</row>
    <row r="92" spans="1:74" hidden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</row>
    <row r="93" spans="1:74" hidden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</row>
    <row r="94" spans="1:74" hidden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</row>
    <row r="95" spans="1:74" hidden="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</row>
    <row r="96" spans="1:74" hidden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</row>
    <row r="97" spans="1:74" hidden="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</row>
    <row r="98" spans="1:74" hidden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</row>
    <row r="99" spans="1:74" hidden="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</row>
    <row r="100" spans="1:74" hidden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</row>
    <row r="101" spans="1:74" hidden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</row>
    <row r="102" spans="1:74" hidden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</row>
    <row r="103" spans="1:74" hidden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</row>
    <row r="104" spans="1:74" hidden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</row>
  </sheetData>
  <sheetProtection formatCells="0" formatColumns="0" formatRows="0" insertRows="0" deleteRows="0" sort="0" autoFilter="0" pivotTables="0"/>
  <mergeCells count="39">
    <mergeCell ref="BL3:BL4"/>
    <mergeCell ref="AX2:BL2"/>
    <mergeCell ref="AX3:AY3"/>
    <mergeCell ref="AZ3:BF3"/>
    <mergeCell ref="BG3:BH4"/>
    <mergeCell ref="BI3:BI4"/>
    <mergeCell ref="BJ3:BJ4"/>
    <mergeCell ref="BK3:BK4"/>
    <mergeCell ref="C2:F3"/>
    <mergeCell ref="D4:F4"/>
    <mergeCell ref="J2:K4"/>
    <mergeCell ref="L2:O4"/>
    <mergeCell ref="G2:I4"/>
    <mergeCell ref="S2:V4"/>
    <mergeCell ref="W3:X3"/>
    <mergeCell ref="Y3:Z3"/>
    <mergeCell ref="AA3:AB3"/>
    <mergeCell ref="AC3:AD3"/>
    <mergeCell ref="AE3:AF3"/>
    <mergeCell ref="W2:AB2"/>
    <mergeCell ref="AC2:AH2"/>
    <mergeCell ref="AG3:AH3"/>
    <mergeCell ref="AI2:AJ3"/>
    <mergeCell ref="P2:R4"/>
    <mergeCell ref="AV2:AW4"/>
    <mergeCell ref="AK2:AL2"/>
    <mergeCell ref="AK3:AK4"/>
    <mergeCell ref="AL3:AL4"/>
    <mergeCell ref="AO2:AU2"/>
    <mergeCell ref="AO3:AO4"/>
    <mergeCell ref="AP3:AP4"/>
    <mergeCell ref="AQ3:AQ4"/>
    <mergeCell ref="AR3:AR4"/>
    <mergeCell ref="AS3:AS4"/>
    <mergeCell ref="AT3:AT4"/>
    <mergeCell ref="AU3:AU4"/>
    <mergeCell ref="AM2:AN2"/>
    <mergeCell ref="AM3:AM4"/>
    <mergeCell ref="AN3:AN4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Logbook</vt:lpstr>
      <vt:lpstr>LogbookFilterHeaders</vt:lpstr>
      <vt:lpstr>LogbookHeaders</vt:lpstr>
      <vt:lpstr>LogbookSumTotals</vt:lpstr>
      <vt:lpstr>LogbookTotals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FlightLogX Logbook Export Template</dc:title>
  <dc:subject>Canonical mobile logbook export</dc:subject>
  <dc:creator>FlightLogX</dc:creator>
  <cp:keywords/>
  <dc:description/>
  <cp:lastModifiedBy>FlightLogX</cp:lastModifiedBy>
  <cp:revision>1</cp:revision>
  <dcterms:created xsi:type="dcterms:W3CDTF">2000-01-01T00:00:00Z</dcterms:created>
  <dcterms:modified xsi:type="dcterms:W3CDTF">2000-01-01T00:00:00Z</dcterms:modified>
  <cp:category/>
  <cp:contentStatus/>
</cp:coreProperties>
</file>