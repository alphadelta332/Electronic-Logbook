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A4E046D-98C4-4287-98F5-981523174265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W6" i="16" a="1"/>
  <c r="BG6" i="16" a="1"/>
  <c r="BB6" i="16" a="1"/>
  <c r="AV6" i="16" a="1"/>
  <c r="BH6" i="16" a="1"/>
  <c r="AZ6" i="16" a="1"/>
  <c r="BC6" i="16" a="1"/>
  <c r="BI6" i="16" a="1"/>
  <c r="BA6" i="16" a="1"/>
  <c r="AX6" i="16" a="1"/>
  <c r="AU6" i="16" a="1"/>
  <c r="AY6" i="16" a="1"/>
  <c r="BD6" i="16" a="1"/>
  <c r="BF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<sst xmlns="http://schemas.openxmlformats.org/spreadsheetml/2006/main" count="8189" uniqueCount="5432">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</sst>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5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9" fontId="3" fillId="0" borderId="35" xfId="0" applyNumberFormat="1" applyFont="1" applyBorder="1" applyAlignment="1">
      <alignment horizontal="center" vertical="center" wrapText="1"/>
    </xf>
    <xf numFmtId="172" fontId="3" fillId="0" borderId="3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/>
    <xf numFmtId="1" fontId="3" fillId="0" borderId="35" xfId="0" applyNumberFormat="1" applyFont="1" applyBorder="1"/>
    <xf numFmtId="165" fontId="3" fillId="0" borderId="34" xfId="0" applyNumberFormat="1" applyFont="1" applyBorder="1" applyAlignment="1">
      <alignment horizontal="center" vertical="center" wrapText="1"/>
    </xf>
    <xf numFmtId="165" fontId="3" fillId="0" borderId="35" xfId="0" applyNumberFormat="1" applyFont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3" fillId="0" borderId="34" xfId="0" applyFont="1" applyBorder="1" applyAlignment="1">
      <alignment horizontal="right" vertical="center" wrapText="1"/>
    </xf>
    <xf numFmtId="0" fontId="3" fillId="0" borderId="35" xfId="0" applyFont="1" applyBorder="1" applyAlignment="1">
      <alignment horizontal="right" vertical="center" wrapText="1"/>
    </xf>
    <xf numFmtId="165" fontId="3" fillId="0" borderId="0" xfId="0" applyNumberFormat="1" applyFont="1" applyAlignment="1">
      <alignment horizontal="center"/>
    </xf>
    <xf numFmtId="0" fontId="14" fillId="0" borderId="36" xfId="0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27" fillId="9" borderId="39" xfId="0" applyFont="1" applyFill="1" applyBorder="1" applyAlignment="1">
      <alignment horizontal="right" vertical="center"/>
    </xf>
    <xf numFmtId="0" fontId="27" fillId="9" borderId="40" xfId="0" applyFont="1" applyFill="1" applyBorder="1" applyAlignment="1">
      <alignment horizontal="right" vertical="center"/>
    </xf>
    <xf numFmtId="172" fontId="3" fillId="10" borderId="0" xfId="0" applyNumberFormat="1" applyFont="1" applyFill="1" applyAlignment="1">
      <alignment horizontal="center" vertical="center"/>
    </xf>
    <xf numFmtId="1" fontId="3" fillId="10" borderId="0" xfId="0" applyNumberFormat="1" applyFont="1" applyFill="1" applyAlignment="1">
      <alignment horizontal="center" vertical="center"/>
    </xf>
    <xf numFmtId="167" fontId="3" fillId="10" borderId="0" xfId="0" applyNumberFormat="1" applyFont="1" applyFill="1" applyAlignment="1">
      <alignment horizontal="center"/>
    </xf>
    <xf numFmtId="170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13" fillId="10" borderId="0" xfId="0" applyFont="1" applyFill="1" applyAlignment="1">
      <alignment horizontal="right"/>
    </xf>
    <xf numFmtId="165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/>
    </xf>
    <xf numFmtId="166" fontId="27" fillId="0" borderId="38" xfId="0" applyNumberFormat="1" applyFont="1" applyBorder="1" applyAlignment="1">
      <alignment horizontal="center" vertical="center"/>
    </xf>
    <xf numFmtId="166" fontId="27" fillId="9" borderId="41" xfId="0" applyNumberFormat="1" applyFont="1" applyFill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0" t="s">
        <v>5339</v>
      </c>
    </row>
    <row r="2" spans="1:1" x14ac:dyDescent="0.25">
      <c r="A2" s="250"/>
    </row>
    <row r="3" spans="1:1" x14ac:dyDescent="0.25">
      <c r="A3" s="250"/>
    </row>
    <row r="4" spans="1:1" x14ac:dyDescent="0.25">
      <c r="A4" s="250"/>
    </row>
    <row r="5" spans="1:1" x14ac:dyDescent="0.25">
      <c r="A5" s="250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59" t="s">
        <v>46</v>
      </c>
      <c r="C2" s="267" t="s">
        <v>46</v>
      </c>
      <c r="D2" s="254"/>
      <c r="E2" s="255"/>
      <c r="F2" s="253" t="s">
        <v>1</v>
      </c>
      <c r="G2" s="255"/>
      <c r="H2" s="262" t="s">
        <v>2</v>
      </c>
      <c r="I2" s="265" t="s">
        <v>3</v>
      </c>
      <c r="J2" s="262" t="s">
        <v>4</v>
      </c>
      <c r="K2" s="253" t="s">
        <v>5337</v>
      </c>
      <c r="L2" s="254"/>
      <c r="M2" s="254"/>
      <c r="N2" s="255"/>
      <c r="O2" s="272" t="s">
        <v>5</v>
      </c>
      <c r="P2" s="272"/>
      <c r="Q2" s="272"/>
      <c r="R2" s="272"/>
      <c r="S2" s="272"/>
      <c r="T2" s="272"/>
      <c r="U2" s="272" t="s">
        <v>6</v>
      </c>
      <c r="V2" s="272"/>
      <c r="W2" s="272"/>
      <c r="X2" s="272"/>
      <c r="Y2" s="272"/>
      <c r="Z2" s="272"/>
      <c r="AA2" s="253" t="s">
        <v>13</v>
      </c>
      <c r="AB2" s="255"/>
      <c r="AC2" s="272" t="s">
        <v>7</v>
      </c>
      <c r="AD2" s="272"/>
      <c r="AE2" s="272" t="s">
        <v>8</v>
      </c>
      <c r="AF2" s="272"/>
      <c r="AG2" s="253" t="s">
        <v>9</v>
      </c>
      <c r="AH2" s="254"/>
      <c r="AI2" s="254"/>
      <c r="AJ2" s="254"/>
      <c r="AK2" s="254"/>
      <c r="AL2" s="254"/>
      <c r="AM2" s="269"/>
    </row>
    <row r="3" spans="1:39" x14ac:dyDescent="0.25">
      <c r="A3" s="67"/>
      <c r="B3" s="260"/>
      <c r="C3" s="268"/>
      <c r="D3" s="257"/>
      <c r="E3" s="258"/>
      <c r="F3" s="256"/>
      <c r="G3" s="258"/>
      <c r="H3" s="263"/>
      <c r="I3" s="228"/>
      <c r="J3" s="263"/>
      <c r="K3" s="256"/>
      <c r="L3" s="257"/>
      <c r="M3" s="257"/>
      <c r="N3" s="258"/>
      <c r="O3" s="271" t="s">
        <v>10</v>
      </c>
      <c r="P3" s="271"/>
      <c r="Q3" s="271" t="s">
        <v>11</v>
      </c>
      <c r="R3" s="271"/>
      <c r="S3" s="271" t="s">
        <v>12</v>
      </c>
      <c r="T3" s="271"/>
      <c r="U3" s="271" t="s">
        <v>10</v>
      </c>
      <c r="V3" s="271"/>
      <c r="W3" s="271" t="s">
        <v>11</v>
      </c>
      <c r="X3" s="271"/>
      <c r="Y3" s="271" t="s">
        <v>12</v>
      </c>
      <c r="Z3" s="271"/>
      <c r="AA3" s="256"/>
      <c r="AB3" s="258"/>
      <c r="AC3" s="271" t="s">
        <v>14</v>
      </c>
      <c r="AD3" s="271" t="s">
        <v>15</v>
      </c>
      <c r="AE3" s="271"/>
      <c r="AF3" s="271"/>
      <c r="AG3" s="256"/>
      <c r="AH3" s="257"/>
      <c r="AI3" s="257"/>
      <c r="AJ3" s="257"/>
      <c r="AK3" s="257"/>
      <c r="AL3" s="257"/>
      <c r="AM3" s="270"/>
    </row>
    <row r="4" spans="1:39" x14ac:dyDescent="0.25">
      <c r="A4" s="67"/>
      <c r="B4" s="261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64"/>
      <c r="I4" s="266"/>
      <c r="J4" s="264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71"/>
      <c r="AD4" s="271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51" t="s">
        <v>5347</v>
      </c>
      <c r="D7" s="251"/>
      <c r="E7" s="251"/>
      <c r="F7" s="251"/>
      <c r="G7" s="251"/>
      <c r="H7" s="251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52"/>
      <c r="D8" s="252"/>
      <c r="E8" s="252"/>
      <c r="F8" s="252"/>
      <c r="G8" s="252"/>
      <c r="H8" s="252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15" t="s">
        <v>46</v>
      </c>
      <c r="C2" s="216"/>
      <c r="D2" s="216"/>
      <c r="E2" s="217"/>
      <c r="F2" s="223" t="s">
        <v>1</v>
      </c>
      <c r="G2" s="224"/>
      <c r="H2" s="223" t="s">
        <v>82</v>
      </c>
      <c r="I2" s="224"/>
      <c r="J2" s="227" t="s">
        <v>83</v>
      </c>
      <c r="K2" s="223" t="s">
        <v>5337</v>
      </c>
      <c r="L2" s="238"/>
      <c r="M2" s="238"/>
      <c r="N2" s="224"/>
      <c r="O2" s="243" t="s">
        <v>5</v>
      </c>
      <c r="P2" s="243"/>
      <c r="Q2" s="243"/>
      <c r="R2" s="243"/>
      <c r="S2" s="243"/>
      <c r="T2" s="243"/>
      <c r="U2" s="243" t="s">
        <v>6</v>
      </c>
      <c r="V2" s="243"/>
      <c r="W2" s="243"/>
      <c r="X2" s="243"/>
      <c r="Y2" s="243"/>
      <c r="Z2" s="243"/>
      <c r="AA2" s="223" t="s">
        <v>13</v>
      </c>
      <c r="AB2" s="224"/>
      <c r="AC2" s="243" t="s">
        <v>7</v>
      </c>
      <c r="AD2" s="243"/>
      <c r="AE2" s="243" t="s">
        <v>8</v>
      </c>
      <c r="AF2" s="243"/>
      <c r="AG2" s="223" t="s">
        <v>9</v>
      </c>
      <c r="AH2" s="238"/>
      <c r="AI2" s="238"/>
      <c r="AJ2" s="238"/>
      <c r="AK2" s="238"/>
      <c r="AL2" s="238"/>
      <c r="AM2" s="224"/>
      <c r="AN2" s="246" t="s">
        <v>85</v>
      </c>
      <c r="AO2" s="247"/>
      <c r="AP2" s="233" t="s">
        <v>5394</v>
      </c>
      <c r="AQ2" s="234"/>
      <c r="AR2" s="234"/>
      <c r="AS2" s="235"/>
      <c r="AT2" s="203" t="s">
        <v>5301</v>
      </c>
      <c r="AU2" s="207" t="s">
        <v>34</v>
      </c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9"/>
      <c r="BJ2" s="147"/>
    </row>
    <row r="3" spans="1:62" s="46" customFormat="1" x14ac:dyDescent="0.25">
      <c r="A3" s="147"/>
      <c r="B3" s="218"/>
      <c r="C3" s="219"/>
      <c r="D3" s="219"/>
      <c r="E3" s="220"/>
      <c r="F3" s="225"/>
      <c r="G3" s="226"/>
      <c r="H3" s="225"/>
      <c r="I3" s="226"/>
      <c r="J3" s="228"/>
      <c r="K3" s="225"/>
      <c r="L3" s="239"/>
      <c r="M3" s="239"/>
      <c r="N3" s="226"/>
      <c r="O3" s="243" t="s">
        <v>10</v>
      </c>
      <c r="P3" s="243"/>
      <c r="Q3" s="243" t="s">
        <v>11</v>
      </c>
      <c r="R3" s="243"/>
      <c r="S3" s="243" t="s">
        <v>12</v>
      </c>
      <c r="T3" s="243"/>
      <c r="U3" s="243" t="s">
        <v>10</v>
      </c>
      <c r="V3" s="243"/>
      <c r="W3" s="243" t="s">
        <v>11</v>
      </c>
      <c r="X3" s="243"/>
      <c r="Y3" s="243" t="s">
        <v>12</v>
      </c>
      <c r="Z3" s="243"/>
      <c r="AA3" s="240"/>
      <c r="AB3" s="242"/>
      <c r="AC3" s="243" t="s">
        <v>14</v>
      </c>
      <c r="AD3" s="243" t="s">
        <v>15</v>
      </c>
      <c r="AE3" s="243"/>
      <c r="AF3" s="243"/>
      <c r="AG3" s="240"/>
      <c r="AH3" s="241"/>
      <c r="AI3" s="241"/>
      <c r="AJ3" s="241"/>
      <c r="AK3" s="241"/>
      <c r="AL3" s="241"/>
      <c r="AM3" s="242"/>
      <c r="AN3" s="248"/>
      <c r="AO3" s="249"/>
      <c r="AP3" s="244" t="s">
        <v>5382</v>
      </c>
      <c r="AQ3" s="229" t="s">
        <v>33</v>
      </c>
      <c r="AR3" s="231" t="s">
        <v>5359</v>
      </c>
      <c r="AS3" s="236" t="s">
        <v>5431</v>
      </c>
      <c r="AT3" s="204"/>
      <c r="AU3" s="207" t="s">
        <v>8</v>
      </c>
      <c r="AV3" s="209"/>
      <c r="AW3" s="207" t="s">
        <v>9</v>
      </c>
      <c r="AX3" s="208"/>
      <c r="AY3" s="208"/>
      <c r="AZ3" s="208"/>
      <c r="BA3" s="208"/>
      <c r="BB3" s="208"/>
      <c r="BC3" s="209"/>
      <c r="BD3" s="210" t="s">
        <v>85</v>
      </c>
      <c r="BE3" s="211"/>
      <c r="BF3" s="214" t="s">
        <v>35</v>
      </c>
      <c r="BG3" s="214" t="s">
        <v>36</v>
      </c>
      <c r="BH3" s="214" t="s">
        <v>37</v>
      </c>
      <c r="BI3" s="206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21" t="s">
        <v>5327</v>
      </c>
      <c r="D4" s="221"/>
      <c r="E4" s="222"/>
      <c r="F4" s="225"/>
      <c r="G4" s="226"/>
      <c r="H4" s="225"/>
      <c r="I4" s="226"/>
      <c r="J4" s="228"/>
      <c r="K4" s="240"/>
      <c r="L4" s="241"/>
      <c r="M4" s="241"/>
      <c r="N4" s="242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227"/>
      <c r="AD4" s="227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248"/>
      <c r="AO4" s="249"/>
      <c r="AP4" s="245"/>
      <c r="AQ4" s="230"/>
      <c r="AR4" s="232"/>
      <c r="AS4" s="237"/>
      <c r="AT4" s="205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12"/>
      <c r="BE4" s="213"/>
      <c r="BF4" s="214"/>
      <c r="BG4" s="214"/>
      <c r="BH4" s="214"/>
      <c r="BI4" s="206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7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0" cm="1">
        <f t="array" aca="1" ref="AU6" ca="1">IF(ROW()=MAX(ROW(Logbook[LandingsDay])), Logbook[[#This Row],[LandingsDay]], Logbook[[#This Row],[LandingsDay]] + OFFSET(INDIRECT(ADDRESS(ROW(),COLUMN())),1,0))</f>
        <v>0</v>
      </c>
      <c r="AV6" s="180" cm="1">
        <f t="array" aca="1" ref="AV6" ca="1">IF(ROW()=MAX(ROW(Logbook[LandingsNight])), Logbook[[#This Row],[LandingsNight]], Logbook[[#This Row],[LandingsNight]] + OFFSET(INDIRECT(ADDRESS(ROW(),COLUMN())),1,0))</f>
        <v>0</v>
      </c>
      <c r="AW6" s="180" cm="1">
        <f t="array" aca="1" ref="AW6" ca="1">IF(ROW()=MAX(ROW(Logbook[ILS])), Logbook[[#This Row],[ILS]], Logbook[[#This Row],[ILS]] + OFFSET(INDIRECT(ADDRESS(ROW(),COLUMN())),1,0))</f>
        <v>0</v>
      </c>
      <c r="AX6" s="180" cm="1">
        <f t="array" aca="1" ref="AX6" ca="1">IF(ROW()=MAX(ROW(Logbook[VOR])), Logbook[[#This Row],[VOR]], Logbook[[#This Row],[VOR]] + OFFSET(INDIRECT(ADDRESS(ROW(),COLUMN())),1,0))</f>
        <v>0</v>
      </c>
      <c r="AY6" s="180" cm="1">
        <f t="array" aca="1" ref="AY6" ca="1">IF(ROW()=MAX(ROW(Logbook[RNAV])), Logbook[[#This Row],[RNAV]], Logbook[[#This Row],[RNAV]] + OFFSET(INDIRECT(ADDRESS(ROW(),COLUMN())),1,0))</f>
        <v>0</v>
      </c>
      <c r="AZ6" s="180" cm="1">
        <f t="array" aca="1" ref="AZ6" ca="1">IF(ROW()=MAX(ROW(Logbook[NDB])), Logbook[[#This Row],[NDB]], Logbook[[#This Row],[NDB]] + OFFSET(INDIRECT(ADDRESS(ROW(),COLUMN())),1,0))</f>
        <v>0</v>
      </c>
      <c r="BA6" s="180" cm="1">
        <f t="array" aca="1" ref="BA6" ca="1">IF(ROW()=MAX(ROW(Logbook[DGA (CDI)])), Logbook[[#This Row],[DGA (CDI)]], Logbook[[#This Row],[DGA (CDI)]] + OFFSET(INDIRECT(ADDRESS(ROW(),COLUMN())),1,0))</f>
        <v>0</v>
      </c>
      <c r="BB6" s="180" cm="1">
        <f t="array" aca="1" ref="BB6" ca="1">IF(ROW()=MAX(ROW(Logbook[DGA (Azi)])), Logbook[[#This Row],[DGA (Azi)]], Logbook[[#This Row],[DGA (Azi)]] + OFFSET(INDIRECT(ADDRESS(ROW(),COLUMN())),1,0))</f>
        <v>0</v>
      </c>
      <c r="BC6" s="180" cm="1">
        <f t="array" aca="1" ref="BC6" ca="1">IF(ROW()=MAX(ROW(Logbook[Circling])), Logbook[[#This Row],[Circling]], Logbook[[#This Row],[Circling]] + OFFSET(INDIRECT(ADDRESS(ROW(),COLUMN())),1,0))</f>
        <v>0</v>
      </c>
      <c r="BD6" s="180" cm="1">
        <f t="array" aca="1" ref="BD6" ca="1">IF(ROW()=MAX(ROW(Logbook[TotalApps])), Logbook[[#This Row],[TotalApps]], Logbook[[#This Row],[TotalApps]] + OFFSET(INDIRECT(ADDRESS(ROW(),COLUMN())),1,0))</f>
        <v>0</v>
      </c>
      <c r="BE6" s="182">
        <f>SUM(INDEX(Logbook[TotalHours],1):Logbook[[#This Row],[TotalHours]])</f>
        <v>0</v>
      </c>
      <c r="BF6" s="18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0" cm="1">
        <f t="array" aca="1" ref="BG6" ca="1">IF(ROW()=MAX(ROW(Logbook[ILS])), Logbook[[#This Row],[ILS]], Logbook[[#This Row],[ILS]] + OFFSET(INDIRECT(ADDRESS(ROW(),COLUMN())),1,0))</f>
        <v>0</v>
      </c>
      <c r="BH6" s="18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86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6">
        <f>SUM(Logbook[[#This Row],[SeIcusDay]:[CopilotNight]])</f>
        <v>0</v>
      </c>
      <c r="AO7" s="178">
        <f>SUM(Logbook[[#This Row],[ILS]:[DGA (Azi)]])</f>
        <v>0</v>
      </c>
      <c r="AP7" s="17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7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7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79"/>
      <c r="AT7" s="17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1" cm="1">
        <f t="array" aca="1" ref="AU7" ca="1">IF(ROW()=MAX(ROW(Logbook[LandingsDay])), Logbook[[#This Row],[LandingsDay]], Logbook[[#This Row],[LandingsDay]] + OFFSET(INDIRECT(ADDRESS(ROW(),COLUMN())),1,0))</f>
        <v>0</v>
      </c>
      <c r="AV7" s="181" cm="1">
        <f t="array" aca="1" ref="AV7" ca="1">IF(ROW()=MAX(ROW(Logbook[LandingsNight])), Logbook[[#This Row],[LandingsNight]], Logbook[[#This Row],[LandingsNight]] + OFFSET(INDIRECT(ADDRESS(ROW(),COLUMN())),1,0))</f>
        <v>0</v>
      </c>
      <c r="AW7" s="181" cm="1">
        <f t="array" aca="1" ref="AW7" ca="1">IF(ROW()=MAX(ROW(Logbook[ILS])), Logbook[[#This Row],[ILS]], Logbook[[#This Row],[ILS]] + OFFSET(INDIRECT(ADDRESS(ROW(),COLUMN())),1,0))</f>
        <v>0</v>
      </c>
      <c r="AX7" s="181" cm="1">
        <f t="array" aca="1" ref="AX7" ca="1">IF(ROW()=MAX(ROW(Logbook[VOR])), Logbook[[#This Row],[VOR]], Logbook[[#This Row],[VOR]] + OFFSET(INDIRECT(ADDRESS(ROW(),COLUMN())),1,0))</f>
        <v>0</v>
      </c>
      <c r="AY7" s="181" cm="1">
        <f t="array" aca="1" ref="AY7" ca="1">IF(ROW()=MAX(ROW(Logbook[RNAV])), Logbook[[#This Row],[RNAV]], Logbook[[#This Row],[RNAV]] + OFFSET(INDIRECT(ADDRESS(ROW(),COLUMN())),1,0))</f>
        <v>0</v>
      </c>
      <c r="AZ7" s="181" cm="1">
        <f t="array" aca="1" ref="AZ7" ca="1">IF(ROW()=MAX(ROW(Logbook[NDB])), Logbook[[#This Row],[NDB]], Logbook[[#This Row],[NDB]] + OFFSET(INDIRECT(ADDRESS(ROW(),COLUMN())),1,0))</f>
        <v>0</v>
      </c>
      <c r="BA7" s="181" cm="1">
        <f t="array" aca="1" ref="BA7" ca="1">IF(ROW()=MAX(ROW(Logbook[DGA (CDI)])), Logbook[[#This Row],[DGA (CDI)]], Logbook[[#This Row],[DGA (CDI)]] + OFFSET(INDIRECT(ADDRESS(ROW(),COLUMN())),1,0))</f>
        <v>0</v>
      </c>
      <c r="BB7" s="181" cm="1">
        <f t="array" aca="1" ref="BB7" ca="1">IF(ROW()=MAX(ROW(Logbook[DGA (Azi)])), Logbook[[#This Row],[DGA (Azi)]], Logbook[[#This Row],[DGA (Azi)]] + OFFSET(INDIRECT(ADDRESS(ROW(),COLUMN())),1,0))</f>
        <v>0</v>
      </c>
      <c r="BC7" s="181" cm="1">
        <f t="array" aca="1" ref="BC7" ca="1">IF(ROW()=MAX(ROW(Logbook[Circling])), Logbook[[#This Row],[Circling]], Logbook[[#This Row],[Circling]] + OFFSET(INDIRECT(ADDRESS(ROW(),COLUMN())),1,0))</f>
        <v>0</v>
      </c>
      <c r="BD7" s="181" cm="1">
        <f t="array" aca="1" ref="BD7" ca="1">IF(ROW()=MAX(ROW(Logbook[TotalApps])), Logbook[[#This Row],[TotalApps]], Logbook[[#This Row],[TotalApps]] + OFFSET(INDIRECT(ADDRESS(ROW(),COLUMN())),1,0))</f>
        <v>0</v>
      </c>
      <c r="BE7" s="183">
        <f>SUM(INDEX(Logbook[TotalHours],1):Logbook[[#This Row],[TotalHours]])</f>
        <v>0</v>
      </c>
      <c r="BF7" s="18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1" cm="1">
        <f t="array" aca="1" ref="BG7" ca="1">IF(ROW()=MAX(ROW(Logbook[ILS])), Logbook[[#This Row],[ILS]], Logbook[[#This Row],[ILS]] + OFFSET(INDIRECT(ADDRESS(ROW(),COLUMN())),1,0))</f>
        <v>0</v>
      </c>
      <c r="BH7" s="18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87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193"/>
      <c r="C8" s="194"/>
      <c r="D8" s="195"/>
      <c r="E8" s="196"/>
      <c r="F8" s="197"/>
      <c r="G8" s="189"/>
      <c r="H8" s="190" t="s">
        <v>29</v>
      </c>
      <c r="I8" s="201">
        <f>SUM(Logbook[[#Totals],[SeIcusDay]:[CopilotNight]])</f>
        <v>0</v>
      </c>
      <c r="J8" s="198" t="s">
        <v>81</v>
      </c>
      <c r="K8" s="199">
        <f>SUBTOTAL(109,Logbook[Custom 1])</f>
        <v>0</v>
      </c>
      <c r="L8" s="199">
        <f>SUBTOTAL(109,Logbook[Custom 2])</f>
        <v>0</v>
      </c>
      <c r="M8" s="199">
        <f>SUBTOTAL(109,Logbook[Custom 3])</f>
        <v>0</v>
      </c>
      <c r="N8" s="200">
        <f>SUBTOTAL(109,Logbook[Custom 4])</f>
        <v>0</v>
      </c>
      <c r="O8" s="199">
        <f>SUBTOTAL(109,Logbook[SeIcusDay])</f>
        <v>0</v>
      </c>
      <c r="P8" s="199">
        <f>SUBTOTAL(109,Logbook[SeIcusNight])</f>
        <v>0</v>
      </c>
      <c r="Q8" s="199">
        <f>SUBTOTAL(109,Logbook[SeDualDay])</f>
        <v>0</v>
      </c>
      <c r="R8" s="199">
        <f>SUBTOTAL(109,Logbook[SeDualNight])</f>
        <v>0</v>
      </c>
      <c r="S8" s="199">
        <f>SUBTOTAL(109,Logbook[SeCommandDay])</f>
        <v>0</v>
      </c>
      <c r="T8" s="199">
        <f>SUBTOTAL(109,Logbook[SeCommandNight])</f>
        <v>0</v>
      </c>
      <c r="U8" s="199">
        <f>SUBTOTAL(109,Logbook[MeIcusDay])</f>
        <v>0</v>
      </c>
      <c r="V8" s="199">
        <f>SUBTOTAL(109,Logbook[MeIcusNight])</f>
        <v>0</v>
      </c>
      <c r="W8" s="199">
        <f>SUBTOTAL(109,Logbook[MeDualDay])</f>
        <v>0</v>
      </c>
      <c r="X8" s="199">
        <f>SUBTOTAL(109,Logbook[MeDualNight])</f>
        <v>0</v>
      </c>
      <c r="Y8" s="199">
        <f>SUBTOTAL(109,Logbook[MeCommandDay])</f>
        <v>0</v>
      </c>
      <c r="Z8" s="199">
        <f>SUBTOTAL(109,Logbook[MeCommandNight])</f>
        <v>0</v>
      </c>
      <c r="AA8" s="199">
        <f>SUBTOTAL(109,Logbook[CopilotDay])</f>
        <v>0</v>
      </c>
      <c r="AB8" s="199">
        <f>SUBTOTAL(109,Logbook[CopilotNight])</f>
        <v>0</v>
      </c>
      <c r="AC8" s="199">
        <f>SUBTOTAL(109,Logbook[IfrIf])</f>
        <v>0</v>
      </c>
      <c r="AD8" s="199">
        <f>SUBTOTAL(109,Logbook[IfrSim])</f>
        <v>0</v>
      </c>
      <c r="AE8" s="200">
        <f>SUBTOTAL(109,Logbook[LandingsDay])</f>
        <v>0</v>
      </c>
      <c r="AF8" s="200">
        <f>SUBTOTAL(109,Logbook[LandingsNight])</f>
        <v>0</v>
      </c>
      <c r="AG8" s="200">
        <f>SUBTOTAL(109,Logbook[ILS])</f>
        <v>0</v>
      </c>
      <c r="AH8" s="200">
        <f>SUBTOTAL(109,Logbook[VOR])</f>
        <v>0</v>
      </c>
      <c r="AI8" s="200">
        <f>SUBTOTAL(109,Logbook[RNAV])</f>
        <v>0</v>
      </c>
      <c r="AJ8" s="200">
        <f>SUBTOTAL(109,Logbook[NDB])</f>
        <v>0</v>
      </c>
      <c r="AK8" s="200">
        <f>SUBTOTAL(109,Logbook[DGA (CDI)])</f>
        <v>0</v>
      </c>
      <c r="AL8" s="200">
        <f>SUBTOTAL(109,Logbook[DGA (Azi)])</f>
        <v>0</v>
      </c>
      <c r="AM8" s="200">
        <f>SUBTOTAL(109,Logbook[Circling])</f>
        <v>0</v>
      </c>
      <c r="AN8" s="188">
        <f>SUBTOTAL(109,Logbook[TotalHours])</f>
        <v>0</v>
      </c>
      <c r="AO8" s="45">
        <f>SUBTOTAL(109,Logbook[TotalApps])</f>
        <v>0</v>
      </c>
      <c r="AU8" s="1"/>
      <c r="AV8" s="1"/>
      <c r="AW8" s="1"/>
      <c r="AX8" s="1"/>
      <c r="AY8" s="1"/>
      <c r="AZ8" s="1"/>
      <c r="BA8" s="1"/>
      <c r="BB8" s="1"/>
      <c r="BC8" s="1"/>
      <c r="BE8" s="1"/>
      <c r="BF8" s="1"/>
      <c r="BG8" s="1"/>
      <c r="BH8" s="1"/>
      <c r="BI8" s="115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160"/>
      <c r="G9" s="191"/>
      <c r="H9" s="192" t="s">
        <v>30</v>
      </c>
      <c r="I9" s="202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76" t="s">
        <v>5406</v>
      </c>
      <c r="F2" s="277"/>
      <c r="G2" s="278"/>
      <c r="H2" s="279"/>
      <c r="I2" s="2"/>
      <c r="J2" s="280" t="s">
        <v>5407</v>
      </c>
      <c r="K2" s="281"/>
      <c r="L2" s="281"/>
      <c r="M2" s="281"/>
      <c r="N2" s="282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23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3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46187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74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74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73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74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75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73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74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74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74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74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74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75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8" customWidth="1"/>
    <col min="2" max="2" width="45.85546875" style="1" bestFit="1" customWidth="1"/>
    <col min="3" max="3" width="50.7109375" style="1" bestFit="1" customWidth="1"/>
    <col min="4" max="4" width="3.7109375" style="68" customWidth="1"/>
    <col min="5" max="16384" width="9.140625" style="68" hidden="1"/>
  </cols>
  <sheetData>
    <row r="1" spans="2:3" x14ac:dyDescent="0.25">
      <c r="B1" s="68"/>
      <c r="C1" s="68"/>
    </row>
    <row r="2" spans="2:3" x14ac:dyDescent="0.25">
      <c r="B2" s="66" t="s">
        <v>105</v>
      </c>
      <c r="C2" s="66" t="s">
        <v>106</v>
      </c>
    </row>
    <row r="3" spans="2:3" ht="15.75" x14ac:dyDescent="0.25">
      <c r="B3" s="133" t="s">
        <v>107</v>
      </c>
      <c r="C3" s="1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33" t="s">
        <v>108</v>
      </c>
      <c r="C4" s="1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33" t="s">
        <v>109</v>
      </c>
      <c r="C5" s="1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33" t="s">
        <v>110</v>
      </c>
      <c r="C6" s="1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33" t="s">
        <v>112</v>
      </c>
      <c r="C7" s="1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33" t="s">
        <v>113</v>
      </c>
      <c r="C8" s="1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33" t="s">
        <v>120</v>
      </c>
      <c r="C9" s="1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33" t="s">
        <v>111</v>
      </c>
      <c r="C10" s="125">
        <f>AVERAGE(Logbook[TotalHours])</f>
        <v>0</v>
      </c>
    </row>
    <row r="11" spans="2:3" ht="15.75" x14ac:dyDescent="0.25">
      <c r="B11" s="133" t="s">
        <v>121</v>
      </c>
      <c r="C11" s="1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33" t="s">
        <v>122</v>
      </c>
      <c r="C12" s="1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33" t="s">
        <v>118</v>
      </c>
      <c r="C13" s="1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33" t="s">
        <v>119</v>
      </c>
      <c r="C14" s="126" t="str">
        <f>IFERROR(Logbook[[#Totals],[IfrIf]]/Logbook[[#Totals],[TotalHours]],"No flying hours")</f>
        <v>No flying hours</v>
      </c>
    </row>
    <row r="15" spans="2:3" ht="15.75" x14ac:dyDescent="0.25">
      <c r="B15" s="133" t="s">
        <v>114</v>
      </c>
      <c r="C15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33" t="s">
        <v>115</v>
      </c>
      <c r="C16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33" t="s">
        <v>116</v>
      </c>
      <c r="C17" s="127">
        <f>Logbook[[#Totals],[TotalHours]]*120</f>
        <v>0</v>
      </c>
    </row>
    <row r="18" spans="2:3" ht="15.75" x14ac:dyDescent="0.25">
      <c r="B18" s="133" t="s">
        <v>117</v>
      </c>
      <c r="C18" s="128">
        <f>C17/207600</f>
        <v>0</v>
      </c>
    </row>
    <row r="19" spans="2:3" ht="15.75" x14ac:dyDescent="0.25">
      <c r="B19" s="133" t="s">
        <v>123</v>
      </c>
      <c r="C19" s="1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33" t="s">
        <v>124</v>
      </c>
      <c r="C20" s="1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33" t="s">
        <v>5300</v>
      </c>
      <c r="C21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33" t="s">
        <v>5302</v>
      </c>
      <c r="C22" s="12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33" t="s">
        <v>5310</v>
      </c>
      <c r="C23" s="1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33" t="s">
        <v>5309</v>
      </c>
      <c r="C24" s="124" cm="1">
        <f t="array" ref="C24">COUNTA(_xlfn._xlws.FILTER(Airports[ICAO], ISNUMBER(Airports[Visits])))</f>
        <v>1</v>
      </c>
    </row>
    <row r="25" spans="2:3" ht="15.75" x14ac:dyDescent="0.25">
      <c r="B25" s="133" t="s">
        <v>5314</v>
      </c>
      <c r="C25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33" t="s">
        <v>5315</v>
      </c>
      <c r="C26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8"/>
      <c r="C27" s="68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83" t="s">
        <v>5318</v>
      </c>
      <c r="C1" s="283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84" t="s">
        <v>5322</v>
      </c>
      <c r="C3" s="284"/>
    </row>
    <row r="4" spans="1:3" ht="39.950000000000003" customHeight="1" x14ac:dyDescent="0.25">
      <c r="A4" s="108" t="s">
        <v>5320</v>
      </c>
      <c r="B4" s="283" t="s">
        <v>5323</v>
      </c>
      <c r="C4" s="283"/>
    </row>
    <row r="5" spans="1:3" ht="39.950000000000003" customHeight="1" x14ac:dyDescent="0.25">
      <c r="A5" s="108" t="s">
        <v>5321</v>
      </c>
      <c r="B5" s="283" t="s">
        <v>5324</v>
      </c>
      <c r="C5" s="283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29011687-F244-4331-A4D9-81406585EBCF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6202F6EB-4C39-49C2-9670-53A039BBAF39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3D30612E-7D2C-460B-8D2B-25D379C8156B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2026-06-13T22:54:29Z</dcterms:modified>
  <cp:category/>
  <cp:contentStatus/>
</cp:coreProperties>
</file>