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showInkAnnotation="0" codeName="ThisWorkbook" defaultThemeVersion="166925"/>
  <xr:revisionPtr revIDLastSave="0" documentId="13_ncr:1_{515D9FC5-052E-486D-95E6-5CA646321057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11" r:id="rId4"/>
    <sheet name="Charts" sheetId="26" r:id="rId5"/>
    <sheet name="Stats" sheetId="27" r:id="rId6"/>
    <sheet name="Map" sheetId="31" r:id="rId7"/>
    <sheet name="Admin" sheetId="32" state="hidden" r:id="rId8"/>
    <sheet name="Routes" sheetId="30" state="hidden" r:id="rId9"/>
    <sheet name="Airports" sheetId="28" state="hidden" r:id="rId10"/>
    <sheet name="Data" sheetId="10" state="hidden" r:id="rId11"/>
    <sheet name="ChartData" sheetId="23" state="hidden" r:id="rId12"/>
  </sheets>
  <functionGroups builtInGroupCount="19"/>
  <definedNames>
    <definedName name="_xlnm._FilterDatabase" localSheetId="10" hidden="1">Data!#REF!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before" hidden="1" xlm="1">#NAME?</definedName>
    <definedName name="_xlpm.c" hidden="1" xlm="1">#NAME?</definedName>
    <definedName name="_xlpm.checkCode" hidden="1" xlm="1">#NAME?</definedName>
    <definedName name="_xlpm.circIpc" hidden="1" xlm="1">#NAME?</definedName>
    <definedName name="_xlpm.circOn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ata" hidden="1" xlm="1">#NAME?</definedName>
    <definedName name="_xlpm.date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st" hidden="1" xlm="1">#NAME?</definedName>
    <definedName name="_xlpm.endDate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lastCheck" hidden="1" xlm="1">#NAME?</definedName>
    <definedName name="_xlpm.lastIpc" hidden="1" xlm="1">#NAME?</definedName>
    <definedName name="_xlpm.lastOpc" hidden="1" xlm="1">#NAME?</definedName>
    <definedName name="_xlpm.lastSpace" hidden="1" xlm="1">#NAME?</definedName>
    <definedName name="_xlpm.lat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noMatch" hidden="1" xlm="1">#NAME?</definedName>
    <definedName name="_xlpm.normal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IPC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m" hidden="1" xlm="1">#NAME?</definedName>
    <definedName name="apptable">Data!$E$1:$G$5</definedName>
    <definedName name="DateAfterExport">Admin!$B$5</definedName>
    <definedName name="GitHubBranch">Admin!$B$10</definedName>
    <definedName name="GitHubToken">Admin!$B$9</definedName>
    <definedName name="IpcExpiry">'Currency + Recency'!$T$5</definedName>
    <definedName name="IpcLast">'Currency + Recency'!$T$1</definedName>
    <definedName name="LogbookTotals">Logbook!$F$7:$H$8</definedName>
    <definedName name="LogbookVersion">Admin!$B$3</definedName>
    <definedName name="monthtable">Data!$A$1:$B$12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RoutesBuilt">Admin!$B$6</definedName>
    <definedName name="RoutesDefinitionVersion">Admin!$B$8</definedName>
    <definedName name="RoutesDirty">Admin!$B$7</definedName>
    <definedName name="RunningTotalHours">ChartData!$W:$X</definedName>
    <definedName name="SelectYears">Data!$C$1:$C$50</definedName>
    <definedName name="suppressWarningsUntil">Admin!$B$4</definedName>
    <definedName name="today">'Currency + Recency'!$T$9</definedName>
    <definedName name="VisitedAirportLocations">ChartData!$AK:$AN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27" l="1"/>
  <c r="B24" i="27"/>
  <c r="B19" i="27" a="1"/>
  <c r="B19" i="27" s="1"/>
  <c r="T2" i="11"/>
  <c r="T3" i="11"/>
  <c r="T5" i="11"/>
  <c r="T6" i="11" s="1"/>
  <c r="T9" i="11"/>
  <c r="AP5" i="16"/>
  <c r="AP6" i="16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4" i="11" l="1"/>
  <c r="T7" i="11"/>
  <c r="N6" i="11"/>
  <c r="L3" i="17"/>
  <c r="M3" i="17"/>
  <c r="N3" i="17"/>
  <c r="K3" i="17"/>
  <c r="M7" i="16"/>
  <c r="AN5" i="16"/>
  <c r="AN6" i="16"/>
  <c r="T8" i="11" l="1"/>
  <c r="D6" i="11" s="1"/>
  <c r="E2234" i="28"/>
  <c r="AM5" i="16"/>
  <c r="AM6" i="16"/>
  <c r="AO5" i="16"/>
  <c r="AO6" i="16"/>
  <c r="AR6" i="16" a="1"/>
  <c r="AS6" i="16" a="1"/>
  <c r="AV6" i="16" a="1"/>
  <c r="AW6" i="16" a="1"/>
  <c r="BA6" i="16" a="1"/>
  <c r="AX6" i="16" a="1"/>
  <c r="AY6" i="16" a="1"/>
  <c r="AZ6" i="16" a="1"/>
  <c r="BC6" i="16" a="1"/>
  <c r="BD6" i="16" a="1"/>
  <c r="BE6" i="16" a="1"/>
  <c r="BF6" i="16" a="1"/>
  <c r="AU6" i="16" a="1"/>
  <c r="AT6" i="16" a="1"/>
  <c r="I2234" i="28" l="1" a="1"/>
  <c r="I2234" i="28" s="1"/>
  <c r="H2234" i="28" a="1"/>
  <c r="H2234" i="28" s="1"/>
  <c r="G2234" i="28" a="1"/>
  <c r="G2234" i="28" s="1"/>
  <c r="BB5" i="16"/>
  <c r="BB6" i="16"/>
  <c r="AT6" i="16"/>
  <c r="AU6" i="16"/>
  <c r="BF6" i="16"/>
  <c r="BE6" i="16"/>
  <c r="BD6" i="16"/>
  <c r="BC6" i="16"/>
  <c r="AZ6" i="16"/>
  <c r="AY6" i="16"/>
  <c r="AX6" i="16"/>
  <c r="BA6" i="16"/>
  <c r="AW6" i="16"/>
  <c r="AV6" i="16"/>
  <c r="AS6" i="16"/>
  <c r="AR6" i="16"/>
  <c r="BA5" i="16" a="1"/>
  <c r="AW5" i="16" a="1"/>
  <c r="AR5" i="16" a="1"/>
  <c r="BF5" i="16" a="1"/>
  <c r="AY5" i="16" a="1"/>
  <c r="AV5" i="16" a="1"/>
  <c r="AS5" i="16" a="1"/>
  <c r="BC5" i="16" a="1"/>
  <c r="AT5" i="16" a="1"/>
  <c r="AZ5" i="16" a="1"/>
  <c r="BE5" i="16" a="1"/>
  <c r="AX5" i="16" a="1"/>
  <c r="AU5" i="16" a="1"/>
  <c r="BD5" i="16" a="1"/>
  <c r="AW5" i="16" l="1"/>
  <c r="BA5" i="16"/>
  <c r="E6" i="11" s="1" a="1"/>
  <c r="E6" i="11" s="1"/>
  <c r="AR5" i="16"/>
  <c r="AS5" i="16"/>
  <c r="AV5" i="16"/>
  <c r="AZ5" i="16"/>
  <c r="BF5" i="16"/>
  <c r="AX5" i="16"/>
  <c r="BC5" i="16"/>
  <c r="AU5" i="16"/>
  <c r="AY5" i="16"/>
  <c r="BD5" i="16"/>
  <c r="H6" i="11" s="1"/>
  <c r="BE5" i="16"/>
  <c r="AT5" i="16"/>
  <c r="L6" i="11" l="1"/>
  <c r="M6" i="11"/>
  <c r="J6" i="11"/>
  <c r="K6" i="11"/>
  <c r="I6" i="11"/>
  <c r="F1337" i="28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H894" i="28" a="1"/>
  <c r="H894" i="28" s="1"/>
  <c r="G894" i="28" a="1"/>
  <c r="G894" i="28" s="1"/>
  <c r="I878" i="28" a="1"/>
  <c r="I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H382" i="28" a="1"/>
  <c r="H382" i="28" s="1"/>
  <c r="G382" i="28" a="1"/>
  <c r="G382" i="28" s="1"/>
  <c r="I366" i="28" a="1"/>
  <c r="I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H1332" i="28" a="1"/>
  <c r="H1332" i="28" s="1"/>
  <c r="G1332" i="28" a="1"/>
  <c r="G1332" i="28" s="1"/>
  <c r="I1316" i="28" a="1"/>
  <c r="I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H171" i="28" a="1"/>
  <c r="H171" i="28" s="1"/>
  <c r="G171" i="28" a="1"/>
  <c r="G171" i="28" s="1"/>
  <c r="I155" i="28" a="1"/>
  <c r="I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H2143" i="28" a="1"/>
  <c r="H2143" i="28" s="1"/>
  <c r="G2143" i="28" a="1"/>
  <c r="G2143" i="28" s="1"/>
  <c r="I2127" i="28" a="1"/>
  <c r="I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H1776" i="28" a="1"/>
  <c r="H1776" i="28" s="1"/>
  <c r="G1776" i="28" a="1"/>
  <c r="G1776" i="28" s="1"/>
  <c r="I1760" i="28" a="1"/>
  <c r="I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H397" i="28" a="1"/>
  <c r="H397" i="28" s="1"/>
  <c r="G397" i="28" a="1"/>
  <c r="G397" i="28" s="1"/>
  <c r="I381" i="28" a="1"/>
  <c r="I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H1350" i="28" a="1"/>
  <c r="H1350" i="28" s="1"/>
  <c r="G1350" i="28" a="1"/>
  <c r="G1350" i="28" s="1"/>
  <c r="I1315" i="28" a="1"/>
  <c r="I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H2415" i="28" a="1"/>
  <c r="H2415" i="28" s="1"/>
  <c r="G2415" i="28" a="1"/>
  <c r="G2415" i="28" s="1"/>
  <c r="I2399" i="28" a="1"/>
  <c r="I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H2158" i="28" a="1"/>
  <c r="H2158" i="28" s="1"/>
  <c r="G2158" i="28" a="1"/>
  <c r="G2158" i="28" s="1"/>
  <c r="I2142" i="28" a="1"/>
  <c r="I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H1196" i="28" a="1"/>
  <c r="H1196" i="28" s="1"/>
  <c r="G1196" i="28" a="1"/>
  <c r="G1196" i="28" s="1"/>
  <c r="I1180" i="28" a="1"/>
  <c r="I1180" i="28" s="1"/>
  <c r="H1180" i="28" a="1"/>
  <c r="H1180" i="28" s="1"/>
  <c r="G1180" i="28" a="1"/>
  <c r="G1180" i="28" s="1"/>
  <c r="I1164" i="28" a="1"/>
  <c r="I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H924" i="28" a="1"/>
  <c r="H924" i="28" s="1"/>
  <c r="G924" i="28" a="1"/>
  <c r="G924" i="28" s="1"/>
  <c r="I908" i="28" a="1"/>
  <c r="I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H668" i="28" a="1"/>
  <c r="H668" i="28" s="1"/>
  <c r="G668" i="28" a="1"/>
  <c r="G668" i="28" s="1"/>
  <c r="I652" i="28" a="1"/>
  <c r="I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H428" i="28" a="1"/>
  <c r="H428" i="28" s="1"/>
  <c r="G428" i="28" a="1"/>
  <c r="G428" i="28" s="1"/>
  <c r="I412" i="28" a="1"/>
  <c r="I412" i="28" s="1"/>
  <c r="H412" i="28" a="1"/>
  <c r="H412" i="28" s="1"/>
  <c r="G412" i="28" a="1"/>
  <c r="G412" i="28" s="1"/>
  <c r="I396" i="28" a="1"/>
  <c r="I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H1643" i="28" a="1"/>
  <c r="H1643" i="28" s="1"/>
  <c r="G1643" i="28" a="1"/>
  <c r="G1643" i="28" s="1"/>
  <c r="I1463" i="28" a="1"/>
  <c r="I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H1462" i="28" a="1"/>
  <c r="H1462" i="28" s="1"/>
  <c r="G1462" i="28" a="1"/>
  <c r="G1462" i="28" s="1"/>
  <c r="I1446" i="28" a="1"/>
  <c r="I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H323" i="28" a="1"/>
  <c r="H323" i="28" s="1"/>
  <c r="G323" i="28" a="1"/>
  <c r="G323" i="28" s="1"/>
  <c r="I306" i="28" a="1"/>
  <c r="I306" i="28" s="1"/>
  <c r="H306" i="28" a="1"/>
  <c r="H306" i="28" s="1"/>
  <c r="G306" i="28" a="1"/>
  <c r="G306" i="28" s="1"/>
  <c r="I290" i="28" a="1"/>
  <c r="I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H2558" i="28" a="1"/>
  <c r="H2558" i="28" s="1"/>
  <c r="G2558" i="28" a="1"/>
  <c r="G2558" i="28" s="1"/>
  <c r="I2542" i="28" a="1"/>
  <c r="I2542" i="28" s="1"/>
  <c r="H2542" i="28" a="1"/>
  <c r="H2542" i="28" s="1"/>
  <c r="G2542" i="28" a="1"/>
  <c r="G2542" i="28" s="1"/>
  <c r="I2526" i="28" a="1"/>
  <c r="I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H2302" i="28" a="1"/>
  <c r="H2302" i="28" s="1"/>
  <c r="G2302" i="28" a="1"/>
  <c r="G2302" i="28" s="1"/>
  <c r="I2286" i="28" a="1"/>
  <c r="I2286" i="28" s="1"/>
  <c r="H2286" i="28" a="1"/>
  <c r="H2286" i="28" s="1"/>
  <c r="G2286" i="28" a="1"/>
  <c r="G2286" i="28" s="1"/>
  <c r="I2270" i="28" a="1"/>
  <c r="I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H2045" i="28" a="1"/>
  <c r="H2045" i="28" s="1"/>
  <c r="G2045" i="28" a="1"/>
  <c r="G2045" i="28" s="1"/>
  <c r="I2029" i="28" a="1"/>
  <c r="I2029" i="28" s="1"/>
  <c r="H2029" i="28" a="1"/>
  <c r="H2029" i="28" s="1"/>
  <c r="G2029" i="28" a="1"/>
  <c r="G2029" i="28" s="1"/>
  <c r="I2013" i="28" a="1"/>
  <c r="I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H1195" i="28" a="1"/>
  <c r="H1195" i="28" s="1"/>
  <c r="G1195" i="28" a="1"/>
  <c r="G1195" i="28" s="1"/>
  <c r="I1179" i="28" a="1"/>
  <c r="I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H1067" i="28" a="1"/>
  <c r="H1067" i="28" s="1"/>
  <c r="G1067" i="28" a="1"/>
  <c r="G1067" i="28" s="1"/>
  <c r="I1051" i="28" a="1"/>
  <c r="I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H811" i="28" a="1"/>
  <c r="H811" i="28" s="1"/>
  <c r="G811" i="28" a="1"/>
  <c r="G811" i="28" s="1"/>
  <c r="I795" i="28" a="1"/>
  <c r="I795" i="28" s="1"/>
  <c r="H795" i="28" a="1"/>
  <c r="H795" i="28" s="1"/>
  <c r="G795" i="28" a="1"/>
  <c r="G795" i="28" s="1"/>
  <c r="I779" i="28" a="1"/>
  <c r="I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H98" i="28" a="1"/>
  <c r="H98" i="28" s="1"/>
  <c r="G98" i="28" a="1"/>
  <c r="G98" i="28" s="1"/>
  <c r="I82" i="28" a="1"/>
  <c r="I82" i="28" s="1"/>
  <c r="H82" i="28" a="1"/>
  <c r="H82" i="28" s="1"/>
  <c r="G82" i="28" a="1"/>
  <c r="G82" i="28" s="1"/>
  <c r="I66" i="28" a="1"/>
  <c r="I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G18" i="28" a="1"/>
  <c r="G18" i="28" s="1"/>
  <c r="I2" i="28" a="1"/>
  <c r="I2" i="28" s="1"/>
  <c r="H2" i="28" a="1"/>
  <c r="H2" i="28" s="1"/>
  <c r="G2" i="28" a="1"/>
  <c r="G2" i="28" s="1"/>
  <c r="AQ5" i="16" a="1"/>
  <c r="AQ5" i="16" s="1"/>
  <c r="AQ6" i="16" a="1"/>
  <c r="AQ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H1954" i="28" a="1"/>
  <c r="H1954" i="28" s="1"/>
  <c r="G1954" i="28" a="1"/>
  <c r="G1954" i="28" s="1"/>
  <c r="I1936" i="28" a="1"/>
  <c r="I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H1429" i="28" a="1"/>
  <c r="H1429" i="28" s="1"/>
  <c r="G1429" i="28" a="1"/>
  <c r="G1429" i="28" s="1"/>
  <c r="I1413" i="28" a="1"/>
  <c r="I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H271" i="28" a="1"/>
  <c r="H271" i="28" s="1"/>
  <c r="G271" i="28" a="1"/>
  <c r="G271" i="28" s="1"/>
  <c r="I253" i="28" a="1"/>
  <c r="I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H2493" i="28" a="1"/>
  <c r="H2493" i="28" s="1"/>
  <c r="G2493" i="28" a="1"/>
  <c r="G2493" i="28" s="1"/>
  <c r="I2477" i="28" a="1"/>
  <c r="I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H2237" i="28" a="1"/>
  <c r="H2237" i="28" s="1"/>
  <c r="G2237" i="28" a="1"/>
  <c r="G2237" i="28" s="1"/>
  <c r="I2220" i="28" a="1"/>
  <c r="I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H2140" i="28" a="1"/>
  <c r="H2140" i="28" s="1"/>
  <c r="G2140" i="28" a="1"/>
  <c r="G2140" i="28" s="1"/>
  <c r="I2124" i="28" a="1"/>
  <c r="I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H1980" i="28" a="1"/>
  <c r="H1980" i="28" s="1"/>
  <c r="G1980" i="28" a="1"/>
  <c r="G1980" i="28" s="1"/>
  <c r="I1964" i="28" a="1"/>
  <c r="I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H1506" i="28" a="1"/>
  <c r="H1506" i="28" s="1"/>
  <c r="G1506" i="28" a="1"/>
  <c r="G1506" i="28" s="1"/>
  <c r="I1490" i="28" a="1"/>
  <c r="I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H1002" i="28" a="1"/>
  <c r="H1002" i="28" s="1"/>
  <c r="G1002" i="28" a="1"/>
  <c r="G1002" i="28" s="1"/>
  <c r="I986" i="28" a="1"/>
  <c r="I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H874" i="28" a="1"/>
  <c r="H874" i="28" s="1"/>
  <c r="G874" i="28" a="1"/>
  <c r="G874" i="28" s="1"/>
  <c r="I858" i="28" a="1"/>
  <c r="I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H746" i="28" a="1"/>
  <c r="H746" i="28" s="1"/>
  <c r="G746" i="28" a="1"/>
  <c r="G746" i="28" s="1"/>
  <c r="I730" i="28" a="1"/>
  <c r="I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H618" i="28" a="1"/>
  <c r="H618" i="28" s="1"/>
  <c r="G618" i="28" a="1"/>
  <c r="G618" i="28" s="1"/>
  <c r="I602" i="28" a="1"/>
  <c r="I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H490" i="28" a="1"/>
  <c r="H490" i="28" s="1"/>
  <c r="G490" i="28" a="1"/>
  <c r="G490" i="28" s="1"/>
  <c r="I474" i="28" a="1"/>
  <c r="I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H1695" i="28" a="1"/>
  <c r="H1695" i="28" s="1"/>
  <c r="G1695" i="28" a="1"/>
  <c r="G1695" i="28" s="1"/>
  <c r="I1678" i="28" a="1"/>
  <c r="I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H1412" i="28" a="1"/>
  <c r="H1412" i="28" s="1"/>
  <c r="G1412" i="28" a="1"/>
  <c r="G1412" i="28" s="1"/>
  <c r="I1396" i="28" a="1"/>
  <c r="I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H1276" i="28" a="1"/>
  <c r="H1276" i="28" s="1"/>
  <c r="G1276" i="28" a="1"/>
  <c r="G1276" i="28" s="1"/>
  <c r="I1259" i="28" a="1"/>
  <c r="I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H113" i="28" a="1"/>
  <c r="H113" i="28" s="1"/>
  <c r="G113" i="28" a="1"/>
  <c r="G113" i="28" s="1"/>
  <c r="I2588" i="28" a="1"/>
  <c r="I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H2348" i="28" a="1"/>
  <c r="H2348" i="28" s="1"/>
  <c r="G2348" i="28" a="1"/>
  <c r="G2348" i="28" s="1"/>
  <c r="I2332" i="28" a="1"/>
  <c r="I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H1630" i="28" a="1"/>
  <c r="H1630" i="28" s="1"/>
  <c r="G1630" i="28" a="1"/>
  <c r="G1630" i="28" s="1"/>
  <c r="I1601" i="28" a="1"/>
  <c r="I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H1113" i="28" a="1"/>
  <c r="H1113" i="28" s="1"/>
  <c r="G1113" i="28" a="1"/>
  <c r="G1113" i="28" s="1"/>
  <c r="I1097" i="28" a="1"/>
  <c r="I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H969" i="28" a="1"/>
  <c r="H969" i="28" s="1"/>
  <c r="G969" i="28" a="1"/>
  <c r="G969" i="28" s="1"/>
  <c r="I953" i="28" a="1"/>
  <c r="I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H857" i="28" a="1"/>
  <c r="H857" i="28" s="1"/>
  <c r="G857" i="28" a="1"/>
  <c r="G857" i="28" s="1"/>
  <c r="I841" i="28" a="1"/>
  <c r="I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H601" i="28" a="1"/>
  <c r="H601" i="28" s="1"/>
  <c r="G601" i="28" a="1"/>
  <c r="G601" i="28" s="1"/>
  <c r="I585" i="28" a="1"/>
  <c r="I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H1275" i="28" a="1"/>
  <c r="H1275" i="28" s="1"/>
  <c r="G1275" i="28" a="1"/>
  <c r="G1275" i="28" s="1"/>
  <c r="I1258" i="28" a="1"/>
  <c r="I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H217" i="28" a="1"/>
  <c r="H217" i="28" s="1"/>
  <c r="G217" i="28" a="1"/>
  <c r="G217" i="28" s="1"/>
  <c r="I199" i="28" a="1"/>
  <c r="I199" i="28" s="1"/>
  <c r="H199" i="28" a="1"/>
  <c r="H199" i="28" s="1"/>
  <c r="G199" i="28" a="1"/>
  <c r="G199" i="28" s="1"/>
  <c r="I183" i="28" a="1"/>
  <c r="I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H2587" i="28" a="1"/>
  <c r="H2587" i="28" s="1"/>
  <c r="G2587" i="28" a="1"/>
  <c r="G2587" i="28" s="1"/>
  <c r="I2571" i="28" a="1"/>
  <c r="I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H2427" i="28" a="1"/>
  <c r="H2427" i="28" s="1"/>
  <c r="G2427" i="28" a="1"/>
  <c r="G2427" i="28" s="1"/>
  <c r="I2411" i="28" a="1"/>
  <c r="I2411" i="28" s="1"/>
  <c r="H2411" i="28" a="1"/>
  <c r="H2411" i="28" s="1"/>
  <c r="G2411" i="28" a="1"/>
  <c r="G2411" i="28" s="1"/>
  <c r="I2395" i="28" a="1"/>
  <c r="I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H1096" i="28" a="1"/>
  <c r="H1096" i="28" s="1"/>
  <c r="G1096" i="28" a="1"/>
  <c r="G1096" i="28" s="1"/>
  <c r="I1080" i="28" a="1"/>
  <c r="I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H840" i="28" a="1"/>
  <c r="H840" i="28" s="1"/>
  <c r="G840" i="28" a="1"/>
  <c r="G840" i="28" s="1"/>
  <c r="I824" i="28" a="1"/>
  <c r="I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H584" i="28" a="1"/>
  <c r="H584" i="28" s="1"/>
  <c r="G584" i="28" a="1"/>
  <c r="G584" i="28" s="1"/>
  <c r="I568" i="28" a="1"/>
  <c r="I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H328" i="28" a="1"/>
  <c r="H328" i="28" s="1"/>
  <c r="G328" i="28" a="1"/>
  <c r="G328" i="28" s="1"/>
  <c r="I135" i="28" a="1"/>
  <c r="I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H182" i="28" a="1"/>
  <c r="H182" i="28" s="1"/>
  <c r="G182" i="28" a="1"/>
  <c r="G182" i="28" s="1"/>
  <c r="I165" i="28" a="1"/>
  <c r="I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H2410" i="28" a="1"/>
  <c r="H2410" i="28" s="1"/>
  <c r="G2410" i="28" a="1"/>
  <c r="G2410" i="28" s="1"/>
  <c r="I2394" i="28" a="1"/>
  <c r="I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H2153" i="28" a="1"/>
  <c r="H2153" i="28" s="1"/>
  <c r="G2153" i="28" a="1"/>
  <c r="G2153" i="28" s="1"/>
  <c r="I2137" i="28" a="1"/>
  <c r="I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H663" i="28" a="1"/>
  <c r="H663" i="28" s="1"/>
  <c r="G663" i="28" a="1"/>
  <c r="G663" i="28" s="1"/>
  <c r="I647" i="28" a="1"/>
  <c r="I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H1843" i="28" a="1"/>
  <c r="H1843" i="28" s="1"/>
  <c r="G1843" i="28" a="1"/>
  <c r="G1843" i="28" s="1"/>
  <c r="I1729" i="28" a="1"/>
  <c r="I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H231" i="28" a="1"/>
  <c r="H231" i="28" s="1"/>
  <c r="G231" i="28" a="1"/>
  <c r="G231" i="28" s="1"/>
  <c r="I214" i="28" a="1"/>
  <c r="I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37" i="28"/>
  <c r="K1901" i="28"/>
  <c r="K1868" i="28"/>
  <c r="K1850" i="28"/>
  <c r="K122" i="28"/>
  <c r="K160" i="28"/>
  <c r="K1625" i="28"/>
  <c r="K1415" i="28"/>
  <c r="K1366" i="28"/>
  <c r="K1332" i="28"/>
  <c r="K1282" i="28"/>
  <c r="K295" i="28"/>
  <c r="K260" i="28"/>
  <c r="K207" i="28"/>
  <c r="K158" i="28"/>
  <c r="K1933" i="28"/>
  <c r="K1864" i="28"/>
  <c r="K1250" i="28"/>
  <c r="K1216" i="28"/>
  <c r="K297" i="28"/>
  <c r="K244" i="28"/>
  <c r="K144" i="28"/>
  <c r="K1935" i="28"/>
  <c r="K1643" i="28"/>
  <c r="K1447" i="28"/>
  <c r="K1383" i="28"/>
  <c r="K1316" i="28"/>
  <c r="K1248" i="28"/>
  <c r="K1214" i="28"/>
  <c r="K311" i="28"/>
  <c r="K242" i="28"/>
  <c r="K174" i="28"/>
  <c r="K1843" i="28"/>
  <c r="K1712" i="28"/>
  <c r="K1676" i="28"/>
  <c r="K1638" i="28"/>
  <c r="K1260" i="28"/>
  <c r="K324" i="28"/>
  <c r="K273" i="28"/>
  <c r="K238" i="28"/>
  <c r="K221" i="28"/>
  <c r="K203" i="28"/>
  <c r="K187" i="28"/>
  <c r="K170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34" i="28"/>
  <c r="K1318" i="28"/>
  <c r="K1302" i="28"/>
  <c r="K1266" i="28"/>
  <c r="K1234" i="28"/>
  <c r="K314" i="28"/>
  <c r="K262" i="28"/>
  <c r="K227" i="28"/>
  <c r="K176" i="28"/>
  <c r="K124" i="28"/>
  <c r="K1899" i="28"/>
  <c r="K1848" i="28"/>
  <c r="K1661" i="28"/>
  <c r="K1463" i="28"/>
  <c r="K1399" i="28"/>
  <c r="K1350" i="28"/>
  <c r="K1300" i="28"/>
  <c r="K1264" i="28"/>
  <c r="K1232" i="28"/>
  <c r="K1459" i="28"/>
  <c r="K1411" i="28"/>
  <c r="K1378" i="28"/>
  <c r="K1345" i="28"/>
  <c r="K1328" i="28"/>
  <c r="K1295" i="28"/>
  <c r="K1276" i="28"/>
  <c r="K1700" i="28"/>
  <c r="K201" i="28"/>
  <c r="K185" i="28"/>
  <c r="K168" i="28"/>
  <c r="K1852" i="28"/>
  <c r="K1684" i="28"/>
  <c r="K1945" i="28"/>
  <c r="K1928" i="28"/>
  <c r="K1910" i="28"/>
  <c r="K1892" i="28"/>
  <c r="K1875" i="28"/>
  <c r="K1859" i="28"/>
  <c r="K1839" i="28"/>
  <c r="K1726" i="28"/>
  <c r="K1709" i="28"/>
  <c r="K1690" i="28"/>
  <c r="K1673" i="28"/>
  <c r="K1944" i="28"/>
  <c r="K1909" i="28"/>
  <c r="K1858" i="28"/>
  <c r="K1838" i="28"/>
  <c r="K1725" i="28"/>
  <c r="K1708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1691" i="28"/>
  <c r="K1326" i="28"/>
  <c r="K1258" i="28"/>
  <c r="K1224" i="28"/>
  <c r="K322" i="28"/>
  <c r="K289" i="28"/>
  <c r="K271" i="28"/>
  <c r="K1942" i="28"/>
  <c r="K1907" i="28"/>
  <c r="K1872" i="28"/>
  <c r="K1855" i="28"/>
  <c r="K1836" i="28"/>
  <c r="K1723" i="28"/>
  <c r="K1706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270" i="28"/>
  <c r="K1254" i="28"/>
  <c r="K1636" i="28"/>
  <c r="K1376" i="28"/>
  <c r="K253" i="28"/>
  <c r="K1837" i="28"/>
  <c r="K1724" i="28"/>
  <c r="K1707" i="28"/>
  <c r="K1688" i="28"/>
  <c r="K1671" i="28"/>
  <c r="K1941" i="28"/>
  <c r="K1906" i="28"/>
  <c r="K1888" i="28"/>
  <c r="K1871" i="28"/>
  <c r="K1854" i="28"/>
  <c r="K1835" i="28"/>
  <c r="K1722" i="28"/>
  <c r="K1705" i="28"/>
  <c r="K1686" i="28"/>
  <c r="K1668" i="28"/>
  <c r="K1649" i="28"/>
  <c r="K1631" i="28"/>
  <c r="K1452" i="28"/>
  <c r="K1436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704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720" i="28"/>
  <c r="K1267" i="28"/>
  <c r="K1251" i="28"/>
  <c r="K1235" i="28"/>
  <c r="K1217" i="28"/>
  <c r="K298" i="28"/>
  <c r="K1939" i="28"/>
  <c r="K1886" i="28"/>
  <c r="K1664" i="28"/>
  <c r="K1954" i="28"/>
  <c r="K1936" i="28"/>
  <c r="K1884" i="28"/>
  <c r="K1867" i="28"/>
  <c r="K1718" i="28"/>
  <c r="K1698" i="28"/>
  <c r="K1682" i="28"/>
  <c r="K1645" i="28"/>
  <c r="K1464" i="28"/>
  <c r="K1448" i="28"/>
  <c r="K1416" i="28"/>
  <c r="K1384" i="28"/>
  <c r="K1367" i="28"/>
  <c r="K1351" i="28"/>
  <c r="K1333" i="28"/>
  <c r="K1317" i="28"/>
  <c r="K1301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934" i="28"/>
  <c r="K1898" i="28"/>
  <c r="K1865" i="28"/>
  <c r="K1847" i="28"/>
  <c r="K1715" i="28"/>
  <c r="K1679" i="28"/>
  <c r="K1642" i="28"/>
  <c r="K1624" i="28"/>
  <c r="K1462" i="28"/>
  <c r="K1446" i="28"/>
  <c r="K1430" i="28"/>
  <c r="K1414" i="28"/>
  <c r="K1398" i="28"/>
  <c r="K1365" i="28"/>
  <c r="K1331" i="28"/>
  <c r="K1315" i="28"/>
  <c r="K1299" i="28"/>
  <c r="K1281" i="28"/>
  <c r="K1263" i="28"/>
  <c r="K1247" i="28"/>
  <c r="K1231" i="28"/>
  <c r="K310" i="28"/>
  <c r="K294" i="28"/>
  <c r="K276" i="28"/>
  <c r="K224" i="28"/>
  <c r="K190" i="28"/>
  <c r="K173" i="28"/>
  <c r="K157" i="28"/>
  <c r="K141" i="28"/>
  <c r="K120" i="28"/>
  <c r="K1728" i="28"/>
  <c r="K1714" i="28"/>
  <c r="K1695" i="28"/>
  <c r="K1678" i="28"/>
  <c r="K1623" i="28"/>
  <c r="K1445" i="28"/>
  <c r="K1429" i="28"/>
  <c r="K1413" i="28"/>
  <c r="K1364" i="28"/>
  <c r="K1348" i="28"/>
  <c r="K1330" i="28"/>
  <c r="K1280" i="28"/>
  <c r="K1262" i="28"/>
  <c r="K1246" i="28"/>
  <c r="K1230" i="28"/>
  <c r="K293" i="28"/>
  <c r="K275" i="28"/>
  <c r="K240" i="28"/>
  <c r="K205" i="28"/>
  <c r="K189" i="28"/>
  <c r="K172" i="28"/>
  <c r="K156" i="28"/>
  <c r="K140" i="28"/>
  <c r="K119" i="28"/>
  <c r="K1896" i="28"/>
  <c r="K1844" i="28"/>
  <c r="K1713" i="28"/>
  <c r="K1694" i="28"/>
  <c r="K1677" i="28"/>
  <c r="K1622" i="28"/>
  <c r="K1460" i="28"/>
  <c r="K1444" i="28"/>
  <c r="K1412" i="28"/>
  <c r="K1396" i="28"/>
  <c r="K1379" i="28"/>
  <c r="K1347" i="28"/>
  <c r="K1329" i="28"/>
  <c r="K1297" i="28"/>
  <c r="K1245" i="28"/>
  <c r="K1229" i="28"/>
  <c r="K308" i="28"/>
  <c r="K292" i="28"/>
  <c r="K256" i="28"/>
  <c r="K222" i="28"/>
  <c r="K204" i="28"/>
  <c r="K188" i="28"/>
  <c r="K171" i="28"/>
  <c r="K155" i="28"/>
  <c r="K139" i="28"/>
  <c r="K118" i="28"/>
  <c r="K1948" i="28"/>
  <c r="K1702" i="28"/>
  <c r="K1346" i="28"/>
  <c r="K1680" i="28"/>
  <c r="K1296" i="28"/>
  <c r="K269" i="28"/>
  <c r="K1947" i="28"/>
  <c r="K1930" i="28"/>
  <c r="K1912" i="28"/>
  <c r="K1894" i="28"/>
  <c r="K1877" i="28"/>
  <c r="K1729" i="28"/>
  <c r="K1620" i="28"/>
  <c r="K1442" i="28"/>
  <c r="K1410" i="28"/>
  <c r="K1344" i="28"/>
  <c r="K1294" i="28"/>
  <c r="K1275" i="28"/>
  <c r="K1259" i="28"/>
  <c r="K323" i="28"/>
  <c r="K306" i="28"/>
  <c r="K290" i="28"/>
  <c r="K272" i="28"/>
  <c r="K254" i="28"/>
  <c r="K237" i="28"/>
  <c r="K202" i="28"/>
  <c r="K186" i="28"/>
  <c r="K169" i="28"/>
  <c r="K116" i="28"/>
  <c r="K1924" i="28"/>
  <c r="K1669" i="28"/>
  <c r="K1279" i="28"/>
  <c r="K258" i="28"/>
  <c r="K1667" i="28"/>
  <c r="K249" i="28"/>
  <c r="K1309" i="28"/>
  <c r="K1257" i="28"/>
  <c r="K321" i="28"/>
  <c r="K304" i="28"/>
  <c r="K288" i="28"/>
  <c r="K252" i="28"/>
  <c r="K218" i="28"/>
  <c r="K184" i="28"/>
  <c r="K167" i="28"/>
  <c r="K132" i="28"/>
  <c r="K113" i="28"/>
  <c r="K1902" i="28"/>
  <c r="K1227" i="28"/>
  <c r="K235" i="28"/>
  <c r="K1272" i="28"/>
  <c r="K1222" i="28"/>
  <c r="K303" i="28"/>
  <c r="K251" i="28"/>
  <c r="K217" i="28"/>
  <c r="K199" i="28"/>
  <c r="K183" i="28"/>
  <c r="K131" i="28"/>
  <c r="K1879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286" i="28"/>
  <c r="K250" i="28"/>
  <c r="K198" i="28"/>
  <c r="K182" i="28"/>
  <c r="K165" i="28"/>
  <c r="K1644" i="28"/>
  <c r="K212" i="28"/>
  <c r="K1220" i="28"/>
  <c r="K301" i="28"/>
  <c r="K231" i="28"/>
  <c r="K214" i="28"/>
  <c r="K148" i="28"/>
  <c r="K1321" i="28"/>
  <c r="K1305" i="28"/>
  <c r="K1288" i="28"/>
  <c r="K1269" i="28"/>
  <c r="K1253" i="28"/>
  <c r="K1237" i="28"/>
  <c r="K1219" i="28"/>
  <c r="K108" i="28"/>
  <c r="K1846" i="28"/>
  <c r="K1630" i="28"/>
  <c r="K1617" i="28"/>
  <c r="K135" i="28"/>
  <c r="K245" i="28"/>
  <c r="K228" i="28"/>
  <c r="K210" i="28"/>
  <c r="K194" i="28"/>
  <c r="K161" i="28"/>
  <c r="K145" i="28"/>
  <c r="K125" i="28"/>
  <c r="K105" i="28"/>
  <c r="K312" i="28"/>
  <c r="K283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47" i="28"/>
  <c r="K2431" i="28"/>
  <c r="K2574" i="28"/>
  <c r="K2558" i="28"/>
  <c r="K2542" i="28"/>
  <c r="K2526" i="28"/>
  <c r="K2494" i="28"/>
  <c r="K2478" i="28"/>
  <c r="K2462" i="28"/>
  <c r="K2430" i="28"/>
  <c r="K2398" i="28"/>
  <c r="K2350" i="28"/>
  <c r="K2589" i="28"/>
  <c r="K2557" i="28"/>
  <c r="K2541" i="28"/>
  <c r="K2509" i="28"/>
  <c r="K2493" i="28"/>
  <c r="K2477" i="28"/>
  <c r="K2429" i="28"/>
  <c r="K2413" i="28"/>
  <c r="K2397" i="28"/>
  <c r="K2588" i="28"/>
  <c r="K2556" i="28"/>
  <c r="K2540" i="28"/>
  <c r="K2524" i="28"/>
  <c r="K2508" i="28"/>
  <c r="K2476" i="28"/>
  <c r="K2444" i="28"/>
  <c r="K2587" i="28"/>
  <c r="K2571" i="28"/>
  <c r="K2539" i="28"/>
  <c r="K2507" i="28"/>
  <c r="K2459" i="28"/>
  <c r="K2427" i="28"/>
  <c r="K2411" i="28"/>
  <c r="K2395" i="28"/>
  <c r="K2586" i="28"/>
  <c r="K2538" i="28"/>
  <c r="K2506" i="28"/>
  <c r="K2474" i="28"/>
  <c r="K2553" i="28"/>
  <c r="K2504" i="28"/>
  <c r="K2583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27" i="28"/>
  <c r="K2311" i="28"/>
  <c r="K2582" i="28"/>
  <c r="K2566" i="28"/>
  <c r="K2550" i="28"/>
  <c r="K2534" i="28"/>
  <c r="K2518" i="28"/>
  <c r="K2502" i="28"/>
  <c r="K2470" i="28"/>
  <c r="K2454" i="28"/>
  <c r="K2438" i="28"/>
  <c r="K2581" i="28"/>
  <c r="K2565" i="28"/>
  <c r="K2549" i="28"/>
  <c r="K2533" i="28"/>
  <c r="K2517" i="28"/>
  <c r="K2501" i="28"/>
  <c r="K2580" i="28"/>
  <c r="K2564" i="28"/>
  <c r="K2548" i="28"/>
  <c r="K2532" i="28"/>
  <c r="K2516" i="28"/>
  <c r="K2500" i="28"/>
  <c r="K2468" i="28"/>
  <c r="K2452" i="28"/>
  <c r="K2420" i="28"/>
  <c r="K2579" i="28"/>
  <c r="K2547" i="28"/>
  <c r="K2531" i="28"/>
  <c r="K2515" i="28"/>
  <c r="K2499" i="28"/>
  <c r="K2467" i="28"/>
  <c r="K2451" i="28"/>
  <c r="K2419" i="28"/>
  <c r="K2387" i="28"/>
  <c r="K2371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54" i="28"/>
  <c r="K2338" i="28"/>
  <c r="K2322" i="28"/>
  <c r="K2306" i="28"/>
  <c r="K2290" i="28"/>
  <c r="K2274" i="28"/>
  <c r="K2242" i="28"/>
  <c r="K2225" i="28"/>
  <c r="K2193" i="28"/>
  <c r="K2161" i="28"/>
  <c r="K2145" i="28"/>
  <c r="K2129" i="28"/>
  <c r="K2113" i="28"/>
  <c r="K2465" i="28"/>
  <c r="K2433" i="28"/>
  <c r="K2417" i="28"/>
  <c r="K2401" i="28"/>
  <c r="K2385" i="28"/>
  <c r="K2369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112" i="28"/>
  <c r="K2096" i="28"/>
  <c r="K2080" i="28"/>
  <c r="K2064" i="28"/>
  <c r="K2048" i="28"/>
  <c r="K2032" i="28"/>
  <c r="K2000" i="28"/>
  <c r="K1984" i="28"/>
  <c r="K1809" i="28"/>
  <c r="K1793" i="28"/>
  <c r="K1777" i="28"/>
  <c r="K1761" i="28"/>
  <c r="K1745" i="28"/>
  <c r="K1607" i="28"/>
  <c r="K1591" i="28"/>
  <c r="K1575" i="28"/>
  <c r="K1559" i="28"/>
  <c r="K1543" i="28"/>
  <c r="K1511" i="28"/>
  <c r="K1495" i="28"/>
  <c r="K1184" i="28"/>
  <c r="K1152" i="28"/>
  <c r="K1136" i="28"/>
  <c r="K1120" i="28"/>
  <c r="K1104" i="28"/>
  <c r="K1088" i="28"/>
  <c r="K1072" i="28"/>
  <c r="K1056" i="28"/>
  <c r="K1040" i="28"/>
  <c r="K1024" i="28"/>
  <c r="K1008" i="28"/>
  <c r="K976" i="28"/>
  <c r="K960" i="28"/>
  <c r="K928" i="28"/>
  <c r="K896" i="28"/>
  <c r="K880" i="28"/>
  <c r="K864" i="28"/>
  <c r="K848" i="28"/>
  <c r="K832" i="28"/>
  <c r="K816" i="28"/>
  <c r="K800" i="28"/>
  <c r="K784" i="28"/>
  <c r="K768" i="28"/>
  <c r="K752" i="28"/>
  <c r="K720" i="28"/>
  <c r="K704" i="28"/>
  <c r="K2400" i="28"/>
  <c r="K2384" i="28"/>
  <c r="K2368" i="28"/>
  <c r="K2352" i="28"/>
  <c r="K2336" i="28"/>
  <c r="K2320" i="28"/>
  <c r="K2304" i="28"/>
  <c r="K2272" i="28"/>
  <c r="K2256" i="28"/>
  <c r="K2223" i="28"/>
  <c r="K2191" i="28"/>
  <c r="K2175" i="28"/>
  <c r="K2159" i="28"/>
  <c r="K2143" i="28"/>
  <c r="K2127" i="28"/>
  <c r="K2111" i="28"/>
  <c r="K2095" i="28"/>
  <c r="K2079" i="28"/>
  <c r="K2063" i="28"/>
  <c r="K2047" i="28"/>
  <c r="K2015" i="28"/>
  <c r="K1999" i="28"/>
  <c r="K1967" i="28"/>
  <c r="K1824" i="28"/>
  <c r="K1808" i="28"/>
  <c r="K1792" i="28"/>
  <c r="K1776" i="28"/>
  <c r="K1760" i="28"/>
  <c r="K1744" i="28"/>
  <c r="K1606" i="28"/>
  <c r="K1590" i="28"/>
  <c r="K1558" i="28"/>
  <c r="K1526" i="28"/>
  <c r="K1510" i="28"/>
  <c r="K1494" i="28"/>
  <c r="K1478" i="28"/>
  <c r="K1183" i="28"/>
  <c r="K1167" i="28"/>
  <c r="K1151" i="28"/>
  <c r="K1135" i="28"/>
  <c r="K1119" i="28"/>
  <c r="K1103" i="28"/>
  <c r="K1087" i="28"/>
  <c r="K1071" i="28"/>
  <c r="K1055" i="28"/>
  <c r="K1039" i="28"/>
  <c r="K1007" i="28"/>
  <c r="K991" i="28"/>
  <c r="K975" i="28"/>
  <c r="K959" i="28"/>
  <c r="K927" i="28"/>
  <c r="K911" i="28"/>
  <c r="K895" i="28"/>
  <c r="K879" i="28"/>
  <c r="K863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607" i="28"/>
  <c r="K591" i="28"/>
  <c r="K575" i="28"/>
  <c r="K559" i="28"/>
  <c r="K2415" i="28"/>
  <c r="K2399" i="28"/>
  <c r="K2383" i="28"/>
  <c r="K2367" i="28"/>
  <c r="K2351" i="28"/>
  <c r="K2335" i="28"/>
  <c r="K2319" i="28"/>
  <c r="K2287" i="28"/>
  <c r="K2239" i="28"/>
  <c r="K2206" i="28"/>
  <c r="K2190" i="28"/>
  <c r="K2174" i="28"/>
  <c r="K2158" i="28"/>
  <c r="K2142" i="28"/>
  <c r="K2126" i="28"/>
  <c r="K2110" i="28"/>
  <c r="K2094" i="28"/>
  <c r="K2078" i="28"/>
  <c r="K2062" i="28"/>
  <c r="K2030" i="28"/>
  <c r="K1982" i="28"/>
  <c r="K1823" i="28"/>
  <c r="K1807" i="28"/>
  <c r="K1791" i="28"/>
  <c r="K1775" i="28"/>
  <c r="K1759" i="28"/>
  <c r="K1743" i="28"/>
  <c r="K1605" i="28"/>
  <c r="K1589" i="28"/>
  <c r="K1573" i="28"/>
  <c r="K1541" i="28"/>
  <c r="K1525" i="28"/>
  <c r="K1493" i="28"/>
  <c r="K1198" i="28"/>
  <c r="K1182" i="28"/>
  <c r="K1166" i="28"/>
  <c r="K1150" i="28"/>
  <c r="K1118" i="28"/>
  <c r="K1102" i="28"/>
  <c r="K1086" i="28"/>
  <c r="K1070" i="28"/>
  <c r="K1054" i="28"/>
  <c r="K1022" i="28"/>
  <c r="K1006" i="28"/>
  <c r="K974" i="28"/>
  <c r="K942" i="28"/>
  <c r="K926" i="28"/>
  <c r="K910" i="28"/>
  <c r="K894" i="28"/>
  <c r="K878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622" i="28"/>
  <c r="K590" i="28"/>
  <c r="K574" i="28"/>
  <c r="K2318" i="28"/>
  <c r="K2302" i="28"/>
  <c r="K2286" i="28"/>
  <c r="K2270" i="28"/>
  <c r="K2238" i="28"/>
  <c r="K2221" i="28"/>
  <c r="K2205" i="28"/>
  <c r="K2173" i="28"/>
  <c r="K2141" i="28"/>
  <c r="K2093" i="28"/>
  <c r="K2061" i="28"/>
  <c r="K2045" i="28"/>
  <c r="K2029" i="28"/>
  <c r="K2013" i="28"/>
  <c r="K1981" i="28"/>
  <c r="K1965" i="28"/>
  <c r="K1822" i="28"/>
  <c r="K1806" i="28"/>
  <c r="K1774" i="28"/>
  <c r="K1604" i="28"/>
  <c r="K1588" i="28"/>
  <c r="K1556" i="28"/>
  <c r="K1508" i="28"/>
  <c r="K1476" i="28"/>
  <c r="K1181" i="28"/>
  <c r="K1165" i="28"/>
  <c r="K1133" i="28"/>
  <c r="K1117" i="28"/>
  <c r="K1101" i="28"/>
  <c r="K1085" i="28"/>
  <c r="K1069" i="28"/>
  <c r="K1037" i="28"/>
  <c r="K1021" i="28"/>
  <c r="K989" i="28"/>
  <c r="K957" i="28"/>
  <c r="K941" i="28"/>
  <c r="K925" i="28"/>
  <c r="K909" i="28"/>
  <c r="K893" i="28"/>
  <c r="K877" i="28"/>
  <c r="K861" i="28"/>
  <c r="K845" i="28"/>
  <c r="K829" i="28"/>
  <c r="K813" i="28"/>
  <c r="K781" i="28"/>
  <c r="K765" i="28"/>
  <c r="K749" i="28"/>
  <c r="K733" i="28"/>
  <c r="K701" i="28"/>
  <c r="K685" i="28"/>
  <c r="K669" i="28"/>
  <c r="K653" i="28"/>
  <c r="K2365" i="28"/>
  <c r="K2333" i="28"/>
  <c r="K2285" i="28"/>
  <c r="K2253" i="28"/>
  <c r="K2237" i="28"/>
  <c r="K2220" i="28"/>
  <c r="K2172" i="28"/>
  <c r="K2156" i="28"/>
  <c r="K2140" i="28"/>
  <c r="K2124" i="28"/>
  <c r="K2108" i="28"/>
  <c r="K2076" i="28"/>
  <c r="K2028" i="28"/>
  <c r="K1996" i="28"/>
  <c r="K1980" i="28"/>
  <c r="K1964" i="28"/>
  <c r="K1821" i="28"/>
  <c r="K1805" i="28"/>
  <c r="K1773" i="28"/>
  <c r="K1741" i="28"/>
  <c r="K1587" i="28"/>
  <c r="K1571" i="28"/>
  <c r="K1555" i="28"/>
  <c r="K1539" i="28"/>
  <c r="K1507" i="28"/>
  <c r="K1491" i="28"/>
  <c r="K1475" i="28"/>
  <c r="K1196" i="28"/>
  <c r="K1180" i="28"/>
  <c r="K1164" i="28"/>
  <c r="K1148" i="28"/>
  <c r="K1132" i="28"/>
  <c r="K1116" i="28"/>
  <c r="K1100" i="28"/>
  <c r="K1084" i="28"/>
  <c r="K1052" i="28"/>
  <c r="K1004" i="28"/>
  <c r="K972" i="28"/>
  <c r="K956" i="28"/>
  <c r="K940" i="28"/>
  <c r="K924" i="28"/>
  <c r="K908" i="28"/>
  <c r="K892" i="28"/>
  <c r="K876" i="28"/>
  <c r="K860" i="28"/>
  <c r="K844" i="28"/>
  <c r="K828" i="28"/>
  <c r="K796" i="28"/>
  <c r="K748" i="28"/>
  <c r="K716" i="28"/>
  <c r="K700" i="28"/>
  <c r="K684" i="28"/>
  <c r="K668" i="28"/>
  <c r="K652" i="28"/>
  <c r="K636" i="28"/>
  <c r="K620" i="28"/>
  <c r="K604" i="28"/>
  <c r="K588" i="28"/>
  <c r="K572" i="28"/>
  <c r="K2396" i="28"/>
  <c r="K2364" i="28"/>
  <c r="K2348" i="28"/>
  <c r="K2332" i="28"/>
  <c r="K2284" i="28"/>
  <c r="K2268" i="28"/>
  <c r="K2252" i="28"/>
  <c r="K2219" i="28"/>
  <c r="K2187" i="28"/>
  <c r="K2139" i="28"/>
  <c r="K2107" i="28"/>
  <c r="K2091" i="28"/>
  <c r="K2059" i="28"/>
  <c r="K2027" i="28"/>
  <c r="K2011" i="28"/>
  <c r="K1995" i="28"/>
  <c r="K1963" i="28"/>
  <c r="K1820" i="28"/>
  <c r="K1772" i="28"/>
  <c r="K1740" i="28"/>
  <c r="K1602" i="28"/>
  <c r="K1554" i="28"/>
  <c r="K1522" i="28"/>
  <c r="K1506" i="28"/>
  <c r="K1490" i="28"/>
  <c r="K1195" i="28"/>
  <c r="K1179" i="28"/>
  <c r="K1163" i="28"/>
  <c r="K1115" i="28"/>
  <c r="K1083" i="28"/>
  <c r="K1067" i="28"/>
  <c r="K1051" i="28"/>
  <c r="K1035" i="28"/>
  <c r="K1003" i="28"/>
  <c r="K987" i="28"/>
  <c r="K971" i="28"/>
  <c r="K939" i="28"/>
  <c r="K907" i="28"/>
  <c r="K859" i="28"/>
  <c r="K827" i="28"/>
  <c r="K811" i="28"/>
  <c r="K795" i="28"/>
  <c r="K779" i="28"/>
  <c r="K747" i="28"/>
  <c r="K731" i="28"/>
  <c r="K715" i="28"/>
  <c r="K683" i="28"/>
  <c r="K603" i="28"/>
  <c r="K2347" i="28"/>
  <c r="K2331" i="28"/>
  <c r="K2315" i="28"/>
  <c r="K2283" i="28"/>
  <c r="K2251" i="28"/>
  <c r="K2202" i="28"/>
  <c r="K2170" i="28"/>
  <c r="K2138" i="28"/>
  <c r="K2090" i="28"/>
  <c r="K2058" i="28"/>
  <c r="K2026" i="28"/>
  <c r="K1994" i="28"/>
  <c r="K1803" i="28"/>
  <c r="K1771" i="28"/>
  <c r="K1601" i="28"/>
  <c r="K1553" i="28"/>
  <c r="K1537" i="28"/>
  <c r="K1521" i="28"/>
  <c r="K1489" i="28"/>
  <c r="K1210" i="28"/>
  <c r="K1194" i="28"/>
  <c r="K1178" i="28"/>
  <c r="K1162" i="28"/>
  <c r="K1114" i="28"/>
  <c r="K1098" i="28"/>
  <c r="K1050" i="28"/>
  <c r="K1018" i="28"/>
  <c r="K1002" i="28"/>
  <c r="K986" i="28"/>
  <c r="K938" i="28"/>
  <c r="K922" i="28"/>
  <c r="K906" i="28"/>
  <c r="K874" i="28"/>
  <c r="K858" i="28"/>
  <c r="K842" i="28"/>
  <c r="K794" i="28"/>
  <c r="K762" i="28"/>
  <c r="K746" i="28"/>
  <c r="K730" i="28"/>
  <c r="K682" i="28"/>
  <c r="K666" i="28"/>
  <c r="K650" i="28"/>
  <c r="K618" i="28"/>
  <c r="K602" i="28"/>
  <c r="K586" i="28"/>
  <c r="K2410" i="28"/>
  <c r="K2394" i="28"/>
  <c r="K2330" i="28"/>
  <c r="K2282" i="28"/>
  <c r="K2250" i="28"/>
  <c r="K2217" i="28"/>
  <c r="K2153" i="28"/>
  <c r="K2137" i="28"/>
  <c r="K2073" i="28"/>
  <c r="K2025" i="28"/>
  <c r="K1993" i="28"/>
  <c r="K1770" i="28"/>
  <c r="K1600" i="28"/>
  <c r="K1584" i="28"/>
  <c r="K1552" i="28"/>
  <c r="K1520" i="28"/>
  <c r="K1472" i="28"/>
  <c r="K1209" i="28"/>
  <c r="K1161" i="28"/>
  <c r="K1129" i="28"/>
  <c r="K1113" i="28"/>
  <c r="K1097" i="28"/>
  <c r="K1033" i="28"/>
  <c r="K1017" i="28"/>
  <c r="K985" i="28"/>
  <c r="K969" i="28"/>
  <c r="K953" i="28"/>
  <c r="K905" i="28"/>
  <c r="K873" i="28"/>
  <c r="K857" i="28"/>
  <c r="K841" i="28"/>
  <c r="K793" i="28"/>
  <c r="K777" i="28"/>
  <c r="K761" i="28"/>
  <c r="K729" i="28"/>
  <c r="K697" i="28"/>
  <c r="K649" i="28"/>
  <c r="K2441" i="28"/>
  <c r="K2377" i="28"/>
  <c r="K2297" i="28"/>
  <c r="K2184" i="28"/>
  <c r="K2120" i="28"/>
  <c r="K2040" i="28"/>
  <c r="K2008" i="28"/>
  <c r="K1817" i="28"/>
  <c r="K1753" i="28"/>
  <c r="K1599" i="28"/>
  <c r="K1551" i="28"/>
  <c r="K1519" i="28"/>
  <c r="K1192" i="28"/>
  <c r="K1160" i="28"/>
  <c r="K1112" i="28"/>
  <c r="K1096" i="28"/>
  <c r="K1080" i="28"/>
  <c r="K1048" i="28"/>
  <c r="K1016" i="28"/>
  <c r="K936" i="28"/>
  <c r="K904" i="28"/>
  <c r="K840" i="28"/>
  <c r="K824" i="28"/>
  <c r="K792" i="28"/>
  <c r="K760" i="28"/>
  <c r="K712" i="28"/>
  <c r="K680" i="28"/>
  <c r="K648" i="28"/>
  <c r="K1566" i="28"/>
  <c r="K1175" i="28"/>
  <c r="K1159" i="28"/>
  <c r="K1095" i="28"/>
  <c r="K1047" i="28"/>
  <c r="K1015" i="28"/>
  <c r="K903" i="28"/>
  <c r="K839" i="28"/>
  <c r="K791" i="28"/>
  <c r="K759" i="28"/>
  <c r="K663" i="28"/>
  <c r="K647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70" i="28"/>
  <c r="K2054" i="28"/>
  <c r="K2038" i="28"/>
  <c r="K2022" i="28"/>
  <c r="K2006" i="28"/>
  <c r="K1990" i="28"/>
  <c r="K1958" i="28"/>
  <c r="K1831" i="28"/>
  <c r="K1815" i="28"/>
  <c r="K1799" i="28"/>
  <c r="K1735" i="28"/>
  <c r="K1206" i="28"/>
  <c r="K1142" i="28"/>
  <c r="K1062" i="28"/>
  <c r="K1030" i="28"/>
  <c r="K886" i="28"/>
  <c r="K806" i="28"/>
  <c r="K694" i="28"/>
  <c r="K630" i="28"/>
  <c r="K550" i="28"/>
  <c r="K518" i="28"/>
  <c r="K2422" i="28"/>
  <c r="K2390" i="28"/>
  <c r="K2374" i="28"/>
  <c r="K2358" i="28"/>
  <c r="K2342" i="28"/>
  <c r="K2326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69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96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25" i="28"/>
  <c r="K2309" i="28"/>
  <c r="K2293" i="28"/>
  <c r="K2277" i="28"/>
  <c r="K2261" i="28"/>
  <c r="K2245" i="28"/>
  <c r="K2212" i="28"/>
  <c r="K2196" i="28"/>
  <c r="K2164" i="28"/>
  <c r="K2148" i="28"/>
  <c r="K2132" i="28"/>
  <c r="K2116" i="28"/>
  <c r="K2100" i="28"/>
  <c r="K2084" i="28"/>
  <c r="K2068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95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92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36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24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67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71" i="28"/>
  <c r="K1155" i="28"/>
  <c r="K1139" i="28"/>
  <c r="K1123" i="28"/>
  <c r="K1091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35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23" i="28"/>
  <c r="K2307" i="28"/>
  <c r="K2291" i="28"/>
  <c r="K2275" i="28"/>
  <c r="K2259" i="28"/>
  <c r="K2243" i="28"/>
  <c r="K2210" i="28"/>
  <c r="K2194" i="28"/>
  <c r="K2162" i="28"/>
  <c r="K2130" i="28"/>
  <c r="K2114" i="28"/>
  <c r="K2098" i="28"/>
  <c r="K2082" i="28"/>
  <c r="K2066" i="28"/>
  <c r="K2050" i="28"/>
  <c r="K2034" i="28"/>
  <c r="K2018" i="28"/>
  <c r="K2002" i="28"/>
  <c r="K1986" i="28"/>
  <c r="K1827" i="28"/>
  <c r="K1795" i="28"/>
  <c r="K1763" i="28"/>
  <c r="K1747" i="28"/>
  <c r="K1609" i="28"/>
  <c r="K1593" i="28"/>
  <c r="K1577" i="28"/>
  <c r="K1561" i="28"/>
  <c r="K1545" i="28"/>
  <c r="K1529" i="28"/>
  <c r="K1513" i="28"/>
  <c r="K1481" i="28"/>
  <c r="K1186" i="28"/>
  <c r="K1154" i="28"/>
  <c r="K1138" i="28"/>
  <c r="K1122" i="28"/>
  <c r="K1090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34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78" i="28"/>
  <c r="K562" i="28"/>
  <c r="K530" i="28"/>
  <c r="K2097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92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89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33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77" i="28"/>
  <c r="K561" i="28"/>
  <c r="K545" i="28"/>
  <c r="K529" i="28"/>
  <c r="K513" i="28"/>
  <c r="K497" i="28"/>
  <c r="K465" i="28"/>
  <c r="K449" i="28"/>
  <c r="K417" i="28"/>
  <c r="K385" i="28"/>
  <c r="K369" i="28"/>
  <c r="K353" i="28"/>
  <c r="K337" i="28"/>
  <c r="K104" i="28"/>
  <c r="K88" i="28"/>
  <c r="K40" i="28"/>
  <c r="K8" i="28"/>
  <c r="K640" i="28"/>
  <c r="K624" i="28"/>
  <c r="K608" i="28"/>
  <c r="K592" i="28"/>
  <c r="K576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99" i="28"/>
  <c r="K383" i="28"/>
  <c r="K367" i="28"/>
  <c r="K351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414" i="28"/>
  <c r="K398" i="28"/>
  <c r="K382" i="28"/>
  <c r="K366" i="28"/>
  <c r="K350" i="28"/>
  <c r="K334" i="28"/>
  <c r="K101" i="28"/>
  <c r="K85" i="28"/>
  <c r="K53" i="28"/>
  <c r="K37" i="28"/>
  <c r="K5" i="28"/>
  <c r="K637" i="28"/>
  <c r="K621" i="28"/>
  <c r="K605" i="28"/>
  <c r="K589" i="28"/>
  <c r="K557" i="28"/>
  <c r="K525" i="28"/>
  <c r="K509" i="28"/>
  <c r="K477" i="28"/>
  <c r="K445" i="28"/>
  <c r="K429" i="28"/>
  <c r="K413" i="28"/>
  <c r="K397" i="28"/>
  <c r="K381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428" i="28"/>
  <c r="K412" i="28"/>
  <c r="K396" i="28"/>
  <c r="K380" i="28"/>
  <c r="K364" i="28"/>
  <c r="K348" i="28"/>
  <c r="K332" i="28"/>
  <c r="K83" i="28"/>
  <c r="K67" i="28"/>
  <c r="K35" i="28"/>
  <c r="K3" i="28"/>
  <c r="K571" i="28"/>
  <c r="K555" i="28"/>
  <c r="K523" i="28"/>
  <c r="K507" i="28"/>
  <c r="K491" i="28"/>
  <c r="K475" i="28"/>
  <c r="K459" i="28"/>
  <c r="K427" i="28"/>
  <c r="K395" i="28"/>
  <c r="K347" i="28"/>
  <c r="K98" i="28"/>
  <c r="K82" i="28"/>
  <c r="K66" i="28"/>
  <c r="K34" i="28"/>
  <c r="K18" i="28"/>
  <c r="K538" i="28"/>
  <c r="K506" i="28"/>
  <c r="K490" i="28"/>
  <c r="K474" i="28"/>
  <c r="K426" i="28"/>
  <c r="K410" i="28"/>
  <c r="K394" i="28"/>
  <c r="K362" i="28"/>
  <c r="K330" i="28"/>
  <c r="K81" i="28"/>
  <c r="K49" i="28"/>
  <c r="K617" i="28"/>
  <c r="K601" i="28"/>
  <c r="K585" i="28"/>
  <c r="K537" i="28"/>
  <c r="K521" i="28"/>
  <c r="K505" i="28"/>
  <c r="K473" i="28"/>
  <c r="K441" i="28"/>
  <c r="K393" i="28"/>
  <c r="K361" i="28"/>
  <c r="K329" i="28"/>
  <c r="K80" i="28"/>
  <c r="K64" i="28"/>
  <c r="K48" i="28"/>
  <c r="K584" i="28"/>
  <c r="K568" i="28"/>
  <c r="K536" i="28"/>
  <c r="K504" i="28"/>
  <c r="K456" i="28"/>
  <c r="K424" i="28"/>
  <c r="K392" i="28"/>
  <c r="K328" i="28"/>
  <c r="K79" i="28"/>
  <c r="K47" i="28"/>
  <c r="K583" i="28"/>
  <c r="K535" i="28"/>
  <c r="K503" i="28"/>
  <c r="K391" i="28"/>
  <c r="K327" i="28"/>
  <c r="K78" i="28"/>
  <c r="K46" i="28"/>
  <c r="K93" i="28"/>
  <c r="K644" i="28"/>
  <c r="K628" i="28"/>
  <c r="K612" i="28"/>
  <c r="K596" i="28"/>
  <c r="K580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315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402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I4" i="10" a="1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K2" i="23" a="1"/>
  <c r="AK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V15" i="10"/>
  <c r="U20" i="10"/>
  <c r="W20" i="10"/>
  <c r="P24" i="10"/>
  <c r="Q16" i="10"/>
  <c r="T26" i="10"/>
  <c r="T21" i="10"/>
  <c r="U16" i="10"/>
  <c r="L27" i="10"/>
  <c r="L18" i="10"/>
  <c r="R28" i="10"/>
  <c r="M18" i="10"/>
  <c r="S28" i="10"/>
  <c r="Q18" i="10"/>
  <c r="T28" i="10"/>
  <c r="M19" i="10"/>
  <c r="P29" i="10"/>
  <c r="Q24" i="10"/>
  <c r="K26" i="10"/>
  <c r="L26" i="10"/>
  <c r="U15" i="10"/>
  <c r="M26" i="10"/>
  <c r="N19" i="10"/>
  <c r="T29" i="10"/>
  <c r="T20" i="10"/>
  <c r="K2042" i="28"/>
  <c r="K56" i="28"/>
  <c r="K1157" i="28"/>
  <c r="K2075" i="28"/>
  <c r="K546" i="28"/>
  <c r="K606" i="28"/>
  <c r="K1149" i="28"/>
  <c r="K1697" i="28"/>
  <c r="K1687" i="28"/>
  <c r="K229" i="28"/>
  <c r="K1767" i="28"/>
  <c r="Q23" i="10"/>
  <c r="R15" i="10"/>
  <c r="P23" i="10"/>
  <c r="Q15" i="10"/>
  <c r="O23" i="10"/>
  <c r="U21" i="10"/>
  <c r="N29" i="10"/>
  <c r="R26" i="10"/>
  <c r="L24" i="10"/>
  <c r="P21" i="10"/>
  <c r="L19" i="10"/>
  <c r="P16" i="10"/>
  <c r="M29" i="10"/>
  <c r="Q26" i="10"/>
  <c r="W23" i="10"/>
  <c r="N21" i="10"/>
  <c r="T18" i="10"/>
  <c r="L16" i="10"/>
  <c r="U28" i="10"/>
  <c r="N26" i="10"/>
  <c r="U23" i="10"/>
  <c r="M21" i="10"/>
  <c r="R18" i="10"/>
  <c r="W15" i="10"/>
  <c r="P30" i="10"/>
  <c r="U27" i="10"/>
  <c r="M25" i="10"/>
  <c r="R22" i="10"/>
  <c r="Q20" i="10"/>
  <c r="U17" i="10"/>
  <c r="N15" i="10"/>
  <c r="Q28" i="10"/>
  <c r="W25" i="10"/>
  <c r="N23" i="10"/>
  <c r="S20" i="10"/>
  <c r="K18" i="10"/>
  <c r="P15" i="10"/>
  <c r="Q30" i="10"/>
  <c r="W27" i="10"/>
  <c r="U25" i="10"/>
  <c r="M23" i="10"/>
  <c r="R20" i="10"/>
  <c r="W17" i="10"/>
  <c r="O15" i="10"/>
  <c r="O30" i="10"/>
  <c r="T27" i="10"/>
  <c r="L25" i="10"/>
  <c r="Q22" i="10"/>
  <c r="U19" i="10"/>
  <c r="N17" i="10"/>
  <c r="M15" i="10"/>
  <c r="N30" i="10"/>
  <c r="S27" i="10"/>
  <c r="K25" i="10"/>
  <c r="P22" i="10"/>
  <c r="T19" i="10"/>
  <c r="M17" i="10"/>
  <c r="M30" i="10"/>
  <c r="R27" i="10"/>
  <c r="W24" i="10"/>
  <c r="O22" i="10"/>
  <c r="S19" i="10"/>
  <c r="L17" i="10"/>
  <c r="W29" i="10"/>
  <c r="Q27" i="10"/>
  <c r="U24" i="10"/>
  <c r="N22" i="10"/>
  <c r="R19" i="10"/>
  <c r="K17" i="10"/>
  <c r="U29" i="10"/>
  <c r="M27" i="10"/>
  <c r="R24" i="10"/>
  <c r="M22" i="10"/>
  <c r="Q19" i="10"/>
  <c r="W16" i="10"/>
  <c r="L30" i="10"/>
  <c r="P28" i="10"/>
  <c r="P26" i="10"/>
  <c r="T24" i="10"/>
  <c r="L23" i="10"/>
  <c r="L21" i="10"/>
  <c r="P19" i="10"/>
  <c r="T17" i="10"/>
  <c r="T15" i="10"/>
  <c r="K30" i="10"/>
  <c r="L28" i="10"/>
  <c r="O26" i="10"/>
  <c r="S24" i="10"/>
  <c r="T22" i="10"/>
  <c r="K21" i="10"/>
  <c r="O19" i="10"/>
  <c r="P17" i="10"/>
  <c r="S15" i="10"/>
  <c r="L29" i="10"/>
  <c r="P27" i="10"/>
  <c r="T25" i="10"/>
  <c r="T23" i="10"/>
  <c r="L22" i="10"/>
  <c r="P20" i="10"/>
  <c r="P18" i="10"/>
  <c r="T16" i="10"/>
  <c r="L15" i="10"/>
  <c r="T30" i="10"/>
  <c r="K29" i="10"/>
  <c r="O27" i="10"/>
  <c r="P25" i="10"/>
  <c r="S23" i="10"/>
  <c r="K22" i="10"/>
  <c r="L20" i="10"/>
  <c r="O18" i="10"/>
  <c r="S16" i="10"/>
  <c r="R30" i="10"/>
  <c r="W28" i="10"/>
  <c r="N27" i="10"/>
  <c r="N25" i="10"/>
  <c r="R23" i="10"/>
  <c r="W21" i="10"/>
  <c r="W19" i="10"/>
  <c r="N18" i="10"/>
  <c r="R16" i="10"/>
  <c r="S29" i="10"/>
  <c r="O28" i="10"/>
  <c r="K27" i="10"/>
  <c r="S25" i="10"/>
  <c r="O24" i="10"/>
  <c r="K23" i="10"/>
  <c r="S21" i="10"/>
  <c r="O20" i="10"/>
  <c r="K19" i="10"/>
  <c r="S17" i="10"/>
  <c r="O16" i="10"/>
  <c r="K15" i="10"/>
  <c r="W30" i="10"/>
  <c r="R29" i="10"/>
  <c r="N28" i="10"/>
  <c r="W26" i="10"/>
  <c r="R25" i="10"/>
  <c r="N24" i="10"/>
  <c r="W22" i="10"/>
  <c r="R21" i="10"/>
  <c r="N20" i="10"/>
  <c r="W18" i="10"/>
  <c r="R17" i="10"/>
  <c r="N16" i="10"/>
  <c r="U30" i="10"/>
  <c r="Q29" i="10"/>
  <c r="M28" i="10"/>
  <c r="U26" i="10"/>
  <c r="Q25" i="10"/>
  <c r="M24" i="10"/>
  <c r="U22" i="10"/>
  <c r="Q21" i="10"/>
  <c r="M20" i="10"/>
  <c r="U18" i="10"/>
  <c r="Q17" i="10"/>
  <c r="M16" i="10"/>
  <c r="S30" i="10"/>
  <c r="O29" i="10"/>
  <c r="K28" i="10"/>
  <c r="S26" i="10"/>
  <c r="O25" i="10"/>
  <c r="K24" i="10"/>
  <c r="S22" i="10"/>
  <c r="O21" i="10"/>
  <c r="K20" i="10"/>
  <c r="S18" i="10"/>
  <c r="O17" i="10"/>
  <c r="K16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X16" i="10"/>
  <c r="X15" i="10"/>
  <c r="V30" i="10"/>
  <c r="V29" i="10"/>
  <c r="V28" i="10"/>
  <c r="V27" i="10"/>
  <c r="V26" i="10"/>
  <c r="V25" i="10"/>
  <c r="V24" i="10"/>
  <c r="V23" i="10"/>
  <c r="V22" i="10"/>
  <c r="V21" i="10"/>
  <c r="V20" i="10"/>
  <c r="V19" i="10"/>
  <c r="V18" i="10"/>
  <c r="V17" i="10"/>
  <c r="V16" i="10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X2" i="23" a="1"/>
  <c r="X2" i="23" s="1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J14" i="10"/>
  <c r="I4" i="10"/>
  <c r="K4" i="10" s="1"/>
  <c r="U12" i="10"/>
  <c r="Y12" i="10"/>
  <c r="Y11" i="10"/>
  <c r="U11" i="10"/>
  <c r="Y10" i="10"/>
  <c r="U10" i="10"/>
  <c r="Y9" i="10"/>
  <c r="U9" i="10"/>
  <c r="Y8" i="10"/>
  <c r="U8" i="10"/>
  <c r="Y7" i="10"/>
  <c r="U7" i="10"/>
  <c r="Y6" i="10"/>
  <c r="U6" i="10"/>
  <c r="Y13" i="10"/>
  <c r="Y5" i="10"/>
  <c r="U13" i="10"/>
  <c r="U5" i="10"/>
  <c r="X13" i="10"/>
  <c r="X12" i="10"/>
  <c r="X11" i="10"/>
  <c r="X10" i="10"/>
  <c r="X9" i="10"/>
  <c r="X8" i="10"/>
  <c r="X7" i="10"/>
  <c r="X6" i="10"/>
  <c r="X5" i="10"/>
  <c r="W13" i="10"/>
  <c r="W12" i="10"/>
  <c r="W11" i="10"/>
  <c r="W10" i="10"/>
  <c r="W9" i="10"/>
  <c r="W8" i="10"/>
  <c r="W7" i="10"/>
  <c r="W6" i="10"/>
  <c r="W5" i="10"/>
  <c r="V13" i="10"/>
  <c r="V12" i="10"/>
  <c r="V11" i="10"/>
  <c r="V10" i="10"/>
  <c r="V9" i="10"/>
  <c r="V8" i="10"/>
  <c r="V7" i="10"/>
  <c r="V6" i="10"/>
  <c r="V5" i="10"/>
  <c r="T13" i="10"/>
  <c r="T12" i="10"/>
  <c r="T11" i="10"/>
  <c r="T10" i="10"/>
  <c r="T9" i="10"/>
  <c r="T8" i="10"/>
  <c r="T7" i="10"/>
  <c r="T6" i="10"/>
  <c r="T5" i="10"/>
  <c r="S13" i="10"/>
  <c r="S12" i="10"/>
  <c r="S11" i="10"/>
  <c r="S10" i="10"/>
  <c r="S9" i="10"/>
  <c r="S8" i="10"/>
  <c r="S7" i="10"/>
  <c r="S6" i="10"/>
  <c r="S5" i="10"/>
  <c r="R13" i="10"/>
  <c r="R12" i="10"/>
  <c r="R11" i="10"/>
  <c r="R10" i="10"/>
  <c r="R9" i="10"/>
  <c r="R8" i="10"/>
  <c r="R7" i="10"/>
  <c r="R6" i="10"/>
  <c r="R5" i="10"/>
  <c r="Q13" i="10"/>
  <c r="Q12" i="10"/>
  <c r="Q11" i="10"/>
  <c r="Q10" i="10"/>
  <c r="Q9" i="10"/>
  <c r="Q8" i="10"/>
  <c r="Q7" i="10"/>
  <c r="Q6" i="10"/>
  <c r="Q5" i="10"/>
  <c r="P13" i="10"/>
  <c r="P12" i="10"/>
  <c r="P11" i="10"/>
  <c r="P10" i="10"/>
  <c r="P9" i="10"/>
  <c r="P8" i="10"/>
  <c r="P7" i="10"/>
  <c r="P6" i="10"/>
  <c r="P5" i="10"/>
  <c r="O13" i="10"/>
  <c r="O12" i="10"/>
  <c r="O11" i="10"/>
  <c r="O10" i="10"/>
  <c r="O9" i="10"/>
  <c r="O8" i="10"/>
  <c r="O7" i="10"/>
  <c r="O6" i="10"/>
  <c r="O5" i="10"/>
  <c r="N13" i="10"/>
  <c r="N12" i="10"/>
  <c r="N11" i="10"/>
  <c r="N10" i="10"/>
  <c r="N9" i="10"/>
  <c r="N8" i="10"/>
  <c r="N7" i="10"/>
  <c r="N6" i="10"/>
  <c r="N5" i="10"/>
  <c r="M13" i="10"/>
  <c r="M12" i="10"/>
  <c r="M11" i="10"/>
  <c r="M10" i="10"/>
  <c r="M9" i="10"/>
  <c r="M8" i="10"/>
  <c r="M7" i="10"/>
  <c r="M6" i="10"/>
  <c r="M5" i="10"/>
  <c r="L13" i="10"/>
  <c r="L12" i="10"/>
  <c r="L11" i="10"/>
  <c r="L10" i="10"/>
  <c r="L9" i="10"/>
  <c r="L8" i="10"/>
  <c r="L7" i="10"/>
  <c r="L6" i="10"/>
  <c r="L5" i="10"/>
  <c r="K13" i="10"/>
  <c r="K12" i="10"/>
  <c r="K11" i="10"/>
  <c r="K10" i="10"/>
  <c r="K9" i="10"/>
  <c r="K8" i="10"/>
  <c r="K7" i="10"/>
  <c r="K6" i="10"/>
  <c r="K5" i="10"/>
  <c r="J13" i="10"/>
  <c r="J12" i="10"/>
  <c r="J11" i="10"/>
  <c r="J10" i="10"/>
  <c r="J9" i="10"/>
  <c r="J8" i="10"/>
  <c r="J7" i="10"/>
  <c r="J6" i="10"/>
  <c r="J5" i="10"/>
  <c r="H7" i="16"/>
  <c r="H8" i="16" s="1"/>
  <c r="B21" i="27" l="1" a="1"/>
  <c r="B21" i="27" s="1"/>
  <c r="AI12" i="23" a="1"/>
  <c r="AI12" i="23" s="1"/>
  <c r="AF9" i="23" a="1"/>
  <c r="AF9" i="23" s="1"/>
  <c r="AF5" i="23" a="1"/>
  <c r="AF5" i="23" s="1"/>
  <c r="AH12" i="23" a="1"/>
  <c r="AH12" i="23" s="1"/>
  <c r="AI8" i="23" a="1"/>
  <c r="AI8" i="23" s="1"/>
  <c r="AI4" i="23" a="1"/>
  <c r="AI4" i="23" s="1"/>
  <c r="AG12" i="23" a="1"/>
  <c r="AG12" i="23" s="1"/>
  <c r="AH8" i="23" a="1"/>
  <c r="AH8" i="23" s="1"/>
  <c r="AH4" i="23" a="1"/>
  <c r="AH4" i="23" s="1"/>
  <c r="AF12" i="23" a="1"/>
  <c r="AF12" i="23" s="1"/>
  <c r="AG8" i="23" a="1"/>
  <c r="AG8" i="23" s="1"/>
  <c r="AG4" i="23" a="1"/>
  <c r="AG4" i="23" s="1"/>
  <c r="AI11" i="23" a="1"/>
  <c r="AI11" i="23" s="1"/>
  <c r="AF8" i="23" a="1"/>
  <c r="AF8" i="23" s="1"/>
  <c r="AF4" i="23" a="1"/>
  <c r="AF4" i="23" s="1"/>
  <c r="AH11" i="23" a="1"/>
  <c r="AH11" i="23" s="1"/>
  <c r="AI7" i="23" a="1"/>
  <c r="AI7" i="23" s="1"/>
  <c r="AI3" i="23" a="1"/>
  <c r="AI3" i="23" s="1"/>
  <c r="AG11" i="23" a="1"/>
  <c r="AG11" i="23" s="1"/>
  <c r="AH7" i="23" a="1"/>
  <c r="AH7" i="23" s="1"/>
  <c r="AH3" i="23" a="1"/>
  <c r="AH3" i="23" s="1"/>
  <c r="AG7" i="23" a="1"/>
  <c r="AG7" i="23" s="1"/>
  <c r="AG3" i="23" a="1"/>
  <c r="AG3" i="23" s="1"/>
  <c r="AF11" i="23" a="1"/>
  <c r="AF11" i="23" s="1"/>
  <c r="AF7" i="23" a="1"/>
  <c r="AF7" i="23" s="1"/>
  <c r="AF3" i="23" a="1"/>
  <c r="AF3" i="23" s="1"/>
  <c r="AI10" i="23" a="1"/>
  <c r="AI10" i="23" s="1"/>
  <c r="AI6" i="23" a="1"/>
  <c r="AI6" i="23" s="1"/>
  <c r="AH10" i="23" a="1"/>
  <c r="AH10" i="23" s="1"/>
  <c r="AH6" i="23" a="1"/>
  <c r="AH6" i="23" s="1"/>
  <c r="AI2" i="23" a="1"/>
  <c r="AI2" i="23" s="1"/>
  <c r="AG10" i="23" a="1"/>
  <c r="AG10" i="23" s="1"/>
  <c r="AG6" i="23" a="1"/>
  <c r="AG6" i="23" s="1"/>
  <c r="AH2" i="23" a="1"/>
  <c r="AH2" i="23" s="1"/>
  <c r="AF10" i="23" a="1"/>
  <c r="AF10" i="23" s="1"/>
  <c r="AF6" i="23" a="1"/>
  <c r="AF6" i="23" s="1"/>
  <c r="AG2" i="23" a="1"/>
  <c r="AG2" i="23" s="1"/>
  <c r="AI9" i="23" a="1"/>
  <c r="AI9" i="23" s="1"/>
  <c r="AI5" i="23" a="1"/>
  <c r="AI5" i="23" s="1"/>
  <c r="AF2" i="23" a="1"/>
  <c r="AF2" i="23" s="1"/>
  <c r="AH9" i="23" a="1"/>
  <c r="AH9" i="23" s="1"/>
  <c r="AH5" i="23" a="1"/>
  <c r="AH5" i="23" s="1"/>
  <c r="AG9" i="23" a="1"/>
  <c r="AG9" i="23" s="1"/>
  <c r="AG5" i="23" a="1"/>
  <c r="AG5" i="23" s="1"/>
  <c r="M4" i="10"/>
  <c r="U4" i="10"/>
  <c r="R4" i="10"/>
  <c r="O4" i="10"/>
  <c r="X4" i="10"/>
  <c r="L4" i="10"/>
  <c r="T4" i="10"/>
  <c r="Q4" i="10"/>
  <c r="W4" i="10"/>
  <c r="S4" i="10"/>
  <c r="P4" i="10"/>
  <c r="Y4" i="10"/>
  <c r="N4" i="10"/>
  <c r="J4" i="10"/>
  <c r="V4" i="10"/>
  <c r="G6" i="11" l="1"/>
  <c r="AN7" i="16"/>
  <c r="E3" i="11" l="1"/>
  <c r="C50" i="10"/>
  <c r="G5" i="11"/>
  <c r="C49" i="10" l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C13" i="10" s="1"/>
  <c r="C12" i="10" s="1"/>
  <c r="C11" i="10" s="1"/>
  <c r="C10" i="10" s="1"/>
  <c r="C9" i="10" s="1"/>
  <c r="C8" i="10" s="1"/>
  <c r="C7" i="10" s="1"/>
  <c r="C6" i="10" s="1"/>
  <c r="C5" i="10" s="1"/>
  <c r="C4" i="10" s="1"/>
  <c r="C3" i="10" s="1"/>
  <c r="C2" i="10" s="1"/>
  <c r="C1" i="10" s="1"/>
  <c r="D3" i="11" l="1"/>
  <c r="D4" i="11" l="1"/>
  <c r="D5" i="11"/>
  <c r="Z22" i="10" l="1"/>
  <c r="Z30" i="10"/>
  <c r="Z18" i="10"/>
  <c r="Z28" i="10"/>
  <c r="Z16" i="10"/>
  <c r="Z27" i="10"/>
  <c r="Z21" i="10"/>
  <c r="Z24" i="10"/>
  <c r="Z26" i="10"/>
  <c r="Z25" i="10"/>
  <c r="Z19" i="10"/>
  <c r="Z23" i="10"/>
  <c r="Z29" i="10"/>
  <c r="Z20" i="10"/>
  <c r="Z17" i="10"/>
  <c r="Z15" i="10" l="1"/>
  <c r="Z4" i="10"/>
  <c r="Z12" i="10"/>
  <c r="Z14" i="10"/>
  <c r="Z5" i="10"/>
  <c r="Z11" i="10"/>
  <c r="Z10" i="10"/>
  <c r="Z7" i="10"/>
  <c r="Z9" i="10"/>
  <c r="Z13" i="10"/>
  <c r="Z6" i="10"/>
  <c r="Z8" i="10"/>
  <c r="G4" i="11" l="1"/>
  <c r="G3" i="11" l="1"/>
  <c r="F3" i="11"/>
  <c r="I3" i="11" l="1"/>
  <c r="J3" i="11"/>
  <c r="M3" i="11"/>
  <c r="L3" i="11"/>
  <c r="K3" i="11"/>
  <c r="H3" i="11"/>
  <c r="J4" i="11" l="1"/>
  <c r="L4" i="11"/>
  <c r="J5" i="11" l="1"/>
  <c r="L5" i="11"/>
  <c r="I4" i="11"/>
  <c r="I5" i="11"/>
  <c r="K4" i="11"/>
  <c r="K5" i="11"/>
  <c r="M4" i="11"/>
  <c r="M5" i="11"/>
  <c r="C3" i="11" l="1"/>
  <c r="B10" i="27" a="1"/>
  <c r="B10" i="27" s="1"/>
  <c r="B12" i="27"/>
  <c r="B6" i="11" a="1"/>
  <c r="B6" i="11" s="1"/>
  <c r="B2" i="27" a="1"/>
  <c r="B2" i="27" s="1"/>
  <c r="B4" i="27" a="1"/>
  <c r="B4" i="27" s="1"/>
  <c r="F6" i="11" a="1"/>
  <c r="F6" i="11" s="1"/>
  <c r="B5" i="27" a="1"/>
  <c r="B5" i="27" s="1"/>
  <c r="W2" i="23" a="1"/>
  <c r="W2" i="23" s="1"/>
  <c r="B3" i="27" a="1"/>
  <c r="B3" i="27" s="1"/>
  <c r="B6" i="27" a="1"/>
  <c r="B6" i="27" s="1"/>
  <c r="B8" i="27" a="1"/>
  <c r="B8" i="27" s="1"/>
  <c r="C6" i="11" a="1"/>
  <c r="C6" i="11" s="1"/>
  <c r="B7" i="27" a="1"/>
  <c r="B7" i="27" s="1"/>
  <c r="B11" i="27" a="1"/>
  <c r="B11" i="27" s="1"/>
  <c r="B3" i="11"/>
  <c r="C4" i="11" l="1"/>
  <c r="C5" i="11"/>
  <c r="N5" i="11"/>
  <c r="N4" i="11"/>
  <c r="N3" i="11" s="1"/>
  <c r="B4" i="11"/>
  <c r="B5" i="11"/>
  <c r="E5" i="11"/>
  <c r="E4" i="11"/>
  <c r="H5" i="11"/>
  <c r="H4" i="11"/>
  <c r="F4" i="11"/>
  <c r="F5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<sst xmlns="http://schemas.openxmlformats.org/spreadsheetml/2006/main" count="8176" uniqueCount="5397">
  <si>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</si>
  <si>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</si>
  <si>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</si>
  <si>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</si>
  <si>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</si>
  <si>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</si>
  <si>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</si>
  <si>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</si>
  <si>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</si>
  <si>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</si>
  <si>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</si>
  <si>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</si>
  <si>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</si>
  <si>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</si>
  <si>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</si>
  <si>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</si>
  <si>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</si>
  <si>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</si>
  <si>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</si>
  <si>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</si>
  <si>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</si>
  <si>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</si>
  <si>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</si>
  <si>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</si>
  <si>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</si>
  <si>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</si>
  <si>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</si>
  <si>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</si>
  <si>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</si>
  <si>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</si>
  <si>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</si>
  <si>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</si>
  <si>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</si>
  <si>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</si>
  <si>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</si>
  <si>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</si>
  <si>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</si>
  <si>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</si>
  <si>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</si>
  <si>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</si>
  <si>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</si>
  <si>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</si>
  <si>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</si>
  <si>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IPC</t>
  </si>
  <si>
    <t>Cumulative</t>
  </si>
  <si>
    <t>Total</t>
  </si>
  <si>
    <t>2D</t>
  </si>
  <si>
    <t>3D</t>
  </si>
  <si>
    <t>CDI</t>
  </si>
  <si>
    <t>Azimuth</t>
  </si>
  <si>
    <t>Hours on type</t>
  </si>
  <si>
    <t>DGA</t>
  </si>
  <si>
    <t>Passenger Carrying</t>
  </si>
  <si>
    <t>Operation</t>
  </si>
  <si>
    <t>IFR (Apps)</t>
  </si>
  <si>
    <t>NVFR</t>
  </si>
  <si>
    <t>Single Pilot IFR</t>
  </si>
  <si>
    <t>Days until no longer current/recent</t>
  </si>
  <si>
    <t>Date no longer current/recent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</si>
  <si>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</si>
  <si>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</si>
  <si>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</si>
  <si>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</si>
  <si>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</si>
  <si>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</si>
  <si>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</si>
  <si>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</si>
  <si>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</si>
  <si>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</si>
  <si>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</si>
  <si>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</si>
  <si>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</si>
  <si>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</si>
  <si>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</si>
  <si>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</si>
  <si>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</si>
  <si>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</si>
  <si>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</si>
  <si>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</si>
  <si>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</si>
  <si>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</si>
  <si>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</si>
  <si>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</si>
  <si>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</si>
  <si>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</si>
  <si>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</si>
  <si>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</si>
  <si>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</si>
  <si>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</si>
  <si>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</si>
  <si>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</si>
  <si>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</si>
  <si>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</si>
  <si>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</si>
  <si>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</si>
  <si>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Manually override IPC/IFR date:</t>
  </si>
  <si>
    <t>Category</t>
  </si>
  <si>
    <t>Element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</si>
  <si>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</si>
  <si>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</si>
  <si>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</si>
  <si>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</si>
  <si>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</si>
  <si>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</si>
  <si>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</si>
  <si>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</si>
  <si>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</si>
  <si>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</si>
  <si>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</si>
  <si>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</si>
  <si>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</si>
  <si>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</si>
  <si>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</si>
  <si>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</si>
  <si>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</si>
  <si>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</si>
  <si>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</si>
  <si>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</si>
  <si>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</si>
  <si>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</si>
  <si>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</si>
  <si>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</si>
  <si>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</si>
  <si>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</si>
  <si>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</si>
  <si>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</si>
  <si>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</si>
  <si>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</si>
  <si>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</si>
  <si>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</si>
  <si>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</si>
  <si>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</si>
  <si>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</si>
  <si>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</si>
  <si>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</si>
  <si>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</si>
  <si>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</si>
  <si>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</si>
  <si>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</si>
  <si>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</si>
  <si>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</si>
  <si>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</si>
  <si>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</si>
  <si>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</si>
  <si>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</si>
  <si>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</si>
  <si>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</si>
  <si>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</si>
  <si>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</si>
  <si>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</si>
  <si>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</si>
  <si>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</si>
  <si>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</si>
  <si>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</si>
  <si>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</si>
  <si>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</si>
  <si>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</si>
  <si>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</si>
  <si>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</si>
  <si>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</si>
  <si>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</si>
  <si>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</si>
  <si>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</si>
  <si>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</si>
  <si>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</si>
  <si>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</si>
  <si>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</si>
  <si>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</si>
  <si>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</si>
  <si>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</si>
  <si>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</si>
  <si>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</si>
  <si>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</si>
  <si>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</si>
  <si>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</si>
  <si>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</si>
  <si>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</si>
  <si>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</si>
  <si>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</si>
  <si>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</si>
  <si>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</si>
  <si>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</si>
  <si>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</si>
  <si>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</si>
  <si>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</si>
  <si>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</si>
  <si>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</si>
  <si>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</si>
  <si>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</si>
  <si>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</si>
  <si>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</si>
  <si>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</si>
  <si>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</si>
  <si>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</si>
  <si>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</si>
  <si>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</si>
  <si>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</si>
  <si>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</si>
  <si>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</si>
  <si>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</si>
  <si>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</si>
  <si>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</si>
  <si>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</si>
  <si>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</si>
  <si>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</si>
  <si>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</si>
  <si>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</si>
  <si>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</si>
  <si>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</si>
  <si>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</si>
  <si>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</si>
  <si>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</si>
  <si>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</si>
  <si>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</si>
  <si>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</si>
  <si>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</si>
  <si>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</si>
  <si>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</si>
  <si>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</si>
  <si>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</si>
  <si>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</si>
  <si>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</si>
  <si>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</si>
  <si>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</si>
  <si>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</si>
  <si>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</si>
  <si>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</si>
  <si>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</si>
  <si>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</si>
  <si>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</si>
  <si>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</si>
  <si>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</si>
  <si>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</si>
  <si>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</si>
  <si>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</si>
  <si>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</si>
  <si>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</si>
  <si>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</si>
  <si>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</si>
  <si>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</si>
  <si>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</si>
  <si>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</si>
  <si>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</si>
  <si>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</si>
  <si>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</si>
  <si>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</si>
  <si>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</si>
  <si>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</si>
  <si>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</si>
  <si>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</si>
  <si>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</si>
  <si>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</si>
  <si>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</si>
  <si>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</si>
  <si>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</si>
  <si>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</si>
  <si>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</si>
  <si>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</si>
  <si>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</si>
  <si>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</si>
  <si>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</si>
  <si>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</si>
  <si>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</si>
  <si>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</si>
  <si>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</si>
  <si>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</si>
  <si>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</si>
  <si>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</si>
  <si>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</si>
  <si>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</si>
  <si>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</si>
  <si>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</si>
  <si>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</si>
  <si>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</si>
  <si>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</si>
  <si>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</si>
  <si>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</si>
  <si>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</si>
  <si>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</si>
  <si>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</si>
  <si>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</si>
  <si>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</si>
  <si>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</si>
  <si>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</si>
  <si>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</si>
  <si>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</si>
  <si>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</si>
  <si>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</si>
  <si>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</si>
  <si>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</si>
  <si>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</si>
  <si>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</si>
  <si>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</si>
  <si>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</si>
  <si>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</si>
  <si>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</si>
  <si>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</si>
  <si>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</si>
  <si>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</si>
  <si>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</si>
  <si>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</si>
  <si>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</si>
  <si>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</si>
  <si>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</si>
  <si>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</si>
  <si>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</si>
  <si>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</si>
  <si>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</si>
  <si>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</si>
  <si>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</si>
  <si>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</si>
  <si>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</si>
  <si>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</si>
  <si>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</si>
  <si>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</si>
  <si>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</si>
  <si>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</si>
  <si>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</si>
  <si>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</si>
  <si>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</si>
  <si>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</si>
  <si>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</si>
  <si>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</si>
  <si>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</si>
  <si>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</si>
  <si>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</si>
  <si>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</si>
  <si>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</si>
  <si>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</si>
  <si>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</si>
  <si>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</si>
  <si>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</si>
  <si>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</si>
  <si>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</si>
  <si>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</si>
  <si>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</si>
  <si>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</si>
  <si>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</si>
  <si>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</si>
  <si>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</si>
  <si>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</si>
  <si>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</si>
  <si>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</si>
  <si>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</si>
  <si>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</si>
  <si>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</si>
  <si>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</si>
  <si>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</si>
  <si>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</si>
  <si>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</si>
  <si>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</si>
  <si>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</si>
  <si>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</si>
  <si>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</si>
  <si>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</si>
  <si>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</si>
  <si>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</si>
  <si>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</si>
  <si>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</si>
  <si>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</si>
  <si>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</si>
  <si>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</si>
  <si>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</si>
  <si>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</si>
  <si>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</si>
  <si>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</si>
  <si>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</si>
  <si>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</si>
  <si>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</si>
  <si>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</si>
  <si>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</si>
  <si>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</si>
  <si>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</si>
  <si>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</si>
  <si>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</si>
  <si>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</si>
  <si>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</si>
  <si>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</si>
  <si>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</si>
  <si>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</si>
  <si>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</si>
  <si>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</si>
  <si>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</si>
  <si>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</si>
  <si>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</si>
  <si>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</si>
  <si>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</si>
  <si>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</si>
  <si>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</si>
  <si>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</si>
  <si>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</si>
  <si>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</si>
  <si>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</si>
  <si>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</si>
  <si>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</si>
  <si>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</si>
  <si>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</si>
  <si>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</si>
  <si>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</si>
  <si>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</si>
  <si>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</si>
  <si>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</si>
  <si>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</si>
  <si>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</si>
  <si>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</si>
  <si>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</si>
  <si>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</si>
  <si>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</si>
  <si>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</si>
  <si>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</si>
  <si>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</si>
  <si>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</si>
  <si>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</si>
  <si>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</si>
  <si>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</si>
  <si>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</si>
  <si>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</si>
  <si>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</si>
  <si>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</si>
  <si>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</si>
  <si>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</si>
  <si>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</si>
  <si>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</si>
  <si>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</si>
  <si>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</si>
  <si>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</si>
  <si>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</si>
  <si>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</si>
  <si>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</si>
  <si>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</si>
  <si>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</si>
  <si>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</si>
  <si>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</si>
  <si>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</si>
  <si>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</si>
  <si>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</si>
  <si>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</si>
  <si>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</si>
  <si>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</si>
  <si>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</si>
  <si>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</si>
  <si>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</si>
  <si>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</si>
  <si>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</si>
  <si>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</si>
  <si>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</si>
  <si>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</si>
  <si>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</si>
  <si>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</si>
  <si>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</si>
  <si>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</si>
  <si>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</si>
  <si>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</si>
  <si>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</si>
  <si>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</si>
  <si>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</si>
  <si>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</si>
  <si>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</si>
  <si>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</si>
  <si>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</si>
  <si>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</si>
  <si>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</si>
  <si>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</si>
  <si>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</si>
  <si>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</si>
  <si>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</si>
  <si>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</si>
  <si>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</si>
  <si>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</si>
  <si>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</si>
  <si>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</si>
  <si>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</si>
  <si>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</si>
  <si>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</si>
  <si>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</si>
  <si>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</si>
  <si>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</si>
  <si>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</si>
  <si>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</si>
  <si>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</si>
  <si>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</si>
  <si>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</si>
  <si>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</si>
  <si>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</si>
  <si>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</si>
  <si>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</si>
  <si>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</si>
  <si>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</si>
  <si>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</si>
  <si>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</si>
  <si>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</si>
  <si>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</si>
  <si>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</si>
  <si>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</si>
  <si>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</si>
  <si>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</si>
  <si>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</si>
  <si>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</si>
  <si>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</si>
  <si>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</si>
  <si>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</si>
  <si>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</si>
  <si>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</si>
  <si>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</si>
  <si>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</si>
  <si>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</si>
  <si>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</si>
  <si>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</si>
  <si>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</si>
  <si>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</si>
  <si>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</si>
  <si>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</si>
  <si>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</si>
  <si>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</si>
  <si>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</si>
  <si>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</si>
  <si>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</si>
  <si>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</si>
  <si>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</si>
  <si>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</si>
  <si>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</si>
  <si>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</si>
  <si>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</si>
  <si>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</si>
  <si>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</si>
  <si>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</si>
  <si>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</si>
  <si>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</si>
  <si>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</si>
  <si>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</si>
  <si>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</si>
  <si>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</si>
  <si>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</si>
  <si>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</si>
  <si>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</si>
  <si>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</si>
  <si>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</si>
  <si>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</si>
  <si>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</si>
  <si>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</si>
  <si>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</si>
  <si>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</si>
  <si>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</si>
  <si>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</si>
  <si>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</si>
  <si>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</si>
  <si>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</si>
  <si>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</si>
  <si>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</si>
  <si>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</si>
  <si>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</si>
  <si>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</si>
  <si>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</si>
  <si>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</si>
  <si>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</si>
  <si>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</si>
  <si>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</si>
  <si>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</si>
  <si>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</si>
  <si>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</si>
  <si>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</si>
  <si>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</si>
  <si>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</si>
  <si>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</si>
  <si>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</si>
  <si>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</si>
  <si>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</si>
  <si>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</si>
  <si>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</si>
  <si>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</si>
  <si>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</si>
  <si>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</si>
  <si>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</si>
  <si>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</si>
  <si>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</si>
  <si>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</si>
  <si>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</si>
  <si>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</si>
  <si>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</si>
  <si>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</si>
  <si>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</si>
  <si>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</si>
  <si>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</si>
  <si>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</si>
  <si>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</si>
  <si>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</si>
  <si>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</si>
  <si>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</si>
  <si>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</si>
  <si>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</si>
  <si>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</si>
  <si>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</si>
  <si>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</si>
  <si>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</si>
  <si>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</si>
  <si>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</si>
  <si>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</si>
  <si>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</si>
  <si>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</si>
  <si>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</si>
  <si>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</si>
  <si>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</si>
  <si>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</si>
  <si>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</si>
  <si>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</si>
  <si>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</si>
  <si>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</si>
  <si>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</si>
  <si>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</si>
  <si>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</si>
  <si>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</si>
  <si>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</si>
  <si>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</si>
  <si>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</si>
  <si>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</si>
  <si>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</si>
  <si>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</si>
  <si>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</si>
  <si>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</si>
  <si>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</si>
  <si>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</si>
  <si>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</si>
  <si>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</si>
  <si>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</si>
  <si>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</si>
  <si>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</si>
  <si>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</si>
  <si>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</si>
  <si>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</si>
  <si>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</si>
  <si>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</si>
  <si>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</si>
  <si>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</si>
  <si>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</si>
  <si>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</si>
  <si>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</si>
  <si>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</si>
  <si>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</si>
  <si>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</si>
  <si>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</si>
  <si>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</si>
  <si>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</si>
  <si>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</si>
  <si>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</si>
  <si>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</si>
  <si>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</si>
  <si>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</si>
  <si>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</si>
  <si>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</si>
  <si>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</si>
  <si>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</si>
  <si>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</si>
  <si>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</si>
  <si>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</si>
  <si>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</si>
  <si>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</si>
  <si>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</si>
  <si>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</si>
  <si>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</si>
  <si>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</si>
  <si>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</si>
  <si>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</si>
  <si>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</si>
  <si>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</si>
  <si>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</si>
  <si>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</si>
  <si>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</si>
  <si>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</si>
  <si>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</si>
  <si>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</si>
  <si>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</si>
  <si>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</si>
  <si>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</si>
  <si>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</si>
  <si>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</si>
  <si>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</si>
  <si>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</si>
  <si>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</si>
  <si>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</si>
  <si>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</si>
  <si>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</si>
  <si>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</si>
  <si>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</si>
  <si>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</si>
  <si>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</si>
  <si>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</si>
  <si>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</si>
  <si>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</si>
  <si>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</si>
  <si>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</si>
  <si>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</si>
  <si>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</si>
  <si>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</si>
  <si>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</si>
  <si>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</si>
  <si>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</si>
  <si>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</si>
  <si>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</si>
  <si>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</si>
  <si>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</si>
  <si>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</si>
  <si>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</si>
  <si>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</si>
  <si>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</si>
  <si>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</si>
  <si>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</si>
  <si>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</si>
  <si>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</si>
  <si>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</si>
  <si>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</si>
  <si>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</si>
  <si>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</si>
  <si>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</si>
  <si>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</si>
  <si>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</si>
  <si>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</si>
  <si>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</si>
  <si>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</si>
  <si>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</si>
  <si>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</si>
  <si>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</si>
  <si>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</si>
  <si>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</si>
  <si>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</si>
  <si>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</si>
  <si>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</si>
  <si>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</si>
  <si>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</si>
  <si>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</si>
  <si>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</si>
  <si>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</si>
  <si>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</si>
  <si>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</si>
  <si>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</si>
  <si>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</si>
  <si>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</si>
  <si>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</si>
  <si>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</si>
  <si>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</si>
  <si>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</si>
  <si>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</si>
  <si>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</si>
  <si>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</si>
  <si>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</si>
  <si>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</si>
  <si>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</si>
  <si>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</si>
  <si>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</si>
  <si>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</si>
  <si>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</si>
  <si>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</si>
  <si>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</si>
  <si>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</si>
  <si>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</si>
  <si>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</si>
  <si>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</si>
  <si>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</si>
  <si>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</si>
  <si>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</si>
  <si>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</si>
  <si>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</si>
  <si>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</si>
  <si>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</si>
  <si>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</si>
  <si>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</si>
  <si>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</si>
  <si>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</si>
  <si>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</si>
  <si>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</si>
  <si>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</si>
  <si>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</si>
  <si>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</si>
  <si>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</si>
  <si>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</si>
  <si>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</si>
  <si>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</si>
  <si>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</si>
  <si>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</si>
  <si>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</si>
  <si>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</si>
  <si>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</si>
  <si>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</si>
  <si>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</si>
  <si>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</si>
  <si>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</si>
  <si>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</si>
  <si>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</si>
  <si>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</si>
  <si>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</si>
  <si>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</si>
  <si>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</si>
  <si>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</si>
  <si>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</si>
  <si>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</si>
  <si>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</si>
  <si>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</si>
  <si>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</si>
  <si>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</si>
  <si>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</si>
  <si>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</si>
  <si>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</si>
  <si>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</si>
  <si>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</si>
  <si>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</si>
  <si>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</si>
  <si>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</si>
  <si>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</si>
  <si>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</si>
  <si>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</si>
  <si>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</si>
  <si>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</si>
  <si>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</si>
  <si>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</si>
  <si>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</si>
  <si>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</si>
  <si>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</si>
  <si>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</si>
  <si>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</si>
  <si>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</si>
  <si>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</si>
  <si>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</si>
  <si>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</si>
  <si>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</si>
  <si>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</si>
  <si>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</si>
  <si>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</si>
  <si>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</si>
  <si>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</si>
  <si>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</si>
  <si>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</si>
  <si>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</si>
  <si>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</si>
  <si>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</si>
  <si>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</si>
  <si>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</si>
  <si>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</si>
  <si>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</si>
  <si>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</si>
  <si>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</si>
  <si>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</si>
  <si>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</si>
  <si>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</si>
  <si>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</si>
  <si>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</si>
  <si>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</si>
  <si>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</si>
  <si>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</si>
  <si>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</si>
  <si>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</si>
  <si>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</si>
  <si>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</si>
  <si>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</si>
  <si>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</si>
  <si>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</si>
  <si>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</si>
  <si>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</si>
  <si>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</si>
  <si>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</si>
  <si>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</si>
  <si>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</si>
  <si>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</si>
  <si>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</si>
  <si>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</si>
  <si>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</si>
  <si>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</si>
  <si>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</si>
  <si>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</si>
  <si>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</si>
  <si>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</si>
  <si>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</si>
  <si>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</si>
  <si>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</si>
  <si>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</si>
  <si>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</si>
  <si>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</si>
  <si>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</si>
  <si>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</si>
  <si>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</si>
  <si>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</si>
  <si>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</si>
  <si>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</si>
  <si>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</si>
  <si>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</si>
  <si>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</si>
  <si>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</si>
  <si>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</si>
  <si>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</si>
  <si>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</si>
  <si>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</si>
  <si>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</si>
  <si>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</si>
  <si>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</si>
  <si>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</si>
  <si>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</si>
  <si>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</si>
  <si>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</si>
  <si>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</si>
  <si>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</si>
  <si>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</si>
  <si>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</si>
  <si>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</si>
  <si>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</si>
  <si>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</si>
  <si>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</si>
  <si>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</si>
  <si>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</si>
  <si>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</si>
  <si>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</si>
  <si>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</si>
  <si>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</si>
  <si>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</si>
  <si>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</si>
  <si>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</si>
  <si>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</si>
  <si>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</si>
  <si>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</si>
  <si>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</si>
  <si>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</si>
  <si>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</si>
  <si>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</si>
  <si>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</si>
  <si>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</si>
  <si>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</si>
  <si>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</si>
  <si>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</si>
  <si>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</si>
  <si>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</si>
  <si>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</si>
  <si>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</si>
  <si>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</si>
  <si>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</si>
  <si>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</si>
  <si>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</si>
  <si>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</si>
  <si>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</si>
  <si>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</si>
  <si>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</si>
  <si>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</si>
  <si>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</si>
  <si>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</si>
  <si>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</si>
  <si>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</si>
  <si>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</si>
  <si>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</si>
  <si>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</si>
  <si>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</si>
  <si>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</si>
  <si>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</si>
  <si>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</si>
  <si>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</si>
  <si>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</si>
  <si>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</si>
  <si>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</si>
  <si>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</si>
  <si>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</si>
  <si>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</si>
  <si>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</si>
  <si>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</si>
  <si>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</si>
  <si>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</si>
  <si>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</si>
  <si>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</si>
  <si>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</si>
  <si>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</si>
  <si>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</si>
  <si>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</si>
  <si>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</si>
  <si>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</si>
  <si>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</si>
  <si>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</si>
  <si>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</si>
  <si>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</si>
  <si>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</si>
  <si>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</si>
  <si>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</si>
  <si>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</si>
  <si>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</si>
  <si>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</si>
  <si>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</si>
  <si>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</si>
  <si>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</si>
  <si>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</si>
  <si>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</si>
  <si>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</si>
  <si>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</si>
  <si>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</si>
  <si>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</si>
  <si>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</si>
  <si>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</si>
  <si>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</si>
  <si>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</si>
  <si>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</si>
  <si>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</si>
  <si>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</si>
  <si>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</si>
  <si>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</si>
  <si>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</si>
  <si>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</si>
  <si>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</si>
  <si>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</si>
  <si>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</si>
  <si>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</si>
  <si>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</si>
  <si>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</si>
  <si>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</si>
  <si>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</si>
  <si>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</si>
  <si>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</si>
  <si>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</si>
  <si>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</si>
  <si>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</si>
  <si>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</si>
  <si>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</si>
  <si>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</si>
  <si>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</si>
  <si>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</si>
  <si>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</si>
  <si>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</si>
  <si>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</si>
  <si>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</si>
  <si>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</si>
  <si>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</si>
  <si>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</si>
  <si>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</si>
  <si>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</si>
  <si>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</si>
  <si>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</si>
  <si>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</si>
  <si>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</si>
  <si>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</si>
  <si>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</si>
  <si>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</si>
  <si>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</si>
  <si>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</si>
  <si>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</si>
  <si>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</si>
  <si>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</si>
  <si>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</si>
  <si>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</si>
  <si>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</si>
  <si>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</si>
  <si>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</si>
  <si>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</si>
  <si>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</si>
  <si>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</si>
  <si>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</si>
  <si>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</si>
  <si>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</si>
  <si>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</si>
  <si>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</si>
  <si>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</si>
  <si>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</si>
  <si>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</si>
  <si>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</si>
  <si>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</si>
  <si>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</si>
  <si>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</si>
  <si>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</si>
  <si>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</si>
  <si>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</si>
  <si>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</si>
  <si>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</si>
  <si>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</si>
  <si>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</si>
  <si>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</si>
  <si>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</si>
  <si>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</si>
  <si>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</si>
  <si>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</si>
  <si>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</si>
  <si>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</si>
  <si>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</si>
  <si>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</si>
  <si>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</si>
  <si>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</si>
  <si>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</si>
  <si>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</si>
  <si>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</si>
  <si>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</si>
  <si>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</si>
  <si>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</si>
  <si>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</si>
  <si>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</si>
  <si>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</si>
  <si>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</si>
  <si>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</si>
  <si>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</si>
  <si>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</si>
  <si>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</si>
  <si>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</si>
  <si>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</si>
  <si>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</si>
  <si>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</si>
  <si>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</si>
  <si>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</si>
  <si>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</si>
  <si>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</si>
  <si>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</si>
  <si>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</si>
  <si>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</si>
  <si>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</si>
  <si>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</si>
  <si>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</si>
  <si>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</si>
  <si>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</si>
  <si>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</si>
  <si>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</si>
  <si>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</si>
  <si>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</si>
  <si>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</si>
  <si>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</si>
  <si>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</si>
  <si>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</si>
  <si>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</si>
  <si>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</si>
  <si>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</si>
  <si>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</si>
  <si>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</si>
  <si>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</si>
  <si>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</si>
  <si>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</si>
  <si>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</si>
  <si>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</si>
  <si>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</si>
  <si>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</si>
  <si>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</si>
  <si>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</si>
  <si>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</si>
  <si>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</si>
  <si>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</si>
  <si>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</si>
  <si>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</si>
  <si>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</si>
  <si>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</si>
  <si>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</si>
  <si>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</si>
  <si>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</si>
  <si>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</si>
  <si>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</si>
  <si>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</si>
  <si>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</si>
  <si>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</si>
  <si>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</si>
  <si>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</si>
  <si>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</si>
  <si>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</si>
  <si>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</si>
  <si>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</si>
  <si>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</si>
  <si>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</si>
  <si>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</si>
  <si>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</si>
  <si>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</si>
  <si>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</si>
  <si>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</si>
  <si>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</si>
  <si>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</si>
  <si>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</si>
  <si>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</si>
  <si>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</si>
  <si>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</si>
  <si>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</si>
  <si>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</si>
  <si>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</si>
  <si>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</si>
  <si>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</si>
  <si>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</si>
  <si>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</si>
  <si>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</si>
  <si>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</si>
  <si>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</si>
  <si>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</si>
  <si>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</si>
  <si>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</si>
  <si>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</si>
  <si>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</si>
  <si>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</si>
  <si>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</si>
  <si>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</si>
  <si>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</si>
  <si>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</si>
  <si>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</si>
  <si>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</si>
  <si>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</si>
  <si>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</si>
  <si>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</si>
  <si>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</si>
  <si>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</si>
  <si>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</si>
  <si>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</si>
  <si>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</si>
  <si>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</si>
  <si>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</si>
  <si>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</si>
  <si>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</si>
  <si>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</si>
  <si>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</si>
  <si>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</si>
  <si>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</si>
  <si>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</si>
  <si>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</si>
  <si>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</si>
  <si>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</si>
  <si>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</si>
  <si>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</si>
  <si>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</si>
  <si>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</si>
  <si>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</si>
  <si>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</si>
  <si>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</si>
  <si>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</si>
  <si>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</si>
  <si>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</si>
  <si>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</si>
  <si>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</si>
  <si>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</si>
  <si>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</si>
  <si>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</si>
  <si>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</si>
  <si>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</si>
  <si>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</si>
  <si>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</si>
  <si>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</si>
  <si>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</si>
  <si>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</si>
  <si>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</si>
  <si>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</si>
  <si>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</si>
  <si>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</si>
  <si>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</si>
  <si>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</si>
  <si>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</si>
  <si>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</si>
  <si>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</si>
  <si>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</si>
  <si>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</si>
  <si>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</si>
  <si>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</si>
  <si>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</si>
  <si>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</si>
  <si>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</si>
  <si>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</si>
  <si>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</si>
  <si>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</si>
  <si>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</si>
  <si>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</si>
  <si>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</si>
  <si>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</si>
  <si>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</si>
  <si>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</si>
  <si>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</si>
  <si>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</si>
  <si>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</si>
  <si>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</si>
  <si>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</si>
  <si>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</si>
  <si>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</si>
  <si>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</si>
  <si>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</si>
  <si>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</si>
  <si>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</si>
  <si>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</si>
  <si>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</si>
  <si>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</si>
  <si>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</si>
  <si>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</si>
  <si>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</si>
  <si>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</si>
  <si>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</si>
  <si>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</si>
  <si>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</si>
  <si>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</si>
  <si>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</si>
  <si>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</si>
  <si>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</si>
  <si>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</si>
  <si>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</si>
  <si>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</si>
  <si>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</si>
  <si>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</si>
  <si>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</si>
  <si>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</si>
  <si>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</si>
  <si>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</si>
  <si>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</si>
  <si>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</si>
  <si>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</si>
  <si>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</si>
  <si>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</si>
  <si>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</si>
  <si>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</si>
  <si>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</si>
  <si>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</si>
  <si>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</si>
  <si>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</si>
  <si>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</si>
  <si>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</si>
  <si>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</si>
  <si>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</si>
  <si>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</si>
  <si>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</si>
  <si>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</si>
  <si>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</si>
  <si>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</si>
  <si>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</si>
  <si>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</si>
  <si>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</si>
  <si>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</si>
  <si>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</si>
  <si>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</si>
  <si>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</si>
  <si>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</si>
  <si>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</si>
  <si>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</si>
  <si>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</si>
  <si>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</si>
  <si>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</si>
  <si>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</si>
  <si>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</si>
  <si>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</si>
  <si>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</si>
  <si>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</si>
  <si>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</si>
  <si>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</si>
  <si>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</si>
  <si>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</si>
  <si>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</si>
  <si>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</si>
  <si>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</si>
  <si>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</si>
  <si>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</si>
  <si>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</si>
  <si>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</si>
  <si>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</si>
  <si>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</si>
  <si>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</si>
  <si>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</si>
  <si>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</si>
  <si>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</si>
  <si>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</si>
  <si>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</si>
  <si>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</si>
  <si>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</si>
  <si>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</si>
  <si>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</si>
  <si>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</si>
  <si>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</si>
  <si>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</si>
  <si>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</si>
  <si>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</si>
  <si>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</si>
  <si>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</si>
  <si>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</si>
  <si>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</si>
  <si>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</si>
  <si>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</si>
  <si>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</si>
  <si>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</si>
  <si>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</si>
  <si>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</si>
  <si>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</si>
  <si>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</si>
  <si>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</si>
  <si>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</si>
  <si>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</si>
  <si>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</si>
  <si>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</si>
  <si>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</si>
  <si>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</si>
  <si>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</si>
  <si>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</si>
  <si>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</si>
  <si>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</si>
  <si>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</si>
  <si>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</si>
  <si>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</si>
  <si>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</si>
  <si>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</si>
  <si>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</si>
  <si>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</si>
  <si>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</si>
  <si>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</si>
  <si>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</si>
  <si>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</si>
  <si>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</si>
  <si>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</si>
  <si>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</si>
  <si>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</si>
  <si>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</si>
  <si>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</si>
  <si>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</si>
  <si>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</si>
  <si>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</si>
  <si>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</si>
  <si>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</si>
  <si>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</si>
  <si>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</si>
  <si>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</si>
  <si>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</si>
  <si>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</si>
  <si>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</si>
  <si>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</si>
  <si>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</si>
  <si>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</si>
  <si>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</si>
  <si>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</si>
  <si>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</si>
  <si>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</si>
  <si>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</si>
  <si>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</si>
  <si>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</si>
  <si>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</si>
  <si>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</si>
  <si>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</si>
  <si>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</si>
  <si>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</si>
  <si>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</si>
  <si>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</si>
  <si>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</si>
  <si>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</si>
  <si>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</si>
  <si>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</si>
  <si>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</si>
  <si>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</si>
  <si>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</si>
  <si>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</si>
  <si>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</si>
  <si>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</si>
  <si>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</si>
  <si>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</si>
  <si>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</si>
  <si>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</si>
  <si>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</si>
  <si>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</si>
  <si>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</si>
  <si>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</si>
  <si>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</si>
  <si>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</si>
  <si>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</si>
  <si>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</si>
  <si>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</si>
  <si>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</si>
  <si>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</si>
  <si>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</si>
  <si>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</si>
  <si>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</si>
  <si>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</si>
  <si>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</si>
  <si>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</si>
  <si>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</si>
  <si>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</si>
  <si>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</si>
  <si>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</si>
  <si>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</si>
  <si>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</si>
  <si>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</si>
  <si>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</si>
  <si>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</si>
  <si>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</si>
  <si>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</si>
  <si>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</si>
  <si>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</si>
  <si>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</si>
  <si>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</si>
  <si>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</si>
  <si>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</si>
  <si>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</si>
  <si>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</si>
  <si>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</si>
  <si>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</si>
  <si>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</si>
  <si>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</si>
  <si>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</si>
  <si>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</si>
  <si>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</si>
  <si>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</si>
  <si>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</si>
  <si>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</si>
  <si>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</si>
  <si>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</si>
  <si>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</si>
  <si>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</si>
  <si>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</si>
  <si>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</si>
  <si>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</si>
  <si>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</si>
  <si>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</si>
  <si>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</si>
  <si>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</si>
  <si>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</si>
  <si>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</si>
  <si>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</si>
  <si>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</si>
  <si>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</si>
  <si>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</si>
  <si>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</si>
  <si>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</si>
  <si>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</si>
  <si>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</si>
  <si>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</si>
  <si>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</si>
  <si>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</si>
  <si>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</si>
  <si>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</si>
  <si>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</si>
  <si>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</si>
  <si>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</si>
  <si>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</si>
  <si>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</si>
  <si>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</si>
  <si>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</si>
  <si>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</si>
  <si>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</si>
  <si>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</si>
  <si>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</si>
  <si>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</si>
  <si>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</si>
  <si>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</si>
  <si>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</si>
  <si>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</si>
  <si>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</si>
  <si>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</si>
  <si>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</si>
  <si>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</si>
  <si>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</si>
  <si>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</si>
  <si>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</si>
  <si>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</si>
  <si>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</si>
  <si>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</si>
  <si>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</si>
  <si>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</si>
  <si>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</si>
  <si>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</si>
  <si>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</si>
  <si>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</si>
  <si>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</si>
  <si>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</si>
  <si>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</si>
  <si>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</si>
  <si>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</si>
  <si>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</si>
  <si>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</si>
  <si>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</si>
  <si>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</si>
  <si>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</si>
  <si>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</si>
  <si>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</si>
  <si>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</si>
  <si>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</si>
  <si>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</si>
  <si>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</si>
  <si>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</si>
  <si>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</si>
  <si>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</si>
  <si>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</si>
  <si>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</si>
  <si>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</si>
  <si>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</si>
  <si>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</si>
  <si>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</si>
  <si>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</si>
  <si>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</si>
  <si>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</si>
  <si>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</si>
  <si>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</si>
  <si>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</si>
  <si>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</si>
  <si>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</si>
  <si>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</si>
  <si>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</si>
  <si>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</si>
  <si>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</si>
  <si>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</si>
  <si>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</si>
  <si>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</si>
  <si>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</si>
  <si>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</si>
  <si>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</si>
  <si>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</si>
  <si>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</si>
  <si>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</si>
  <si>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</si>
  <si>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</si>
  <si>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</si>
  <si>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</si>
  <si>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</si>
  <si>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</si>
  <si>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</si>
  <si>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</si>
  <si>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</si>
  <si>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</si>
  <si>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</si>
  <si>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</si>
  <si>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</si>
  <si>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</si>
  <si>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</si>
  <si>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</si>
  <si>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</si>
  <si>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</si>
  <si>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</si>
  <si>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</si>
  <si>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</si>
  <si>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</si>
  <si>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</si>
  <si>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</si>
  <si>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</si>
  <si>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</si>
  <si>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</si>
  <si>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</si>
  <si>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</si>
  <si>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</si>
  <si>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</si>
  <si>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</si>
  <si>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</si>
  <si>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</si>
  <si>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</si>
  <si>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</si>
  <si>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</si>
  <si>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</si>
  <si>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</si>
  <si>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</si>
  <si>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</si>
  <si>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</si>
  <si>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</si>
  <si>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</si>
  <si>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</si>
  <si>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</si>
  <si>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</si>
  <si>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</si>
  <si>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</si>
  <si>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</si>
  <si>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</si>
  <si>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</si>
  <si>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</si>
  <si>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</si>
  <si>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</si>
  <si>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</si>
  <si>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</si>
  <si>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</si>
  <si>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</si>
  <si>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</si>
  <si>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</si>
  <si>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</si>
  <si>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</si>
  <si>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</si>
  <si>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</si>
  <si>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</si>
  <si>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</si>
  <si>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</si>
  <si>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</si>
  <si>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</si>
  <si>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</si>
  <si>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</si>
  <si>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</si>
  <si>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</si>
  <si>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</si>
  <si>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</si>
  <si>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</si>
  <si>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</si>
  <si>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</si>
  <si>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</si>
  <si>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</si>
  <si>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</si>
  <si>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</si>
  <si>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</si>
  <si>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</si>
  <si>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</si>
  <si>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</si>
  <si>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</si>
  <si>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</si>
  <si>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</si>
  <si>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</si>
  <si>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</si>
  <si>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</si>
  <si>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</si>
  <si>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</si>
  <si>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</si>
  <si>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</si>
  <si>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</si>
  <si>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</si>
  <si>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</si>
  <si>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</si>
  <si>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</si>
  <si>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</si>
  <si>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</si>
  <si>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</si>
  <si>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</si>
  <si>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</si>
  <si>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</si>
  <si>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</si>
  <si>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</si>
  <si>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</si>
  <si>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</si>
  <si>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</si>
  <si>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</si>
  <si>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</si>
  <si>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</si>
  <si>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</si>
  <si>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</si>
  <si>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</si>
  <si>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</si>
  <si>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</si>
  <si>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</si>
  <si>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</si>
  <si>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</si>
  <si>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</si>
  <si>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</si>
  <si>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</si>
  <si>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</si>
  <si>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</si>
  <si>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</si>
  <si>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</si>
  <si>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</si>
  <si>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</si>
  <si>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</si>
  <si>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</si>
  <si>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</si>
  <si>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</si>
  <si>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</si>
  <si>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</si>
  <si>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</si>
  <si>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</si>
  <si>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</si>
  <si>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</si>
  <si>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</si>
  <si>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</si>
  <si>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</si>
  <si>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</si>
  <si>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</si>
  <si>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</si>
  <si>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</si>
  <si>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</si>
  <si>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</si>
  <si>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</si>
  <si>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</si>
  <si>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</si>
  <si>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</si>
  <si>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</si>
  <si>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</si>
  <si>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</si>
  <si>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</si>
  <si>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</si>
  <si>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</si>
  <si>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</si>
  <si>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</si>
  <si>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</si>
  <si>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</si>
  <si>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</si>
  <si>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</si>
  <si>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</si>
  <si>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</si>
  <si>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</si>
  <si>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</si>
  <si>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</si>
  <si>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</si>
  <si>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</si>
  <si>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</si>
  <si>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</si>
  <si>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</si>
  <si>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</si>
  <si>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</si>
  <si>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</si>
  <si>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</si>
  <si>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</si>
  <si>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</si>
  <si>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</si>
  <si>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</si>
  <si>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</si>
  <si>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</si>
  <si>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</si>
  <si>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</si>
  <si>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</si>
  <si>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</si>
  <si>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</si>
  <si>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</si>
  <si>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</si>
  <si>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</si>
  <si>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</si>
  <si>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</si>
  <si>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</si>
  <si>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</si>
  <si>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</si>
  <si>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</si>
  <si>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</si>
  <si>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</si>
  <si>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</si>
  <si>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</si>
  <si>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</si>
  <si>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</si>
  <si>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</si>
  <si>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</si>
  <si>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</si>
  <si>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</si>
  <si>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</si>
  <si>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</si>
  <si>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</si>
  <si>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</si>
  <si>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</si>
  <si>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</si>
  <si>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</si>
  <si>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</si>
  <si>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</si>
  <si>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</si>
  <si>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</si>
  <si>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</si>
  <si>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</si>
  <si>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</si>
  <si>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</si>
  <si>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</si>
  <si>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</si>
  <si>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</si>
  <si>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</si>
  <si>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</si>
  <si>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</si>
  <si>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</si>
  <si>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</si>
  <si>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</si>
  <si>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</si>
  <si>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</si>
  <si>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</si>
  <si>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</si>
  <si>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</si>
  <si>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</si>
  <si>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</si>
  <si>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</si>
  <si>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</si>
  <si>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</si>
  <si>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</si>
  <si>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</si>
  <si>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</si>
  <si>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</si>
  <si>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</si>
  <si>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</si>
  <si>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</si>
  <si>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</si>
  <si>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</si>
  <si>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</si>
  <si>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</si>
  <si>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</si>
  <si>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</si>
  <si>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</si>
  <si>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</si>
  <si>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</si>
  <si>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</si>
  <si>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</si>
  <si>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</si>
  <si>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</si>
  <si>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</si>
  <si>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</si>
  <si>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</si>
  <si>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</si>
  <si>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</si>
  <si>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</si>
  <si>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</si>
  <si>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</si>
  <si>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</si>
  <si>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</si>
  <si>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</si>
  <si>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</si>
  <si>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</si>
  <si>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</si>
  <si>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</si>
  <si>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</si>
  <si>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</si>
  <si>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</si>
  <si>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</si>
  <si>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</si>
  <si>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</si>
  <si>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</si>
  <si>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</si>
  <si>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</si>
  <si>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</si>
  <si>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</si>
  <si>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</si>
  <si>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</si>
  <si>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</si>
  <si>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</si>
  <si>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</si>
  <si>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</si>
  <si>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</si>
  <si>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</si>
  <si>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</si>
  <si>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</si>
  <si>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</si>
  <si>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</si>
  <si>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</si>
  <si>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</si>
  <si>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</si>
  <si>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</si>
  <si>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</si>
  <si>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</si>
  <si>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</si>
  <si>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</si>
  <si>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</si>
  <si>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</si>
  <si>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</si>
  <si>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</si>
  <si>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</si>
  <si>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</si>
  <si>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</si>
  <si>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</si>
  <si>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</si>
  <si>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</si>
  <si>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</si>
  <si>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</si>
  <si>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</si>
  <si>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</si>
  <si>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</si>
  <si>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</si>
  <si>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</si>
  <si>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</si>
  <si>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</si>
  <si>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</si>
  <si>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</si>
  <si>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</si>
  <si>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</si>
  <si>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</si>
  <si>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</si>
  <si>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</si>
  <si>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</si>
  <si>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</si>
  <si>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</si>
  <si>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</si>
  <si>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</si>
  <si>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</si>
  <si>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</si>
  <si>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</si>
  <si>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</si>
  <si>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</si>
  <si>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</si>
  <si>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</si>
  <si>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</si>
  <si>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</si>
  <si>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</si>
  <si>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</si>
  <si>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</si>
  <si>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</si>
  <si>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</si>
  <si>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</si>
  <si>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</si>
  <si>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</si>
  <si>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</si>
  <si>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</si>
  <si>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</si>
  <si>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</si>
  <si>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</si>
  <si>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</si>
  <si>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</si>
  <si>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</si>
  <si>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</si>
  <si>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</si>
  <si>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</si>
  <si>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</si>
  <si>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</si>
  <si>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</si>
  <si>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</si>
  <si>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</si>
  <si>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</si>
  <si>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</si>
  <si>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</si>
  <si>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</si>
  <si>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</si>
  <si>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</si>
  <si>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</si>
  <si>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</si>
  <si>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</si>
  <si>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</si>
  <si>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</si>
  <si>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</si>
  <si>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</si>
  <si>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</si>
  <si>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</si>
  <si>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</si>
  <si>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</si>
  <si>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</si>
  <si>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</si>
  <si>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</si>
  <si>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</si>
  <si>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</si>
  <si>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</si>
  <si>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</si>
  <si>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</si>
  <si>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</si>
  <si>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</si>
  <si>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</si>
  <si>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</si>
  <si>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</si>
  <si>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</si>
  <si>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</si>
  <si>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</si>
  <si>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</si>
  <si>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</si>
  <si>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</si>
  <si>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</si>
  <si>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</si>
  <si>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</si>
  <si>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</si>
  <si>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</si>
  <si>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</si>
  <si>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</si>
  <si>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</si>
  <si>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</si>
  <si>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</si>
  <si>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</si>
  <si>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</si>
  <si>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</si>
  <si>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</si>
  <si>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</si>
  <si>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</si>
  <si>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</si>
  <si>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</si>
  <si>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</si>
  <si>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</si>
  <si>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</si>
  <si>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</si>
  <si>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</si>
  <si>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</si>
  <si>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</si>
  <si>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</si>
  <si>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</si>
  <si>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</si>
  <si>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</si>
  <si>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</si>
  <si>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</si>
  <si>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</si>
  <si>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</si>
  <si>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</si>
  <si>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</si>
  <si>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</si>
  <si>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</si>
  <si>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</si>
  <si>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</si>
  <si>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</si>
  <si>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</si>
  <si>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</si>
  <si>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</si>
  <si>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</si>
  <si>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</si>
  <si>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</si>
  <si>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</si>
  <si>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</si>
  <si>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</si>
  <si>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</si>
  <si>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</si>
  <si>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</si>
  <si>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</si>
  <si>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</si>
  <si>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</si>
  <si>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</si>
  <si>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</si>
  <si>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</si>
  <si>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</si>
  <si>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</si>
  <si>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</si>
  <si>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</si>
  <si>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</si>
  <si>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</si>
  <si>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</si>
  <si>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</si>
  <si>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</si>
  <si>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</si>
  <si>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</si>
  <si>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</si>
  <si>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</si>
  <si>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</si>
  <si>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</si>
  <si>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</si>
  <si>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</si>
  <si>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</si>
  <si>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</si>
  <si>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</si>
  <si>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</si>
  <si>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</si>
  <si>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</si>
  <si>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</si>
  <si>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</si>
  <si>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</si>
  <si>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</si>
  <si>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</si>
  <si>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</si>
  <si>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</si>
  <si>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</si>
  <si>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</si>
  <si>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</si>
  <si>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</si>
  <si>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</si>
  <si>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</si>
  <si>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</si>
  <si>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</si>
  <si>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</si>
  <si>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</si>
  <si>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</si>
  <si>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</si>
  <si>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</si>
  <si>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</si>
  <si>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</si>
  <si>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</si>
  <si>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</si>
  <si>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</si>
  <si>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</si>
  <si>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</si>
  <si>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</si>
  <si>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</si>
  <si>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</si>
  <si>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</si>
  <si>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</si>
  <si>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</si>
  <si>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</si>
  <si>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</si>
  <si>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</si>
  <si>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</si>
  <si>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</si>
  <si>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</si>
  <si>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</si>
  <si>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</si>
  <si>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</si>
  <si>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</si>
  <si>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</si>
  <si>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</si>
  <si>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</si>
  <si>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</si>
  <si>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</si>
  <si>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</si>
  <si>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</si>
  <si>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</si>
  <si>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</si>
  <si>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</si>
  <si>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</si>
  <si>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</si>
  <si>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</si>
  <si>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</si>
  <si>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</si>
  <si>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</si>
  <si>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</si>
  <si>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</si>
  <si>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</si>
  <si>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</si>
  <si>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</si>
  <si>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</si>
  <si>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</si>
  <si>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</si>
  <si>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</si>
  <si>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</si>
  <si>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</si>
  <si>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</si>
  <si>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</si>
  <si>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</si>
  <si>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</si>
  <si>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</si>
  <si>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</si>
  <si>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</si>
  <si>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</si>
  <si>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</si>
  <si>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</si>
  <si>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</si>
  <si>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</si>
  <si>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</si>
  <si>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</si>
  <si>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</si>
  <si>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</si>
  <si>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</si>
  <si>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</si>
  <si>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</si>
  <si>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</si>
  <si>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</si>
  <si>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</si>
  <si>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</si>
  <si>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</si>
  <si>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</si>
  <si>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</si>
  <si>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</si>
  <si>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</si>
  <si>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</si>
  <si>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</si>
  <si>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</si>
  <si>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</si>
  <si>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</si>
  <si>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</si>
  <si>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</si>
  <si>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</si>
  <si>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</si>
  <si>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</si>
  <si>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</si>
  <si>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</si>
  <si>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</si>
  <si>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</si>
  <si>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</si>
  <si>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</si>
  <si>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</si>
  <si>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</si>
  <si>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</si>
  <si>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</si>
  <si>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</si>
  <si>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</si>
  <si>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</si>
  <si>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</si>
  <si>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</si>
  <si>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</si>
  <si>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</si>
  <si>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</si>
  <si>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</si>
  <si>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</si>
  <si>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</si>
  <si>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</si>
  <si>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</si>
  <si>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</si>
  <si>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</si>
  <si>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</si>
  <si>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</si>
  <si>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</si>
  <si>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</si>
  <si>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</si>
  <si>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</si>
  <si>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</si>
  <si>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</si>
  <si>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</si>
  <si>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</si>
  <si>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</si>
  <si>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</si>
  <si>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</si>
  <si>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</si>
  <si>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</si>
  <si>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</si>
  <si>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</si>
  <si>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</si>
  <si>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</si>
  <si>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</si>
  <si>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</si>
  <si>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</si>
  <si>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</si>
  <si>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</si>
  <si>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</si>
  <si>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</si>
  <si>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</si>
  <si>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</si>
  <si>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</si>
  <si>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</si>
  <si>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</si>
  <si>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</si>
  <si>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</si>
  <si>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</si>
  <si>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</si>
  <si>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</si>
  <si>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</si>
  <si>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</si>
  <si>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</si>
  <si>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</si>
  <si>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</si>
  <si>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</si>
  <si>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</si>
  <si>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</si>
  <si>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</si>
  <si>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</si>
  <si>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</si>
  <si>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</si>
  <si>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</si>
  <si>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</si>
  <si>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</si>
  <si>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</si>
  <si>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</si>
  <si>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</si>
  <si>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</si>
  <si>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</si>
  <si>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</si>
  <si>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</si>
  <si>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</si>
  <si>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</si>
  <si>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</si>
  <si>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</si>
  <si>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</si>
  <si>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</si>
  <si>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</si>
  <si>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</si>
  <si>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</si>
  <si>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</si>
  <si>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</si>
  <si>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</si>
  <si>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</si>
  <si>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</si>
  <si>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</si>
  <si>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</si>
  <si>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</si>
  <si>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</si>
  <si>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</si>
  <si>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</si>
  <si>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</si>
  <si>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</si>
  <si>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</si>
  <si>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</si>
  <si>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</si>
  <si>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</si>
  <si>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</si>
  <si>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</si>
  <si>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</si>
  <si>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</si>
  <si>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</si>
  <si>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</si>
  <si>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</si>
  <si>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</si>
  <si>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</si>
  <si>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</si>
  <si>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</si>
  <si>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</si>
  <si>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</si>
  <si>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</si>
  <si>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</si>
  <si>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</si>
  <si>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</si>
  <si>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</si>
  <si>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</si>
  <si>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</si>
  <si>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</si>
  <si>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</si>
  <si>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</si>
  <si>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</si>
  <si>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</si>
  <si>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</si>
  <si>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</si>
  <si>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</si>
  <si>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</si>
  <si>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</si>
  <si>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</si>
  <si>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</si>
  <si>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</si>
  <si>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</si>
  <si>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</si>
  <si>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</si>
  <si>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</si>
  <si>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</si>
  <si>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</si>
  <si>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</si>
  <si>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</si>
  <si>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</si>
  <si>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</si>
  <si>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</si>
  <si>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</si>
  <si>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</si>
  <si>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</si>
  <si>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</si>
  <si>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</si>
  <si>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</si>
  <si>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</si>
  <si>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</si>
  <si>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</si>
  <si>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</si>
  <si>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</si>
  <si>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</si>
  <si>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</si>
  <si>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</si>
  <si>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</si>
  <si>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</si>
  <si>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</si>
  <si>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</si>
  <si>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</si>
  <si>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</si>
  <si>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</si>
  <si>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</si>
  <si>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</si>
  <si>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</si>
  <si>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</si>
  <si>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</si>
  <si>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</si>
  <si>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</si>
  <si>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</si>
  <si>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</si>
  <si>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</si>
  <si>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</si>
  <si>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</si>
  <si>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</si>
  <si>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</si>
  <si>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</si>
  <si>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</si>
  <si>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</si>
  <si>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</si>
  <si>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</si>
  <si>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</si>
  <si>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</si>
  <si>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</si>
  <si>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</si>
  <si>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</si>
  <si>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</si>
  <si>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</si>
  <si>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</si>
  <si>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</si>
  <si>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</si>
  <si>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</si>
  <si>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</si>
  <si>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</si>
  <si>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</si>
  <si>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</si>
  <si>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</si>
  <si>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</si>
  <si>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</si>
  <si>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</si>
  <si>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</si>
  <si>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</si>
  <si>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</si>
  <si>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</si>
  <si>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</si>
  <si>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</si>
  <si>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</si>
  <si>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</si>
  <si>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</si>
  <si>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</si>
  <si>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</si>
  <si>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</si>
  <si>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</si>
  <si>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</si>
  <si>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</si>
  <si>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</si>
  <si>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</si>
  <si>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</si>
  <si>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</si>
  <si>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</si>
  <si>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</si>
  <si>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</si>
  <si>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</si>
  <si>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</si>
  <si>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</si>
  <si>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</si>
  <si>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</si>
  <si>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</si>
  <si>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</si>
  <si>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</si>
  <si>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</si>
  <si>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</si>
  <si>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</si>
  <si>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</si>
  <si>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</si>
  <si>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</si>
  <si>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</si>
  <si>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</si>
  <si>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</si>
  <si>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</si>
  <si>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</si>
  <si>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</si>
  <si>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</si>
  <si>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</si>
  <si>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</si>
  <si>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</si>
  <si>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</si>
  <si>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</si>
  <si>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</si>
  <si>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</si>
  <si>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</si>
  <si>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</si>
  <si>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</si>
  <si>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</si>
  <si>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</si>
  <si>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</si>
  <si>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</si>
  <si>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</si>
  <si>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</si>
  <si>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</si>
  <si>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</si>
  <si>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</si>
  <si>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</si>
  <si>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</si>
  <si>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</si>
  <si>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</si>
  <si>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</si>
  <si>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</si>
  <si>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</si>
  <si>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</si>
  <si>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</si>
  <si>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</si>
  <si>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</si>
  <si>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</si>
  <si>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</si>
  <si>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</si>
  <si>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</si>
  <si>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</si>
  <si>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</si>
  <si>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</si>
  <si>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</si>
  <si>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</si>
  <si>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</si>
  <si>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</si>
  <si>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</si>
  <si>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</si>
  <si>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</si>
  <si>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</si>
  <si>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</si>
  <si>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</si>
  <si>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</si>
  <si>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</si>
  <si>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</si>
  <si>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</si>
  <si>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</si>
  <si>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</si>
  <si>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</si>
  <si>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</si>
  <si>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</si>
  <si>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</si>
  <si>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</si>
  <si>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</si>
  <si>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</si>
  <si>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</si>
  <si>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</si>
  <si>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</si>
  <si>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</si>
  <si>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</si>
  <si>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</si>
  <si>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</si>
  <si>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</si>
  <si>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</si>
  <si>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</si>
  <si>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</si>
  <si>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</si>
  <si>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</si>
  <si>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</si>
  <si>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</si>
  <si>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</si>
  <si>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</si>
  <si>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</si>
  <si>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</si>
  <si>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</si>
  <si>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</si>
  <si>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</si>
  <si>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</si>
  <si>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</si>
  <si>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</si>
  <si>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</si>
  <si>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</si>
  <si>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</si>
  <si>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</si>
  <si>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</si>
  <si>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</si>
  <si>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</si>
  <si>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</si>
  <si>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</si>
  <si>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</si>
  <si>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</si>
  <si>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</si>
  <si>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</si>
  <si>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</si>
  <si>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</si>
  <si>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</si>
  <si>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</si>
  <si>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</si>
  <si>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</si>
  <si>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</si>
  <si>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</si>
  <si>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</si>
  <si>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</si>
  <si>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</si>
  <si>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</si>
  <si>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</si>
  <si>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</si>
  <si>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</si>
  <si>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</si>
  <si>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</si>
  <si>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</si>
  <si>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</si>
  <si>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</si>
  <si>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</si>
  <si>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</si>
  <si>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</si>
  <si>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</si>
  <si>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</si>
  <si>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</si>
  <si>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</si>
  <si>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</si>
  <si>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</si>
  <si>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</si>
  <si>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</si>
  <si>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</si>
  <si>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</si>
  <si>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</si>
  <si>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</si>
  <si>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</si>
  <si>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</si>
  <si>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</si>
  <si>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</si>
  <si>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</si>
  <si>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</si>
  <si>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</si>
  <si>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</si>
  <si>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</si>
  <si>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</si>
  <si>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</si>
  <si>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</si>
  <si>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</si>
  <si>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</si>
  <si>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</si>
  <si>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</si>
  <si>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</si>
  <si>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</si>
  <si>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</si>
  <si>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</si>
  <si>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</si>
  <si>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</si>
  <si>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</si>
  <si>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</si>
  <si>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</si>
  <si>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</si>
  <si>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</si>
  <si>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</si>
  <si>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</si>
  <si>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</si>
  <si>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</si>
  <si>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</si>
  <si>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</si>
  <si>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</si>
  <si>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</si>
  <si>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</si>
  <si>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</si>
  <si>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</si>
  <si>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</si>
  <si>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</si>
  <si>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</si>
  <si>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</si>
  <si>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</si>
  <si>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</si>
  <si>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</si>
  <si>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</si>
  <si>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</si>
  <si>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</si>
  <si>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</si>
  <si>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</si>
  <si>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</si>
  <si>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</si>
  <si>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</si>
  <si>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</si>
  <si>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</si>
  <si>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</si>
  <si>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</si>
  <si>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</si>
  <si>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</si>
  <si>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</si>
  <si>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</si>
  <si>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</si>
  <si>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</si>
  <si>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</si>
  <si>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</si>
  <si>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</si>
  <si>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</si>
  <si>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</si>
  <si>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</si>
  <si>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</si>
  <si>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</si>
  <si>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</si>
  <si>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</si>
  <si>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</si>
  <si>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</si>
  <si>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</si>
  <si>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</si>
  <si>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</si>
  <si>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</si>
  <si>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</si>
  <si>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</si>
  <si>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</si>
  <si>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</si>
  <si>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</si>
  <si>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</si>
  <si>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</si>
  <si>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</si>
  <si>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</si>
  <si>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</si>
  <si>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</si>
  <si>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</si>
  <si>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</si>
  <si>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</si>
  <si>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</si>
  <si>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</si>
  <si>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</si>
  <si>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</si>
  <si>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</si>
  <si>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</si>
  <si>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</si>
  <si>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</si>
  <si>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</si>
  <si>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</si>
  <si>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</si>
  <si>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</si>
  <si>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</si>
  <si>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</si>
  <si>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</si>
  <si>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</si>
  <si>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</si>
  <si>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</si>
  <si>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</si>
  <si>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</si>
  <si>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</si>
  <si>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</si>
  <si>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</si>
  <si>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</si>
  <si>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</si>
  <si>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</si>
  <si>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</si>
  <si>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</si>
  <si>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</si>
  <si>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</si>
  <si>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</si>
  <si>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</si>
  <si>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</si>
  <si>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</si>
  <si>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</si>
  <si>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</si>
  <si>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</si>
  <si>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</si>
  <si>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</si>
  <si>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</si>
  <si>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</si>
  <si>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</si>
  <si>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</si>
  <si>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</si>
  <si>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</si>
  <si>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</si>
  <si>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</si>
  <si>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</si>
  <si>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</si>
  <si>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</si>
  <si>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</si>
  <si>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</si>
  <si>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</si>
  <si>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</si>
  <si>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</si>
  <si>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</si>
  <si>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</si>
  <si>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</si>
  <si>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</si>
  <si>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</si>
  <si>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</si>
  <si>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</si>
  <si>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</si>
  <si>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</si>
  <si>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</si>
  <si>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</si>
  <si>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</si>
  <si>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</si>
  <si>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</si>
  <si>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</si>
  <si>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</si>
  <si>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</si>
  <si>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</si>
  <si>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</si>
  <si>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</si>
  <si>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</si>
  <si>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</si>
  <si>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</si>
  <si>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</si>
  <si>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</si>
  <si>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</si>
  <si>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</si>
  <si>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</si>
  <si>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</si>
  <si>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</si>
  <si>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</si>
  <si>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</si>
  <si>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</si>
  <si>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</si>
  <si>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</si>
  <si>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</si>
  <si>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</si>
  <si>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</si>
  <si>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</si>
  <si>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</si>
  <si>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</si>
  <si>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</si>
  <si>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</si>
  <si>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</si>
  <si>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</si>
  <si>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</si>
  <si>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</si>
  <si>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</si>
  <si>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</si>
  <si>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</si>
  <si>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</si>
  <si>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</si>
  <si>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</si>
  <si>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</si>
  <si>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</si>
  <si>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</si>
  <si>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</si>
  <si>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</si>
  <si>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</si>
  <si>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</si>
  <si>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</si>
  <si>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</si>
  <si>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</si>
  <si>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</si>
  <si>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</si>
  <si>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</si>
  <si>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</si>
  <si>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</si>
  <si>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</si>
  <si>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</si>
  <si>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</si>
  <si>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</si>
  <si>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</si>
  <si>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</si>
  <si>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</si>
  <si>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</si>
  <si>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</si>
  <si>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</si>
  <si>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</si>
  <si>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</si>
  <si>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</si>
  <si>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</si>
  <si>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</si>
  <si>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</si>
  <si>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</si>
  <si>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</si>
  <si>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</si>
  <si>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</si>
  <si>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</si>
  <si>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</si>
  <si>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</si>
  <si>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</si>
  <si>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</si>
  <si>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</si>
  <si>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</si>
  <si>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</si>
  <si>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</si>
  <si>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</si>
  <si>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</si>
  <si>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</si>
  <si>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</si>
  <si>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</si>
  <si>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</si>
  <si>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</si>
  <si>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</si>
  <si>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</si>
  <si>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</si>
  <si>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</si>
  <si>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</si>
  <si>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</si>
  <si>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</si>
  <si>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</si>
  <si>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</si>
  <si>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</si>
  <si>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</si>
  <si>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</si>
  <si>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</si>
  <si>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</si>
  <si>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</si>
  <si>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</si>
  <si>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</si>
  <si>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</si>
  <si>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</si>
  <si>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</si>
  <si>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</si>
  <si>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</si>
  <si>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</si>
  <si>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</si>
  <si>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</si>
  <si>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</si>
  <si>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</si>
  <si>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</si>
  <si>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</si>
  <si>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</si>
  <si>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</si>
  <si>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</si>
  <si>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</si>
  <si>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</si>
  <si>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</si>
  <si>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</si>
  <si>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</si>
  <si>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</si>
  <si>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</si>
  <si>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</si>
  <si>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</si>
  <si>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</si>
  <si>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</si>
  <si>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</si>
  <si>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</si>
  <si>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</si>
  <si>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</si>
  <si>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</si>
  <si>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</si>
  <si>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</si>
  <si>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</si>
  <si>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</si>
  <si>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</si>
  <si>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</si>
  <si>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</si>
  <si>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</si>
  <si>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</si>
  <si>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</si>
  <si>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</si>
  <si>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</si>
  <si>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</si>
  <si>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</si>
  <si>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</si>
  <si>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</si>
  <si>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</si>
  <si>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</si>
  <si>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</si>
  <si>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</si>
  <si>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</si>
  <si>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</si>
  <si>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</si>
  <si>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</si>
  <si>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</si>
  <si>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</si>
  <si>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</si>
  <si>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</si>
  <si>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</si>
  <si>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</si>
  <si>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</si>
  <si>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</si>
  <si>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</si>
  <si>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</si>
  <si>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</si>
  <si>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</si>
  <si>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</si>
  <si>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</si>
  <si>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</si>
  <si>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</si>
  <si>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</si>
  <si>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</si>
  <si>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</si>
  <si>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</si>
  <si>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</si>
  <si>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</si>
  <si>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</si>
  <si>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</si>
  <si>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</si>
  <si>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</si>
  <si>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</si>
  <si>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</si>
  <si>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</si>
  <si>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</si>
  <si>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</si>
  <si>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</si>
  <si>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</si>
  <si>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</si>
  <si>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</si>
  <si>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</si>
  <si>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</si>
  <si>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</si>
  <si>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</si>
  <si>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</si>
  <si>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</si>
  <si>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</si>
  <si>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</si>
  <si>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</si>
  <si>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</si>
  <si>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</si>
  <si>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</si>
  <si>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</si>
  <si>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</si>
  <si>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</si>
  <si>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</si>
  <si>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</si>
  <si>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</si>
  <si>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</si>
  <si>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</si>
  <si>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</si>
  <si>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</si>
  <si>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</si>
  <si>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</si>
  <si>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</si>
  <si>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</si>
  <si>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</si>
  <si>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</si>
  <si>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</si>
  <si>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</si>
  <si>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</si>
  <si>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</si>
  <si>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</si>
  <si>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</si>
  <si>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</si>
  <si>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</si>
  <si>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</si>
  <si>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</si>
  <si>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</si>
  <si>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</si>
  <si>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</si>
  <si>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</si>
  <si>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</si>
  <si>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</si>
  <si>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</si>
  <si>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</si>
  <si>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</si>
  <si>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</si>
  <si>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</si>
  <si>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</si>
  <si>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</si>
  <si>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</si>
  <si>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</si>
  <si>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</si>
  <si>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</si>
  <si>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</si>
  <si>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</si>
  <si>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</si>
  <si>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</si>
  <si>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</si>
  <si>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</si>
  <si>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</si>
  <si>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</si>
  <si>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</si>
  <si>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</si>
  <si>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</si>
  <si>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</si>
  <si>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</si>
  <si>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</si>
  <si>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</si>
  <si>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</si>
  <si>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</si>
  <si>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</si>
  <si>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</si>
  <si>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</si>
  <si>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</si>
  <si>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</si>
  <si>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</si>
  <si>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</si>
  <si>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</si>
  <si>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</si>
  <si>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</si>
  <si>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</si>
  <si>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</si>
  <si>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</si>
  <si>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</si>
  <si>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</si>
  <si>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</si>
  <si>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</si>
  <si>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</si>
  <si>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</si>
  <si>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</si>
  <si>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</si>
  <si>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</si>
  <si>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</si>
  <si>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</si>
  <si>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</si>
  <si>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</si>
  <si>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</si>
  <si>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</si>
  <si>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</si>
  <si>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</si>
  <si>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</si>
  <si>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</si>
  <si>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</si>
  <si>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</si>
  <si>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</si>
  <si>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</si>
  <si>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</si>
  <si>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</si>
  <si>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</si>
  <si>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</si>
  <si>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</si>
  <si>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</si>
  <si>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</si>
  <si>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</si>
  <si>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</si>
  <si>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</si>
  <si>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</si>
  <si>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</si>
  <si>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</si>
  <si>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</si>
  <si>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</si>
  <si>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</si>
  <si>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</si>
  <si>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</si>
  <si>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</si>
  <si>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</si>
  <si>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</si>
  <si>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</si>
  <si>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</si>
  <si>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</si>
  <si>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</si>
  <si>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</si>
  <si>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</si>
  <si>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</si>
  <si>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</si>
  <si>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</si>
  <si>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</si>
  <si>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</si>
  <si>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</si>
  <si>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</si>
  <si>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</si>
  <si>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</si>
  <si>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</si>
  <si>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</si>
  <si>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</si>
  <si>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</si>
  <si>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</si>
  <si>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</si>
  <si>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</si>
  <si>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</si>
  <si>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</si>
  <si>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</si>
  <si>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</si>
  <si>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</si>
  <si>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</si>
  <si>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</si>
  <si>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</si>
  <si>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</si>
  <si>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</si>
  <si>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</si>
  <si>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</si>
  <si>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</si>
  <si>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</si>
  <si>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</si>
  <si>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</si>
  <si>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</si>
  <si>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</si>
  <si>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</si>
  <si>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</si>
  <si>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</si>
  <si>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</si>
  <si>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</si>
  <si>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</si>
  <si>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</si>
  <si>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</si>
  <si>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</si>
  <si>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</si>
  <si>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</si>
  <si>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</si>
  <si>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</si>
  <si>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</si>
  <si>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</si>
  <si>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</si>
  <si>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</si>
  <si>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</si>
  <si>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</si>
  <si>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</si>
  <si>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</si>
  <si>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</si>
  <si>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</si>
  <si>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</si>
  <si>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</si>
  <si>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</si>
  <si>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</si>
  <si>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</si>
  <si>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</si>
  <si>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</si>
  <si>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</si>
  <si>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</si>
  <si>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</si>
  <si>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</si>
  <si>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</si>
  <si>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</si>
  <si>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</si>
  <si>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</si>
  <si>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</si>
  <si>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</si>
  <si>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</si>
  <si>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</si>
  <si>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</si>
  <si>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</si>
  <si>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</si>
  <si>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</si>
  <si>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</si>
  <si>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</si>
  <si>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</si>
  <si>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</si>
  <si>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</si>
  <si>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</si>
  <si>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</si>
  <si>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</si>
  <si>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</si>
  <si>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</si>
  <si>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</si>
  <si>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</si>
  <si>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</si>
  <si>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</si>
  <si>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</si>
  <si>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</si>
  <si>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</si>
  <si>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</si>
  <si>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</si>
  <si>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</si>
  <si>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</si>
  <si>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</si>
  <si>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</si>
  <si>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</si>
  <si>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</si>
  <si>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</si>
  <si>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</si>
  <si>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</si>
  <si>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</si>
  <si>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</si>
  <si>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</si>
  <si>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</si>
  <si>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</si>
  <si>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</si>
  <si>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</si>
  <si>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</si>
  <si>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</si>
  <si>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</si>
  <si>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</si>
  <si>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</si>
  <si>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</si>
  <si>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</si>
  <si>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</si>
  <si>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</si>
  <si>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</si>
  <si>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</si>
  <si>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</si>
  <si>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</si>
  <si>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</si>
  <si>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</si>
  <si>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</si>
  <si>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</si>
  <si>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</si>
  <si>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</si>
  <si>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</si>
  <si>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</si>
  <si>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</si>
  <si>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</si>
  <si>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</si>
  <si>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</si>
  <si>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</si>
  <si>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</si>
  <si>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</si>
  <si>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</si>
  <si>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</si>
  <si>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</si>
  <si>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</si>
  <si>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</si>
  <si>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</si>
  <si>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</si>
  <si>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</si>
  <si>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</si>
  <si>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</si>
  <si>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</si>
  <si>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</si>
  <si>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</si>
  <si>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</si>
  <si>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</si>
  <si>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</si>
  <si>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</si>
  <si>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</si>
  <si>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</si>
  <si>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</si>
  <si>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</si>
  <si>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</si>
  <si>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</si>
  <si>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</si>
  <si>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</si>
  <si>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</si>
  <si>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</si>
  <si>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</si>
  <si>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</si>
  <si>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</si>
  <si>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</si>
  <si>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</si>
  <si>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</si>
  <si>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</si>
  <si>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</si>
  <si>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</si>
  <si>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</si>
  <si>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</si>
  <si>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</si>
  <si>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</si>
  <si>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</si>
  <si>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</si>
  <si>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</si>
  <si>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</si>
  <si>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</si>
  <si>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</si>
  <si>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</si>
  <si>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</si>
  <si>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</si>
  <si>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</si>
  <si>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</si>
  <si>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</si>
  <si>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</si>
  <si>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</si>
  <si>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</si>
  <si>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</si>
  <si>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</si>
  <si>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</si>
  <si>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</si>
  <si>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</si>
  <si>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</si>
  <si>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</si>
  <si>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</si>
  <si>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</si>
  <si>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</si>
  <si>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</si>
  <si>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</si>
  <si>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</si>
  <si>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</si>
  <si>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</si>
  <si>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</si>
  <si>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</si>
  <si>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</si>
  <si>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</si>
  <si>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</si>
  <si>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</si>
  <si>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</si>
  <si>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</si>
  <si>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</si>
  <si>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</si>
  <si>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</si>
  <si>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</si>
  <si>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</si>
  <si>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</si>
  <si>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</si>
  <si>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</si>
  <si>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</si>
  <si>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</si>
  <si>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</si>
  <si>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</si>
  <si>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</si>
  <si>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</si>
  <si>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</si>
  <si>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</si>
  <si>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</si>
  <si>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</si>
  <si>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</si>
  <si>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</si>
  <si>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</si>
  <si>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</si>
  <si>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</si>
  <si>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</si>
  <si>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</si>
  <si>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</si>
  <si>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</si>
  <si>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</si>
  <si>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</si>
  <si>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</si>
  <si>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</si>
  <si>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</si>
  <si>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</si>
  <si>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</si>
  <si>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</si>
  <si>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</si>
  <si>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</si>
  <si>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</si>
  <si>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</si>
  <si>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</si>
  <si>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</si>
  <si>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</si>
  <si>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</si>
  <si>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</si>
  <si>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</si>
  <si>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</si>
  <si>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</si>
  <si>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</si>
  <si>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</si>
  <si>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</si>
  <si>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</si>
  <si>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</si>
  <si>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</si>
  <si>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</si>
  <si>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</si>
  <si>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</si>
  <si>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</si>
  <si>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</si>
  <si>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</si>
  <si>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</si>
  <si>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</si>
  <si>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</si>
  <si>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</si>
  <si>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</si>
  <si>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</si>
  <si>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</si>
  <si>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</si>
  <si>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</si>
  <si>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</si>
  <si>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</si>
  <si>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</si>
  <si>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</si>
  <si>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</si>
  <si>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</si>
  <si>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</si>
  <si>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</si>
  <si>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</si>
  <si>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</si>
  <si>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</si>
  <si>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</si>
  <si>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</si>
  <si>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</si>
  <si>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</si>
  <si>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</si>
  <si>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</si>
  <si>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</si>
  <si>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</si>
  <si>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</si>
  <si>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</si>
  <si>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</si>
  <si>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</si>
  <si>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</si>
  <si>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</si>
  <si>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</si>
  <si>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</si>
  <si>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</si>
  <si>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</si>
  <si>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</si>
  <si>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</si>
  <si>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</si>
  <si>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</si>
  <si>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</si>
  <si>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</si>
  <si>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</si>
  <si>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</si>
  <si>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</si>
  <si>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</si>
  <si>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</si>
  <si>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</si>
  <si>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</si>
  <si>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</si>
  <si>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</si>
  <si>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</si>
  <si>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</si>
  <si>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</si>
  <si>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</si>
  <si>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</si>
  <si>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</si>
  <si>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</si>
  <si>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</si>
  <si>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</si>
  <si>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</si>
  <si>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</si>
  <si>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</si>
  <si>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</si>
  <si>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</si>
  <si>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</si>
  <si>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</si>
  <si>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</si>
  <si>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</si>
  <si>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</si>
  <si>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</si>
  <si>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</si>
  <si>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</si>
  <si>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</si>
  <si>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</si>
  <si>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</si>
  <si>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</si>
  <si>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</si>
  <si>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</si>
  <si>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</si>
  <si>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</si>
  <si>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</si>
  <si>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</si>
  <si>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</si>
  <si>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</si>
  <si>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</si>
  <si>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</si>
  <si>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</si>
  <si>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</si>
  <si>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</si>
  <si>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</si>
  <si>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</si>
  <si>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</si>
  <si>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</si>
  <si>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</si>
  <si>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</si>
  <si>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</si>
  <si>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</si>
  <si>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</si>
  <si>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</si>
  <si>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</si>
  <si>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</si>
  <si>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</si>
  <si>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</si>
  <si>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</si>
  <si>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</si>
  <si>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</si>
  <si>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</si>
  <si>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</si>
  <si>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</si>
  <si>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</si>
  <si>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</si>
  <si>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</si>
  <si>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</si>
  <si>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</si>
  <si>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</si>
  <si>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</si>
  <si>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</si>
  <si>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</si>
  <si>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</si>
  <si>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</si>
  <si>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</si>
  <si>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</si>
  <si>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</si>
  <si>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</si>
  <si>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</si>
  <si>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</si>
  <si>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</si>
  <si>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</si>
  <si>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</si>
  <si>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</si>
  <si>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</si>
  <si>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</si>
  <si>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</si>
  <si>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</si>
  <si>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</si>
  <si>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</si>
  <si>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</si>
  <si>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</si>
  <si>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</si>
  <si>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</si>
  <si>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</si>
  <si>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</si>
  <si>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</si>
  <si>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</si>
  <si>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</si>
  <si>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</si>
  <si>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</si>
  <si>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</si>
  <si>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</si>
  <si>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</si>
  <si>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</si>
  <si>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</si>
  <si>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</si>
  <si>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</si>
  <si>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</si>
  <si>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</si>
  <si>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</si>
  <si>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</si>
  <si>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</si>
  <si>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</si>
  <si>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</si>
  <si>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</si>
  <si>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</si>
  <si>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</si>
  <si>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</si>
  <si>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</si>
  <si>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</si>
  <si>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</si>
  <si>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</si>
  <si>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</si>
  <si>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</si>
  <si>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</si>
  <si>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</si>
  <si>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</si>
  <si>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</si>
  <si>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</si>
  <si>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</si>
  <si>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</si>
  <si>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</si>
  <si>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</si>
  <si>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</si>
  <si>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</si>
  <si>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</si>
  <si>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</si>
  <si>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</si>
  <si>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</si>
  <si>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</si>
  <si>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</si>
  <si>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</si>
  <si>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</si>
  <si>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</si>
  <si>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</si>
  <si>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</si>
  <si>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</si>
  <si>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</si>
  <si>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</si>
  <si>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</si>
  <si>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</si>
  <si>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</si>
  <si>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</si>
  <si>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</si>
  <si>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</si>
  <si>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</si>
  <si>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</si>
  <si>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</si>
  <si>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</si>
  <si>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</si>
  <si>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</si>
  <si>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</si>
  <si>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</si>
  <si>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</si>
  <si>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</si>
  <si>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</si>
  <si>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</si>
  <si>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</si>
  <si>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</si>
  <si>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</si>
  <si>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</si>
  <si>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</si>
  <si>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</si>
  <si>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</si>
  <si>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</si>
  <si>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</si>
  <si>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</si>
  <si>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</si>
  <si>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</si>
  <si>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</si>
  <si>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</si>
  <si>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</si>
  <si>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</si>
  <si>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</si>
  <si>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</si>
  <si>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</si>
  <si>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</si>
  <si>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</si>
  <si>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</si>
  <si>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</si>
  <si>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</si>
  <si>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</si>
  <si>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</si>
  <si>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</si>
  <si>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</si>
  <si>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</si>
  <si>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</si>
  <si>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</si>
  <si>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</si>
  <si>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</si>
  <si>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</si>
  <si>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</si>
  <si>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</si>
  <si>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</si>
  <si>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</si>
  <si>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</si>
  <si>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</si>
  <si>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</si>
  <si>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</si>
  <si>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</si>
  <si>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</si>
  <si>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</si>
  <si>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</si>
  <si>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</si>
  <si>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</si>
  <si>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</si>
  <si>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</si>
  <si>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</si>
  <si>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</si>
  <si>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</si>
  <si>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</si>
  <si>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</si>
  <si>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</si>
  <si>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</si>
  <si>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</si>
  <si>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</si>
  <si>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</si>
  <si>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</si>
  <si>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</si>
  <si>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</si>
  <si>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</si>
  <si>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</si>
  <si>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</si>
  <si>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</si>
  <si>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</si>
  <si>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</si>
  <si>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</si>
  <si>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</si>
  <si>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</si>
  <si>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</si>
  <si>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</si>
  <si>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</si>
  <si>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</si>
  <si>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</si>
  <si>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</si>
  <si>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</si>
  <si>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</si>
  <si>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</si>
  <si>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</si>
  <si>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</si>
  <si>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</si>
  <si>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</si>
  <si>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</si>
  <si>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</si>
  <si>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</si>
  <si>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</si>
  <si>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</si>
  <si>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</si>
  <si>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</si>
  <si>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</si>
  <si>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</si>
  <si>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</si>
  <si>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</si>
  <si>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</si>
  <si>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</si>
  <si>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</si>
  <si>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</si>
  <si>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</si>
  <si>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</si>
  <si>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</si>
  <si>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</si>
  <si>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</si>
  <si>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</si>
  <si>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</si>
  <si>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</si>
  <si>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</si>
  <si>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</si>
  <si>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</si>
  <si>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</si>
  <si>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</si>
  <si>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</si>
  <si>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</si>
  <si>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</si>
  <si>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</si>
  <si>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</si>
  <si>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</si>
  <si>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</si>
  <si>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</si>
  <si>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</si>
  <si>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</si>
  <si>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</si>
  <si>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</si>
  <si>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</si>
  <si>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</si>
  <si>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</si>
  <si>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</si>
  <si>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</si>
  <si>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</si>
  <si>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</si>
  <si>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</si>
  <si>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</si>
  <si>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</si>
  <si>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</si>
  <si>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</si>
  <si>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</si>
  <si>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</si>
  <si>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</si>
  <si>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</si>
  <si>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</si>
  <si>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</si>
  <si>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</si>
  <si>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</si>
  <si>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</si>
  <si>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</si>
  <si>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</si>
  <si>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</si>
  <si>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</si>
  <si>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</si>
  <si>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</si>
  <si>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</si>
  <si>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</si>
  <si>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</si>
  <si>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</si>
  <si>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</si>
  <si>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</si>
  <si>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</si>
  <si>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</si>
  <si>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</si>
  <si>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</si>
  <si>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</si>
  <si>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</si>
  <si>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</si>
  <si>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</si>
  <si>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</si>
  <si>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</si>
  <si>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</si>
  <si>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</si>
  <si>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</si>
  <si>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</si>
  <si>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</si>
  <si>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</si>
  <si>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</si>
  <si>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</si>
  <si>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</si>
  <si>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</si>
  <si>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</si>
  <si>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</si>
  <si>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</si>
  <si>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</si>
  <si>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</si>
  <si>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</si>
  <si>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</si>
  <si>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</si>
  <si>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</si>
  <si>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</si>
  <si>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</si>
  <si>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</si>
  <si>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</si>
  <si>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</si>
  <si>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</si>
  <si>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</si>
  <si>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</si>
  <si>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</si>
  <si>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</si>
  <si>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</si>
  <si>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</si>
  <si>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</si>
  <si>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</si>
  <si>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</si>
  <si>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</si>
  <si>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</si>
  <si>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</si>
  <si>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</si>
  <si>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</si>
  <si>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</si>
  <si>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</si>
  <si>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</si>
  <si>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</si>
  <si>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</si>
  <si>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</si>
  <si>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</si>
  <si>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</si>
  <si>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</si>
  <si>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</si>
  <si>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</si>
  <si>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</si>
  <si>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</si>
  <si>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</si>
  <si>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</si>
  <si>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</si>
  <si>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</si>
  <si>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</si>
  <si>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</si>
  <si>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</si>
  <si>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</si>
  <si>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</si>
  <si>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</si>
  <si>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</si>
  <si>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</si>
  <si>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</si>
  <si>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</si>
  <si>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</si>
  <si>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</si>
  <si>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</si>
  <si>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</si>
  <si>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</si>
  <si>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</si>
  <si>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</si>
  <si>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</si>
  <si>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</si>
  <si>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</si>
  <si>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</si>
  <si>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</si>
  <si>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</si>
  <si>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</si>
  <si>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</si>
  <si>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</si>
  <si>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</si>
  <si>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</si>
  <si>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</si>
  <si>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</si>
  <si>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</si>
  <si>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</si>
  <si>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</si>
  <si>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</si>
  <si>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</si>
  <si>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</si>
  <si>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</si>
  <si>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</si>
  <si>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</si>
  <si>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</si>
  <si>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</si>
  <si>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</si>
  <si>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</si>
  <si>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</si>
  <si>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</si>
  <si>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</si>
  <si>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</si>
  <si>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</si>
  <si>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</si>
  <si>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</si>
  <si>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</si>
  <si>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</si>
  <si>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</si>
  <si>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</si>
  <si>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</si>
  <si>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</si>
  <si>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</si>
  <si>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</si>
  <si>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</si>
  <si>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</si>
  <si>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</si>
  <si>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</si>
  <si>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</si>
  <si>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</si>
  <si>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</si>
  <si>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</si>
  <si>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</si>
  <si>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</si>
  <si>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</si>
  <si>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</si>
  <si>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</si>
  <si>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</si>
  <si>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</si>
  <si>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</si>
  <si>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</si>
  <si>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</si>
  <si>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</si>
  <si>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</si>
  <si>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</si>
  <si>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</si>
  <si>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</si>
  <si>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</si>
  <si>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</si>
  <si>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</si>
  <si>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</si>
  <si>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</si>
  <si>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</si>
  <si>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</si>
  <si>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</si>
  <si>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</si>
  <si>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</si>
  <si>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</si>
  <si>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</si>
  <si>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</si>
  <si>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</si>
  <si>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</si>
  <si>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</si>
  <si>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</si>
  <si>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</si>
  <si>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</si>
  <si>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</si>
  <si>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</si>
  <si>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</si>
  <si>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</si>
  <si>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</si>
  <si>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</si>
  <si>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</si>
  <si>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</si>
  <si>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</si>
  <si>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</si>
  <si>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</si>
  <si>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</si>
  <si>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</si>
  <si>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</si>
  <si>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</si>
  <si>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</si>
  <si>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</si>
  <si>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</si>
  <si>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</si>
  <si>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</si>
  <si>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</si>
  <si>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</si>
  <si>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</si>
  <si>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</si>
  <si>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</si>
  <si>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</si>
  <si>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</si>
  <si>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</si>
  <si>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</si>
  <si>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</si>
  <si>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</si>
  <si>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</si>
  <si>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</si>
  <si>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</si>
  <si>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</si>
  <si>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</si>
  <si>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</si>
  <si>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</si>
  <si>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</si>
  <si>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</si>
  <si>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</si>
  <si>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</si>
  <si>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</si>
  <si>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</si>
  <si>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</si>
  <si>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</si>
  <si>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</si>
  <si>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</si>
  <si>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</si>
  <si>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</si>
  <si>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</si>
  <si>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</si>
  <si>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</si>
  <si>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</si>
  <si>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</si>
  <si>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</si>
  <si>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</si>
  <si>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</si>
  <si>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</si>
  <si>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</si>
  <si>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</si>
  <si>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</si>
  <si>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</si>
  <si>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</si>
  <si>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</si>
  <si>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</si>
  <si>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</si>
  <si>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</si>
  <si>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</si>
  <si>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</si>
  <si>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</si>
  <si>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</si>
  <si>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</si>
  <si>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</si>
  <si>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</si>
  <si>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</si>
  <si>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</si>
  <si>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</si>
  <si>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</si>
  <si>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</si>
  <si>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</si>
  <si>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</si>
  <si>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</si>
  <si>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</si>
  <si>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</si>
  <si>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</si>
  <si>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</si>
  <si>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</si>
  <si>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</si>
  <si>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</si>
  <si>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</si>
  <si>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</si>
  <si>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</si>
  <si>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</si>
  <si>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</si>
  <si>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</si>
  <si>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</si>
  <si>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</si>
  <si>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</si>
  <si>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</si>
  <si>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</si>
  <si>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</si>
  <si>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</si>
  <si>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</si>
  <si>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</si>
  <si>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</si>
  <si>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</si>
  <si>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</si>
  <si>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</si>
  <si>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</si>
  <si>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</si>
  <si>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</si>
  <si>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</si>
  <si>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</si>
  <si>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</si>
  <si>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</si>
  <si>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</si>
  <si>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</si>
  <si>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</si>
  <si>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</si>
  <si>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</si>
  <si>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</si>
  <si>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</si>
  <si>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</si>
  <si>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</si>
  <si>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</si>
  <si>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</si>
  <si>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</si>
  <si>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</si>
  <si>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</si>
  <si>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</si>
  <si>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</si>
  <si>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</si>
  <si>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</si>
  <si>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</si>
  <si>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</si>
  <si>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</si>
  <si>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</si>
  <si>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</si>
  <si>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</si>
  <si>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</si>
  <si>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</si>
  <si>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</si>
  <si>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</si>
  <si>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</si>
  <si>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</si>
  <si>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</si>
  <si>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</si>
  <si>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</si>
  <si>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</si>
  <si>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</si>
  <si>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</si>
  <si>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</si>
  <si>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</si>
  <si>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</si>
  <si>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</si>
  <si>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</si>
  <si>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</si>
  <si>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</si>
  <si>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</si>
  <si>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</si>
  <si>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</si>
  <si>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</si>
  <si>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</si>
  <si>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</si>
  <si>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</si>
  <si>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</si>
  <si>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</si>
  <si>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</si>
  <si>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</si>
  <si>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</si>
  <si>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</si>
  <si>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</si>
  <si>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</si>
  <si>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</si>
  <si>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</si>
  <si>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</si>
  <si>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</si>
  <si>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</si>
  <si>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</si>
  <si>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</si>
  <si>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</si>
  <si>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</si>
  <si>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</si>
  <si>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</si>
  <si>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</si>
  <si>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</si>
  <si>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</si>
  <si>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</si>
  <si>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</si>
  <si>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</si>
  <si>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</si>
  <si>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</si>
  <si>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</si>
  <si>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</si>
  <si>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</si>
  <si>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</si>
  <si>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</si>
  <si>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</si>
  <si>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</si>
  <si>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</si>
  <si>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</si>
  <si>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</si>
  <si>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</si>
  <si>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</si>
  <si>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</si>
  <si>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</si>
  <si>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</si>
  <si>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</si>
  <si>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</si>
  <si>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</si>
  <si>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</si>
  <si>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</si>
  <si>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</si>
  <si>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</si>
  <si>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</si>
  <si>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</si>
  <si>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</si>
  <si>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</si>
  <si>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</si>
  <si>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</si>
  <si>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</si>
  <si>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</si>
  <si>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</si>
  <si>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</si>
  <si>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</si>
  <si>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</si>
  <si>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</si>
  <si>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</si>
  <si>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</si>
  <si>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</si>
  <si>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</si>
  <si>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</si>
  <si>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</si>
  <si>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</si>
  <si>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</si>
  <si>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</si>
  <si>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</si>
  <si>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</si>
  <si>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</si>
  <si>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</si>
  <si>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</si>
  <si>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</si>
  <si>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</si>
  <si>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</si>
  <si>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</si>
  <si>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</si>
  <si>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</si>
  <si>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</si>
  <si>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</si>
  <si>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</si>
  <si>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</si>
  <si>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</si>
  <si>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</si>
  <si>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</si>
  <si>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</si>
  <si>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</si>
  <si>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</si>
  <si>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</si>
  <si>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</si>
  <si>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</si>
  <si>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</si>
  <si>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</si>
  <si>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</si>
  <si>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</si>
  <si>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</si>
  <si>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</si>
  <si>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</si>
  <si>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</si>
  <si>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</si>
  <si>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</si>
  <si>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</si>
  <si>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</si>
  <si>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</si>
  <si>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</si>
  <si>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</si>
  <si>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</si>
  <si>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</si>
  <si>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</si>
  <si>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</si>
  <si>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</si>
  <si>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</si>
  <si>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</si>
  <si>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</si>
  <si>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</si>
  <si>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</si>
  <si>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</si>
  <si>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</si>
  <si>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</si>
  <si>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</si>
  <si>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</si>
  <si>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</si>
  <si>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</si>
  <si>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</si>
  <si>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</si>
  <si>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</si>
  <si>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</si>
  <si>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</si>
  <si>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</si>
  <si>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</si>
  <si>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</si>
  <si>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</si>
  <si>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</si>
  <si>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</si>
  <si>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</si>
  <si>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</si>
  <si>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</si>
  <si>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</si>
  <si>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</si>
  <si>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</si>
  <si>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</si>
  <si>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</si>
  <si>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</si>
  <si>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</si>
  <si>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</si>
  <si>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</si>
  <si>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</si>
  <si>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</si>
  <si>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</si>
  <si>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</si>
  <si>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</si>
  <si>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</si>
  <si>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</si>
  <si>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</si>
  <si>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</si>
  <si>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</si>
  <si>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</si>
  <si>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</si>
  <si>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</si>
  <si>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</si>
  <si>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</si>
  <si>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</si>
  <si>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</si>
  <si>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</si>
  <si>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</si>
  <si>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</si>
  <si>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</si>
  <si>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</si>
  <si>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</si>
  <si>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</si>
  <si>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</si>
  <si>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</si>
  <si>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</si>
  <si>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</si>
  <si>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</si>
  <si>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</si>
  <si>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</si>
  <si>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</si>
  <si>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</si>
  <si>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</si>
  <si>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</si>
  <si>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</si>
  <si>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</si>
  <si>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</si>
  <si>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</si>
  <si>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</si>
  <si>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</si>
  <si>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</si>
  <si>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</si>
  <si>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</si>
  <si>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</si>
  <si>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</si>
  <si>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</si>
  <si>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</si>
  <si>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</si>
  <si>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</si>
  <si>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</si>
  <si>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</si>
  <si>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</si>
  <si>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</si>
  <si>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</si>
  <si>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</si>
  <si>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</si>
  <si>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</si>
  <si>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</si>
  <si>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</si>
  <si>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</si>
  <si>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</si>
  <si>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</si>
  <si>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</si>
  <si>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</si>
  <si>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</si>
  <si>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</si>
  <si>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</si>
  <si>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</si>
  <si>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</si>
  <si>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</si>
  <si>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</si>
  <si>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</si>
  <si>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</si>
  <si>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</si>
  <si>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</si>
  <si>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</si>
  <si>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</si>
  <si>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</si>
  <si>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</si>
  <si>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</si>
  <si>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</si>
  <si>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</si>
  <si>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</si>
  <si>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</si>
  <si>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</si>
  <si>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</si>
  <si>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</si>
  <si>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</si>
  <si>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</si>
  <si>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</si>
  <si>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</si>
  <si>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</si>
  <si>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</si>
  <si>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</si>
  <si>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</si>
  <si>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</si>
  <si>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</si>
  <si>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</si>
  <si>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</si>
  <si>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</si>
  <si>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</si>
  <si>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</si>
  <si>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</si>
  <si>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</si>
  <si>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</si>
  <si>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</si>
  <si>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</si>
  <si>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</si>
  <si>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</si>
  <si>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</si>
  <si>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</si>
  <si>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</si>
  <si>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</si>
  <si>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</si>
  <si>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</si>
  <si>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</si>
  <si>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</si>
  <si>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</si>
  <si>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</si>
  <si>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</si>
  <si>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</si>
  <si>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</si>
  <si>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</si>
  <si>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</si>
  <si>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</si>
  <si>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</si>
  <si>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</si>
  <si>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</si>
  <si>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</si>
  <si>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</si>
  <si>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</si>
  <si>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</si>
  <si>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</si>
  <si>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</si>
  <si>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</si>
  <si>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</si>
  <si>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</si>
  <si>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</si>
  <si>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</si>
  <si>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</si>
  <si>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</si>
  <si>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</si>
  <si>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</si>
  <si>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</si>
  <si>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</si>
  <si>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</si>
  <si>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</si>
  <si>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</si>
  <si>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</si>
  <si>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</si>
  <si>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</si>
  <si>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</si>
  <si>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</si>
  <si>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</si>
  <si>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</si>
  <si>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</si>
  <si>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</si>
  <si>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</si>
  <si>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</si>
  <si>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</si>
  <si>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</si>
  <si>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</si>
  <si>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</si>
  <si>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</si>
  <si>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</si>
  <si>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</si>
  <si>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</si>
  <si>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</si>
  <si>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</si>
  <si>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</si>
  <si>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</si>
  <si>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</si>
  <si>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</si>
  <si>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</si>
  <si>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</si>
  <si>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</si>
  <si>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</si>
  <si>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</si>
  <si>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</si>
  <si>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</si>
  <si>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</si>
  <si>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</si>
  <si>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</si>
  <si>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</si>
  <si>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</si>
  <si>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</si>
  <si>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</si>
  <si>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</si>
  <si>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</si>
  <si>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</si>
  <si>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</si>
  <si>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</si>
  <si>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</si>
  <si>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</si>
  <si>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</si>
  <si>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</si>
  <si>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</si>
  <si>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</si>
  <si>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</si>
  <si>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</si>
  <si>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</si>
  <si>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</si>
  <si>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</si>
  <si>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</si>
  <si>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</si>
  <si>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</si>
  <si>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</si>
  <si>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</si>
  <si>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</si>
  <si>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</si>
  <si>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</si>
  <si>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</si>
  <si>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</si>
  <si>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</si>
  <si>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</si>
  <si>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</si>
  <si>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</si>
  <si>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</si>
  <si>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</si>
  <si>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</si>
  <si>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</si>
  <si>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</si>
  <si>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</si>
  <si>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</si>
  <si>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</si>
  <si>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</si>
  <si>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</si>
  <si>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</si>
  <si>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</si>
  <si>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</si>
  <si>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</si>
  <si>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</si>
  <si>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</si>
  <si>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</si>
  <si>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</si>
  <si>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</si>
  <si>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</si>
  <si>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</si>
  <si>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</si>
  <si>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</si>
  <si>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</si>
  <si>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</si>
  <si>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</si>
  <si>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</si>
  <si>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</si>
  <si>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</si>
  <si>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</si>
  <si>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</si>
  <si>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</si>
  <si>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</si>
  <si>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</si>
  <si>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</si>
  <si>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</si>
  <si>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</si>
  <si>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</si>
  <si>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</si>
  <si>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</si>
  <si>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</si>
  <si>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</si>
  <si>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</si>
  <si>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</si>
  <si>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</si>
  <si>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</si>
  <si>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</si>
  <si>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</si>
  <si>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</si>
  <si>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</si>
  <si>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</si>
  <si>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</si>
  <si>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</si>
  <si>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</si>
  <si>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</si>
  <si>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</si>
  <si>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</si>
  <si>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</si>
  <si>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</si>
  <si>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</si>
  <si>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</si>
  <si>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</si>
  <si>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</si>
  <si>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</si>
  <si>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</si>
  <si>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</si>
  <si>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</si>
  <si>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</si>
  <si>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</si>
  <si>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</si>
  <si>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</si>
  <si>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</si>
  <si>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</si>
  <si>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</si>
  <si>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</si>
  <si>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</si>
  <si>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</si>
  <si>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</si>
  <si>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</si>
  <si>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</si>
  <si>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</si>
  <si>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</si>
  <si>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</si>
  <si>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</si>
  <si>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</si>
  <si>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</si>
  <si>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</si>
  <si>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</si>
  <si>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</si>
  <si>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</si>
  <si>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</si>
  <si>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</si>
  <si>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</si>
  <si>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</si>
  <si>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</si>
  <si>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</si>
  <si>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</si>
  <si>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</si>
  <si>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</si>
  <si>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</si>
  <si>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</si>
  <si>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</si>
  <si>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</si>
  <si>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</si>
  <si>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</si>
  <si>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</si>
  <si>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</si>
  <si>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</si>
  <si>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</si>
  <si>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</si>
  <si>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</si>
  <si>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</si>
  <si>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</si>
  <si>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</si>
  <si>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</si>
  <si>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</si>
  <si>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</si>
  <si>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</si>
  <si>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</si>
  <si>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</si>
  <si>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</si>
  <si>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</si>
  <si>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</si>
  <si>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</si>
  <si>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</si>
  <si>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</si>
  <si>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</si>
  <si>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</si>
  <si>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</si>
  <si>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</si>
  <si>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</si>
  <si>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</si>
  <si>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</si>
  <si>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</si>
  <si>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</si>
  <si>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</si>
  <si>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</si>
  <si>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</si>
  <si>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</si>
  <si>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</si>
  <si>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</si>
  <si>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</si>
  <si>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</si>
  <si>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</si>
  <si>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</si>
  <si>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</si>
  <si>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</si>
  <si>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</si>
  <si>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</si>
  <si>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</si>
  <si>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</si>
  <si>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</si>
  <si>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</si>
  <si>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</si>
  <si>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</si>
  <si>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</si>
  <si>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</si>
  <si>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</si>
  <si>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</si>
  <si>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</si>
  <si>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</si>
  <si>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</si>
  <si>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</si>
  <si>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</si>
  <si>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</si>
  <si>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</si>
  <si>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</si>
  <si>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</si>
  <si>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</si>
  <si>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</si>
  <si>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</si>
  <si>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</si>
  <si>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</si>
  <si>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</si>
  <si>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</si>
  <si>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</si>
  <si>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</si>
  <si>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</si>
  <si>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</si>
  <si>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</si>
  <si>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</si>
  <si>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</si>
  <si>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</si>
  <si>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</si>
  <si>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</si>
  <si>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</si>
  <si>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</si>
  <si>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</si>
  <si>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</si>
  <si>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</si>
  <si>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</si>
  <si>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</si>
  <si>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</si>
  <si>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</si>
  <si>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</si>
  <si>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</si>
  <si>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</si>
  <si>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</si>
  <si>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</si>
  <si>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</si>
  <si>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</si>
  <si>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</si>
  <si>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</si>
  <si>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</si>
  <si>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</si>
  <si>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</si>
  <si>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</si>
  <si>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</si>
  <si>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</si>
  <si>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</si>
  <si>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</si>
  <si>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</si>
  <si>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</si>
  <si>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</si>
  <si>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</si>
  <si>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</si>
  <si>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</si>
  <si>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</si>
  <si>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</si>
  <si>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</si>
  <si>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</si>
  <si>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</si>
  <si>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</si>
  <si>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</si>
  <si>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</si>
  <si>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</si>
  <si>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</si>
  <si>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</si>
  <si>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</si>
  <si>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</si>
  <si>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</si>
  <si>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</si>
  <si>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</si>
  <si>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</si>
  <si>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</si>
  <si>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</si>
  <si>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</si>
  <si>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</si>
  <si>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</si>
  <si>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</si>
  <si>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</si>
  <si>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</si>
  <si>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</si>
  <si>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</si>
  <si>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</si>
  <si>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</si>
  <si>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</si>
  <si>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</si>
  <si>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</si>
  <si>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</si>
  <si>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</si>
  <si>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</si>
  <si>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</si>
  <si>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</si>
  <si>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</si>
  <si>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</si>
  <si>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</si>
  <si>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</si>
  <si>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</si>
  <si>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</si>
  <si>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</si>
  <si>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</si>
  <si>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</si>
  <si>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</si>
  <si>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</si>
  <si>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</si>
  <si>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</si>
  <si>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</si>
  <si>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</si>
  <si>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</si>
  <si>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</si>
  <si>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</si>
  <si>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</si>
  <si>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</si>
  <si>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</si>
  <si>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</si>
  <si>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</si>
  <si>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</si>
  <si>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</si>
  <si>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</si>
  <si>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</si>
  <si>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</si>
  <si>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</si>
  <si>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</si>
  <si>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</si>
  <si>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</si>
  <si>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</si>
  <si>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</si>
  <si>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</si>
  <si>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</si>
  <si>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</si>
  <si>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</si>
  <si>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</si>
  <si>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</si>
  <si>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</si>
  <si>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</si>
  <si>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</si>
  <si>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</si>
  <si>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</si>
  <si>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</si>
  <si>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</si>
  <si>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</si>
  <si>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</si>
  <si>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</si>
  <si>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</si>
  <si>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</si>
  <si>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</si>
  <si>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</si>
  <si>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</si>
  <si>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</si>
  <si>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</si>
  <si>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</si>
  <si>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</si>
  <si>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</si>
  <si>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</si>
  <si>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</si>
  <si>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</si>
  <si>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</si>
  <si>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</si>
  <si>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</si>
  <si>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</si>
  <si>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</si>
  <si>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</si>
  <si>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</si>
  <si>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</si>
  <si>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</si>
  <si>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</si>
  <si>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</si>
  <si>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</si>
  <si>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</si>
  <si>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</si>
  <si>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</si>
  <si>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</si>
  <si>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</si>
  <si>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</si>
  <si>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</si>
  <si>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</si>
  <si>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</si>
  <si>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</si>
  <si>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</si>
  <si>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</si>
  <si>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</si>
  <si>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</si>
  <si>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</si>
  <si>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</si>
  <si>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</si>
  <si>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</si>
  <si>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</si>
  <si>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</si>
  <si>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</si>
  <si>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</si>
  <si>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</si>
  <si>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</si>
  <si>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</si>
  <si>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</si>
  <si>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</si>
  <si>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</si>
  <si>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</si>
  <si>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</si>
  <si>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</si>
  <si>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</si>
  <si>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</si>
  <si>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</si>
  <si>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</si>
  <si>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</si>
  <si>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</si>
  <si>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</si>
  <si>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</si>
  <si>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</si>
  <si>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</si>
  <si>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</si>
  <si>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</si>
  <si>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</si>
  <si>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</si>
  <si>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</si>
  <si>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</si>
  <si>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</si>
  <si>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</si>
  <si>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</si>
  <si>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</si>
  <si>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</si>
  <si>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</si>
  <si>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</si>
  <si>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</si>
  <si>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</si>
  <si>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</si>
  <si>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</si>
  <si>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</si>
  <si>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</si>
  <si>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</si>
  <si>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</si>
  <si>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</si>
  <si>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</si>
  <si>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</si>
  <si>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</si>
  <si>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</si>
  <si>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</si>
  <si>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</si>
  <si>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</si>
  <si>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</si>
  <si>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</si>
  <si>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</si>
  <si>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</si>
  <si>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</si>
  <si>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</si>
  <si>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</si>
  <si>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</si>
  <si>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</si>
  <si>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</si>
  <si>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</si>
  <si>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</si>
  <si>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</si>
  <si>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</si>
  <si>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</si>
  <si>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</si>
  <si>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</si>
  <si>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</si>
  <si>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</si>
  <si>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</si>
  <si>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</si>
  <si>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</si>
  <si>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</si>
  <si>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</si>
  <si>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</si>
  <si>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</si>
  <si>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</si>
  <si>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</si>
  <si>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</si>
  <si>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</si>
  <si>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</si>
  <si>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</si>
  <si>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</si>
  <si>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</si>
  <si>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</si>
  <si>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</si>
  <si>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</si>
  <si>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</si>
  <si>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</si>
  <si>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</si>
  <si>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</si>
  <si>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</si>
  <si>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</si>
  <si>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</si>
  <si>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</si>
  <si>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</si>
  <si>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</si>
  <si>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</si>
  <si>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</si>
  <si>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</si>
  <si>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</si>
  <si>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</si>
  <si>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</si>
  <si>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</si>
  <si>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</si>
  <si>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</si>
  <si>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</si>
  <si>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</si>
  <si>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</si>
  <si>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</si>
  <si>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</si>
  <si>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</si>
  <si>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</si>
  <si>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</si>
  <si>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</si>
  <si>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</si>
  <si>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</si>
  <si>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</si>
  <si>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</si>
  <si>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</si>
  <si>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</si>
  <si>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</si>
  <si>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</si>
  <si>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</si>
  <si>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</si>
  <si>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</si>
  <si>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</si>
  <si>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</si>
  <si>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</si>
  <si>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</si>
  <si>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</si>
  <si>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</si>
  <si>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</si>
  <si>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</si>
  <si>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</si>
  <si>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</si>
  <si>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</si>
  <si>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</si>
  <si>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</si>
  <si>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</si>
  <si>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</si>
  <si>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</si>
  <si>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</si>
  <si>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</si>
  <si>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</si>
  <si>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</si>
  <si>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</si>
  <si>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</si>
  <si>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</si>
  <si>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</si>
  <si>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</si>
  <si>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</si>
  <si>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</si>
  <si>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</si>
  <si>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</si>
  <si>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</si>
  <si>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</si>
  <si>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</si>
  <si>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</si>
  <si>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</si>
  <si>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</si>
  <si>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</si>
  <si>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</si>
  <si>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</si>
  <si>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</si>
  <si>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</si>
  <si>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</si>
  <si>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</si>
  <si>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</si>
  <si>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</si>
  <si>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</si>
  <si>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</si>
  <si>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</si>
  <si>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</si>
  <si>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</si>
  <si>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</si>
  <si>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</si>
  <si>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</si>
  <si>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</si>
  <si>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</si>
  <si>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</si>
  <si>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</si>
  <si>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</si>
  <si>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</si>
  <si>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</si>
  <si>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</si>
  <si>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</si>
  <si>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</si>
  <si>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</si>
  <si>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</si>
  <si>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</si>
  <si>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</si>
  <si>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</si>
  <si>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</si>
  <si>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</si>
  <si>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</si>
  <si>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</si>
  <si>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</si>
  <si>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</si>
  <si>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</si>
  <si>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</si>
  <si>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</si>
  <si>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</si>
  <si>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</si>
  <si>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</si>
  <si>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</si>
  <si>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</si>
  <si>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</si>
  <si>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</si>
  <si>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</si>
  <si>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</si>
  <si>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</si>
  <si>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</si>
  <si>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</si>
  <si>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</si>
  <si>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</si>
  <si>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</si>
  <si>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</si>
  <si>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</si>
  <si>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</si>
  <si>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</si>
  <si>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</si>
  <si>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</si>
  <si>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</si>
  <si>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</si>
  <si>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</si>
  <si>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</si>
  <si>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</si>
  <si>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</si>
  <si>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</si>
  <si>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</si>
  <si>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</si>
  <si>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</si>
  <si>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</si>
  <si>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</si>
  <si>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</si>
  <si>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</si>
  <si>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</si>
  <si>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</si>
  <si>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</si>
  <si>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</si>
  <si>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</si>
  <si>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</si>
  <si>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</si>
  <si>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</si>
  <si>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</si>
  <si>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</si>
  <si>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</si>
  <si>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</si>
  <si>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</si>
  <si>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</si>
  <si>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</si>
  <si>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</si>
  <si>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</si>
  <si>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</si>
  <si>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</si>
  <si>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</si>
  <si>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</si>
  <si>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</si>
  <si>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</si>
  <si>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</si>
  <si>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</si>
  <si>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</si>
  <si>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</si>
  <si>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</si>
  <si>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</si>
  <si>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</si>
  <si>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</si>
  <si>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</si>
  <si>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</si>
  <si>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</si>
  <si>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</si>
  <si>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</si>
  <si>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</si>
  <si>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</si>
  <si>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</si>
  <si>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</si>
  <si>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</si>
  <si>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</si>
  <si>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</si>
  <si>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</si>
  <si>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</si>
  <si>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</si>
  <si>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</si>
  <si>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</si>
  <si>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</si>
  <si>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</si>
  <si>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</si>
  <si>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</si>
  <si>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</si>
  <si>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</si>
  <si>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</si>
  <si>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</si>
  <si>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</si>
  <si>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</si>
  <si>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</si>
  <si>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</si>
  <si>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</si>
  <si>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</si>
  <si>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</si>
  <si>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</si>
  <si>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</si>
  <si>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</si>
  <si>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</si>
  <si>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</si>
  <si>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</si>
  <si>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</si>
  <si>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</si>
  <si>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</si>
  <si>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</si>
  <si>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</si>
  <si>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</si>
  <si>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</si>
  <si>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</si>
  <si>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</si>
  <si>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</si>
  <si>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</si>
  <si>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</si>
  <si>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</si>
  <si>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</si>
  <si>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</si>
  <si>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</si>
  <si>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</si>
  <si>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</si>
  <si>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</si>
  <si>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</si>
  <si>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</si>
  <si>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</si>
  <si>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</si>
  <si>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</si>
  <si>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</si>
  <si>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</si>
  <si>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</si>
  <si>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</si>
  <si>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</si>
  <si>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</si>
  <si>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</si>
  <si>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</si>
  <si>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</si>
  <si>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</si>
  <si>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</si>
  <si>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</si>
  <si>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</si>
  <si>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</si>
  <si>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</si>
  <si>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</si>
  <si>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</si>
  <si>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</si>
  <si>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</si>
  <si>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</si>
  <si>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</si>
  <si>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</si>
  <si>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</si>
  <si>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</si>
  <si>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</si>
  <si>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</si>
  <si>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</si>
  <si>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</si>
  <si>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</si>
  <si>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</si>
  <si>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</si>
  <si>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</si>
  <si>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</si>
  <si>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</si>
  <si>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</si>
  <si>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</si>
  <si>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</si>
  <si>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</si>
  <si>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</si>
  <si>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</si>
  <si>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</si>
  <si>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</si>
  <si>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</si>
  <si>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</si>
  <si>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</si>
  <si>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</si>
  <si>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</si>
  <si>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</si>
  <si>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</si>
  <si>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</si>
  <si>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</si>
  <si>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</si>
  <si>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</si>
  <si>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</si>
  <si>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</si>
  <si>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</si>
  <si>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</si>
  <si>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</si>
  <si>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</si>
  <si>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</si>
  <si>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</si>
  <si>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</si>
  <si>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</si>
  <si>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</si>
  <si>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</si>
  <si>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</si>
  <si>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</si>
  <si>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</si>
  <si>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</si>
  <si>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</si>
  <si>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</si>
  <si>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</si>
  <si>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</si>
  <si>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</si>
  <si>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</si>
  <si>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</si>
  <si>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</si>
  <si>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</si>
  <si>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</si>
  <si>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</si>
  <si>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</si>
  <si>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</si>
  <si>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</si>
  <si>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</si>
  <si>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</si>
  <si>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</si>
  <si>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</si>
  <si>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</si>
  <si>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</si>
  <si>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</si>
  <si>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</si>
  <si>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</si>
  <si>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</si>
  <si>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</si>
  <si>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</si>
  <si>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</si>
  <si>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</si>
  <si>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</si>
  <si>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</si>
  <si>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</si>
  <si>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</si>
  <si>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</si>
  <si>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</si>
  <si>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</si>
  <si>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</si>
  <si>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</si>
  <si>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</si>
  <si>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</si>
  <si>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</si>
  <si>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</si>
  <si>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</si>
  <si>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</si>
  <si>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</si>
  <si>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</si>
  <si>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</si>
  <si>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</si>
  <si>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</si>
  <si>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</si>
  <si>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</si>
  <si>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</si>
  <si>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</si>
  <si>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</si>
  <si>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</si>
  <si>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</si>
  <si>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</si>
  <si>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</si>
  <si>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</si>
  <si>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</si>
  <si>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</si>
  <si>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</si>
  <si>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</si>
  <si>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</si>
  <si>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</si>
  <si>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</si>
  <si>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</si>
  <si>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</si>
  <si>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</si>
  <si>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</si>
  <si>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</si>
  <si>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</si>
  <si>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</si>
  <si>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</si>
  <si>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</si>
  <si>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</si>
  <si>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</si>
  <si>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</si>
  <si>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</si>
  <si>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</si>
  <si>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</si>
  <si>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</si>
  <si>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</si>
  <si>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</si>
  <si>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</si>
  <si>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</si>
  <si>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</si>
  <si>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</si>
  <si>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</si>
  <si>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</si>
  <si>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</si>
  <si>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</si>
  <si>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</si>
  <si>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</si>
  <si>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</si>
  <si>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</si>
  <si>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</si>
  <si>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</si>
  <si>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</si>
  <si>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</si>
  <si>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</si>
  <si>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</si>
  <si>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</si>
  <si>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</si>
  <si>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</si>
  <si>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</si>
  <si>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</si>
  <si>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</si>
  <si>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</si>
  <si>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</si>
  <si>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</si>
  <si>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</si>
  <si>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</si>
  <si>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</si>
  <si>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</si>
  <si>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</si>
  <si>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</si>
  <si>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</si>
  <si>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</si>
  <si>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</si>
  <si>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</si>
  <si>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</si>
  <si>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</si>
  <si>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</si>
  <si>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</si>
  <si>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</si>
  <si>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</si>
  <si>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</si>
  <si>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</si>
  <si>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</si>
  <si>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</si>
  <si>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</si>
  <si>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</si>
  <si>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</si>
  <si>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</si>
  <si>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</si>
  <si>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</si>
  <si>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</si>
  <si>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</si>
  <si>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</si>
  <si>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</si>
  <si>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</si>
  <si>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</si>
  <si>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</si>
  <si>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</si>
  <si>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</si>
  <si>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</si>
  <si>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</si>
  <si>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</si>
  <si>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</si>
  <si>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</si>
  <si>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</si>
  <si>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</si>
  <si>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</si>
  <si>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</si>
  <si>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</si>
  <si>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</si>
  <si>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</si>
  <si>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</si>
  <si>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</si>
  <si>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</si>
  <si>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</si>
  <si>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</si>
  <si>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</si>
  <si>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</si>
  <si>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</si>
  <si>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</si>
  <si>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</si>
  <si>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</si>
  <si>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</si>
  <si>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</si>
  <si>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</si>
  <si>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</si>
  <si>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</si>
  <si>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</si>
  <si>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</si>
  <si>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</si>
  <si>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</si>
  <si>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</si>
  <si>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</si>
  <si>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</si>
  <si>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</si>
  <si>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</si>
  <si>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</si>
  <si>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</si>
  <si>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</si>
  <si>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</si>
  <si>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</si>
  <si>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</si>
  <si>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</si>
  <si>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</si>
  <si>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</si>
  <si>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</si>
  <si>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</si>
  <si>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</si>
  <si>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</si>
  <si>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</si>
  <si>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</si>
  <si>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</si>
  <si>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</si>
  <si>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</si>
  <si>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</si>
  <si>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</si>
  <si>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</si>
  <si>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</si>
  <si>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</si>
  <si>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</si>
  <si>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</si>
  <si>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</si>
  <si>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Total for Relevant Recency Period</t>
  </si>
  <si>
    <t>OPC</t>
  </si>
  <si>
    <t>Latest IPC / IR test date</t>
  </si>
  <si>
    <t>Source date for normal IPC / IR test validity; manual override is still included.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</si>
  <si>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</si>
  <si>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</si>
  <si>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</si>
  <si>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</si>
  <si>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</si>
  <si>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Latest qualifying OPC detected from Logbook[OPC].</t>
  </si>
  <si>
    <t>OPC 61.870 recency expiry</t>
  </si>
  <si>
    <t>Exempts 61.870 recent-experience checks for 3 months after a qualifying OPC.</t>
  </si>
  <si>
    <t>OPC 61.880 proficiency expiry</t>
  </si>
  <si>
    <t>Allows qualifying OPC to count as proficiency-check validity; category logic intentionally omitted.</t>
  </si>
  <si>
    <t>Overall IPC / OPC validity expiry</t>
  </si>
  <si>
    <t>Feeds IPC status and circling validity using the later of IPC and OPC validity.</t>
  </si>
  <si>
    <t>Dashboard reference date used by recency/status formulas.</t>
  </si>
  <si>
    <t>IPC/OPC Helper</t>
  </si>
  <si>
    <t>Notes</t>
  </si>
  <si>
    <t>It will save to the "Route Map" folder where the current workbook is saved</t>
  </si>
  <si>
    <t>1.2.1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</si>
</sst>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7F6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scheme val="minor"/>
    </font>
    <font>
      <i/>
      <sz val="9"/>
      <color rgb="FF666666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203864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3F6FA"/>
        <bgColor indexed="64"/>
      </patternFill>
    </fill>
    <fill>
      <patternFill patternType="solid">
        <fgColor rgb="FFFFFFFF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4C6E7"/>
      </left>
      <right style="thin">
        <color rgb="FFD9E2F3"/>
      </right>
      <top style="thin">
        <color rgb="FFB4C6E7"/>
      </top>
      <bottom style="thin">
        <color rgb="FFD9E2F3"/>
      </bottom>
      <diagonal/>
    </border>
    <border>
      <left style="thin">
        <color rgb="FFD9E2F3"/>
      </left>
      <right style="thin">
        <color rgb="FFB4C6E7"/>
      </right>
      <top style="thin">
        <color rgb="FFB4C6E7"/>
      </top>
      <bottom style="thin">
        <color rgb="FFD9E2F3"/>
      </bottom>
      <diagonal/>
    </border>
    <border>
      <left style="thin">
        <color rgb="FFB4C6E7"/>
      </left>
      <right/>
      <top style="thin">
        <color rgb="FFD9E2F3"/>
      </top>
      <bottom style="thin">
        <color rgb="FFD9E2F3"/>
      </bottom>
      <diagonal/>
    </border>
    <border>
      <left style="thin">
        <color rgb="FFB4C6E7"/>
      </left>
      <right/>
      <top style="thin">
        <color rgb="FFD9E2F3"/>
      </top>
      <bottom style="thin">
        <color rgb="FFB4C6E7"/>
      </bottom>
      <diagonal/>
    </border>
    <border>
      <left/>
      <right style="thin">
        <color rgb="FFB4C6E7"/>
      </right>
      <top style="thin">
        <color rgb="FFD9E2F3"/>
      </top>
      <bottom style="thin">
        <color rgb="FFD9E2F3"/>
      </bottom>
      <diagonal/>
    </border>
    <border>
      <left/>
      <right style="thin">
        <color rgb="FFB4C6E7"/>
      </right>
      <top style="thin">
        <color rgb="FFD9E2F3"/>
      </top>
      <bottom style="thin">
        <color rgb="FFB4C6E7"/>
      </bottom>
      <diagonal/>
    </border>
    <border>
      <left style="thin">
        <color rgb="FFD9E2F3"/>
      </left>
      <right style="thin">
        <color rgb="FFD9E2F3"/>
      </right>
      <top style="thin">
        <color rgb="FFB4C6E7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3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left" vertical="center" wrapText="1"/>
    </xf>
    <xf numFmtId="165" fontId="0" fillId="0" borderId="0" xfId="0" applyNumberFormat="1" applyAlignment="1">
      <alignment vertical="center" wrapText="1"/>
    </xf>
    <xf numFmtId="0" fontId="0" fillId="0" borderId="1" xfId="0" applyBorder="1" applyAlignment="1">
      <alignment horizontal="center"/>
    </xf>
    <xf numFmtId="0" fontId="1" fillId="0" borderId="0" xfId="0" applyFont="1"/>
    <xf numFmtId="169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/>
    <xf numFmtId="0" fontId="0" fillId="0" borderId="11" xfId="0" applyBorder="1"/>
    <xf numFmtId="167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0" fontId="0" fillId="2" borderId="0" xfId="0" applyFill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165" fontId="0" fillId="0" borderId="11" xfId="0" applyNumberFormat="1" applyBorder="1" applyAlignment="1">
      <alignment horizontal="center"/>
    </xf>
    <xf numFmtId="0" fontId="0" fillId="0" borderId="0" xfId="0" pivotButton="1"/>
    <xf numFmtId="172" fontId="0" fillId="0" borderId="11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172" fontId="0" fillId="0" borderId="0" xfId="0" applyNumberFormat="1" applyAlignment="1">
      <alignment horizontal="center" vertical="center" wrapText="1"/>
    </xf>
    <xf numFmtId="0" fontId="1" fillId="3" borderId="14" xfId="0" applyFont="1" applyFill="1" applyBorder="1" applyAlignment="1">
      <alignment vertical="center" wrapText="1"/>
    </xf>
    <xf numFmtId="0" fontId="1" fillId="3" borderId="26" xfId="0" applyFont="1" applyFill="1" applyBorder="1" applyAlignment="1">
      <alignment horizontal="right" vertical="center"/>
    </xf>
    <xf numFmtId="166" fontId="1" fillId="3" borderId="31" xfId="0" applyNumberFormat="1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Alignment="1">
      <alignment horizontal="center"/>
    </xf>
    <xf numFmtId="172" fontId="1" fillId="0" borderId="3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9" fontId="3" fillId="0" borderId="11" xfId="0" applyNumberFormat="1" applyFont="1" applyBorder="1" applyAlignment="1">
      <alignment horizontal="center" vertical="center" wrapText="1"/>
    </xf>
    <xf numFmtId="14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/>
    <xf numFmtId="1" fontId="4" fillId="5" borderId="1" xfId="0" applyNumberFormat="1" applyFont="1" applyFill="1" applyBorder="1" applyAlignment="1">
      <alignment horizontal="center" vertical="center" wrapText="1"/>
    </xf>
    <xf numFmtId="165" fontId="4" fillId="5" borderId="1" xfId="0" applyNumberFormat="1" applyFont="1" applyFill="1" applyBorder="1" applyAlignment="1">
      <alignment horizontal="center"/>
    </xf>
    <xf numFmtId="1" fontId="0" fillId="4" borderId="1" xfId="0" applyNumberFormat="1" applyFill="1" applyBorder="1"/>
    <xf numFmtId="172" fontId="0" fillId="0" borderId="0" xfId="0" applyNumberFormat="1"/>
    <xf numFmtId="165" fontId="3" fillId="0" borderId="1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172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65" fontId="1" fillId="0" borderId="0" xfId="0" applyNumberFormat="1" applyFont="1" applyAlignment="1">
      <alignment horizontal="left"/>
    </xf>
    <xf numFmtId="173" fontId="1" fillId="0" borderId="0" xfId="0" applyNumberFormat="1" applyFont="1" applyAlignment="1">
      <alignment horizontal="left"/>
    </xf>
    <xf numFmtId="174" fontId="1" fillId="0" borderId="0" xfId="0" applyNumberFormat="1" applyFont="1" applyAlignment="1">
      <alignment horizontal="left"/>
    </xf>
    <xf numFmtId="9" fontId="1" fillId="0" borderId="0" xfId="0" applyNumberFormat="1" applyFont="1" applyAlignment="1">
      <alignment horizontal="left"/>
    </xf>
    <xf numFmtId="0" fontId="1" fillId="6" borderId="28" xfId="0" applyFont="1" applyFill="1" applyBorder="1" applyAlignment="1">
      <alignment horizontal="center" vertical="center"/>
    </xf>
    <xf numFmtId="0" fontId="1" fillId="6" borderId="2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14" fontId="0" fillId="0" borderId="26" xfId="0" applyNumberFormat="1" applyBorder="1" applyAlignment="1">
      <alignment horizontal="center"/>
    </xf>
    <xf numFmtId="14" fontId="0" fillId="0" borderId="34" xfId="0" applyNumberFormat="1" applyBorder="1" applyAlignment="1">
      <alignment horizontal="center"/>
    </xf>
    <xf numFmtId="14" fontId="0" fillId="0" borderId="35" xfId="0" applyNumberFormat="1" applyBorder="1" applyAlignment="1">
      <alignment horizontal="center"/>
    </xf>
    <xf numFmtId="172" fontId="0" fillId="0" borderId="26" xfId="0" applyNumberFormat="1" applyBorder="1" applyAlignment="1">
      <alignment horizontal="center"/>
    </xf>
    <xf numFmtId="172" fontId="0" fillId="0" borderId="31" xfId="0" applyNumberFormat="1" applyBorder="1" applyAlignment="1">
      <alignment horizontal="center"/>
    </xf>
    <xf numFmtId="0" fontId="1" fillId="0" borderId="37" xfId="0" applyFont="1" applyBorder="1" applyAlignment="1">
      <alignment horizontal="right"/>
    </xf>
    <xf numFmtId="0" fontId="1" fillId="0" borderId="36" xfId="0" applyFont="1" applyBorder="1" applyAlignment="1">
      <alignment horizontal="right"/>
    </xf>
    <xf numFmtId="172" fontId="0" fillId="0" borderId="40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0" xfId="0" applyNumberFormat="1" applyAlignment="1">
      <alignment vertical="center" wrapText="1"/>
    </xf>
    <xf numFmtId="1" fontId="0" fillId="0" borderId="0" xfId="0" applyNumberFormat="1" applyAlignment="1">
      <alignment horizontal="center"/>
    </xf>
    <xf numFmtId="0" fontId="1" fillId="3" borderId="5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14" fontId="1" fillId="0" borderId="0" xfId="0" applyNumberFormat="1" applyFont="1"/>
    <xf numFmtId="1" fontId="1" fillId="0" borderId="0" xfId="0" applyNumberFormat="1" applyFont="1"/>
    <xf numFmtId="1" fontId="0" fillId="0" borderId="0" xfId="0" applyNumberFormat="1"/>
    <xf numFmtId="0" fontId="1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9" fillId="0" borderId="0" xfId="0" applyFont="1" applyAlignment="1">
      <alignment vertical="center"/>
    </xf>
    <xf numFmtId="167" fontId="1" fillId="0" borderId="10" xfId="0" applyNumberFormat="1" applyFont="1" applyBorder="1" applyAlignment="1">
      <alignment horizontal="center" vertical="center" wrapText="1"/>
    </xf>
    <xf numFmtId="170" fontId="1" fillId="0" borderId="10" xfId="0" applyNumberFormat="1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right"/>
    </xf>
    <xf numFmtId="166" fontId="1" fillId="2" borderId="29" xfId="0" applyNumberFormat="1" applyFont="1" applyFill="1" applyBorder="1" applyAlignment="1">
      <alignment horizontal="center" vertical="center" wrapText="1"/>
    </xf>
    <xf numFmtId="172" fontId="0" fillId="4" borderId="12" xfId="0" applyNumberFormat="1" applyFill="1" applyBorder="1" applyAlignment="1">
      <alignment horizontal="center" vertical="center"/>
    </xf>
    <xf numFmtId="167" fontId="0" fillId="4" borderId="12" xfId="0" applyNumberFormat="1" applyFill="1" applyBorder="1" applyAlignment="1">
      <alignment horizontal="center"/>
    </xf>
    <xf numFmtId="170" fontId="0" fillId="4" borderId="12" xfId="0" applyNumberForma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4" fillId="4" borderId="16" xfId="0" applyFont="1" applyFill="1" applyBorder="1" applyAlignment="1">
      <alignment horizontal="right"/>
    </xf>
    <xf numFmtId="165" fontId="4" fillId="5" borderId="12" xfId="0" applyNumberFormat="1" applyFont="1" applyFill="1" applyBorder="1" applyAlignment="1">
      <alignment horizontal="center"/>
    </xf>
    <xf numFmtId="1" fontId="4" fillId="5" borderId="12" xfId="0" applyNumberFormat="1" applyFont="1" applyFill="1" applyBorder="1" applyAlignment="1">
      <alignment horizontal="center"/>
    </xf>
    <xf numFmtId="170" fontId="0" fillId="0" borderId="1" xfId="0" applyNumberFormat="1" applyBorder="1" applyAlignment="1">
      <alignment horizontal="center" vertical="center" wrapText="1"/>
    </xf>
    <xf numFmtId="172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170" fontId="0" fillId="0" borderId="10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8" fontId="0" fillId="0" borderId="1" xfId="0" applyNumberFormat="1" applyBorder="1" applyAlignment="1">
      <alignment horizontal="center" vertical="center" wrapText="1"/>
    </xf>
    <xf numFmtId="168" fontId="0" fillId="0" borderId="10" xfId="0" applyNumberFormat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 wrapText="1"/>
    </xf>
    <xf numFmtId="1" fontId="0" fillId="4" borderId="12" xfId="0" applyNumberForma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/>
    </xf>
    <xf numFmtId="170" fontId="0" fillId="3" borderId="8" xfId="0" applyNumberFormat="1" applyFill="1" applyBorder="1" applyAlignment="1">
      <alignment vertical="center" wrapText="1"/>
    </xf>
    <xf numFmtId="22" fontId="0" fillId="0" borderId="0" xfId="0" applyNumberFormat="1"/>
    <xf numFmtId="49" fontId="0" fillId="0" borderId="0" xfId="0" applyNumberFormat="1"/>
    <xf numFmtId="0" fontId="0" fillId="0" borderId="11" xfId="0" applyBorder="1" applyAlignment="1">
      <alignment horizontal="center" vertical="top"/>
    </xf>
    <xf numFmtId="165" fontId="1" fillId="0" borderId="10" xfId="0" applyNumberFormat="1" applyFont="1" applyBorder="1" applyAlignment="1">
      <alignment horizontal="center" vertical="center"/>
    </xf>
    <xf numFmtId="1" fontId="1" fillId="0" borderId="10" xfId="0" applyNumberFormat="1" applyFont="1" applyBorder="1" applyAlignment="1">
      <alignment horizontal="center" vertical="center"/>
    </xf>
    <xf numFmtId="165" fontId="1" fillId="6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4" fillId="0" borderId="0" xfId="0" applyFont="1"/>
    <xf numFmtId="0" fontId="10" fillId="0" borderId="0" xfId="0" applyFont="1"/>
    <xf numFmtId="0" fontId="1" fillId="6" borderId="17" xfId="0" applyFont="1" applyFill="1" applyBorder="1" applyAlignment="1">
      <alignment horizontal="center" vertical="center"/>
    </xf>
    <xf numFmtId="0" fontId="1" fillId="6" borderId="3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1" fillId="2" borderId="3" xfId="0" applyFont="1" applyFill="1" applyBorder="1" applyAlignment="1">
      <alignment horizontal="right" vertical="center"/>
    </xf>
    <xf numFmtId="0" fontId="11" fillId="2" borderId="3" xfId="0" applyFont="1" applyFill="1" applyBorder="1"/>
    <xf numFmtId="0" fontId="0" fillId="2" borderId="4" xfId="0" applyFill="1" applyBorder="1"/>
    <xf numFmtId="0" fontId="0" fillId="2" borderId="7" xfId="0" applyFill="1" applyBorder="1"/>
    <xf numFmtId="0" fontId="0" fillId="2" borderId="8" xfId="0" applyFill="1" applyBorder="1"/>
    <xf numFmtId="0" fontId="1" fillId="2" borderId="8" xfId="0" applyFont="1" applyFill="1" applyBorder="1" applyAlignment="1">
      <alignment horizontal="right" vertical="center"/>
    </xf>
    <xf numFmtId="0" fontId="11" fillId="2" borderId="8" xfId="0" applyFont="1" applyFill="1" applyBorder="1"/>
    <xf numFmtId="0" fontId="0" fillId="2" borderId="9" xfId="0" applyFill="1" applyBorder="1"/>
    <xf numFmtId="0" fontId="0" fillId="7" borderId="6" xfId="0" applyFill="1" applyBorder="1"/>
    <xf numFmtId="0" fontId="0" fillId="7" borderId="0" xfId="0" applyFill="1"/>
    <xf numFmtId="14" fontId="0" fillId="7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5" fontId="0" fillId="7" borderId="0" xfId="0" applyNumberFormat="1" applyFill="1" applyAlignment="1">
      <alignment horizontal="center" vertical="center"/>
    </xf>
    <xf numFmtId="165" fontId="0" fillId="7" borderId="0" xfId="0" applyNumberFormat="1" applyFill="1"/>
    <xf numFmtId="0" fontId="4" fillId="7" borderId="0" xfId="0" applyFont="1" applyFill="1"/>
    <xf numFmtId="0" fontId="0" fillId="2" borderId="5" xfId="0" applyFill="1" applyBorder="1"/>
    <xf numFmtId="0" fontId="1" fillId="2" borderId="0" xfId="0" applyFont="1" applyFill="1" applyAlignment="1">
      <alignment horizontal="right" vertical="center"/>
    </xf>
    <xf numFmtId="0" fontId="11" fillId="2" borderId="0" xfId="0" applyFont="1" applyFill="1"/>
    <xf numFmtId="0" fontId="0" fillId="2" borderId="6" xfId="0" applyFill="1" applyBorder="1"/>
    <xf numFmtId="172" fontId="13" fillId="2" borderId="24" xfId="0" applyNumberFormat="1" applyFont="1" applyFill="1" applyBorder="1" applyAlignment="1">
      <alignment horizontal="center" vertical="center"/>
    </xf>
    <xf numFmtId="14" fontId="13" fillId="7" borderId="0" xfId="0" applyNumberFormat="1" applyFont="1" applyFill="1" applyAlignment="1">
      <alignment vertical="center"/>
    </xf>
    <xf numFmtId="0" fontId="14" fillId="7" borderId="0" xfId="0" applyFont="1" applyFill="1" applyAlignment="1">
      <alignment vertical="center" wrapText="1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17" fillId="0" borderId="0" xfId="0" applyFont="1"/>
    <xf numFmtId="0" fontId="16" fillId="0" borderId="0" xfId="0" applyFont="1"/>
    <xf numFmtId="1" fontId="16" fillId="0" borderId="0" xfId="0" applyNumberFormat="1" applyFont="1"/>
    <xf numFmtId="0" fontId="1" fillId="0" borderId="32" xfId="0" applyFont="1" applyBorder="1" applyAlignment="1">
      <alignment horizontal="right" vertical="center"/>
    </xf>
    <xf numFmtId="0" fontId="1" fillId="0" borderId="49" xfId="0" applyFont="1" applyBorder="1" applyAlignment="1">
      <alignment horizontal="right" vertical="center"/>
    </xf>
    <xf numFmtId="0" fontId="18" fillId="0" borderId="10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9" fillId="8" borderId="51" xfId="0" applyFont="1" applyFill="1" applyBorder="1" applyAlignment="1">
      <alignment horizontal="center"/>
    </xf>
    <xf numFmtId="0" fontId="19" fillId="8" borderId="52" xfId="0" applyFont="1" applyFill="1" applyBorder="1" applyAlignment="1">
      <alignment horizontal="center"/>
    </xf>
    <xf numFmtId="175" fontId="21" fillId="11" borderId="50" xfId="0" applyNumberFormat="1" applyFont="1" applyFill="1" applyBorder="1" applyAlignment="1">
      <alignment horizontal="center"/>
    </xf>
    <xf numFmtId="0" fontId="20" fillId="9" borderId="53" xfId="0" applyFont="1" applyFill="1" applyBorder="1" applyAlignment="1">
      <alignment horizontal="left"/>
    </xf>
    <xf numFmtId="0" fontId="20" fillId="9" borderId="54" xfId="0" applyFont="1" applyFill="1" applyBorder="1" applyAlignment="1">
      <alignment horizontal="left"/>
    </xf>
    <xf numFmtId="0" fontId="22" fillId="10" borderId="55" xfId="0" applyFont="1" applyFill="1" applyBorder="1" applyAlignment="1">
      <alignment horizontal="left"/>
    </xf>
    <xf numFmtId="0" fontId="22" fillId="10" borderId="56" xfId="0" applyFont="1" applyFill="1" applyBorder="1" applyAlignment="1">
      <alignment horizontal="left"/>
    </xf>
    <xf numFmtId="14" fontId="19" fillId="8" borderId="57" xfId="0" applyNumberFormat="1" applyFont="1" applyFill="1" applyBorder="1" applyAlignment="1">
      <alignment horizontal="center"/>
    </xf>
    <xf numFmtId="0" fontId="0" fillId="0" borderId="5" xfId="0" applyBorder="1" applyAlignment="1">
      <alignment horizontal="right" vertical="center" wrapText="1"/>
    </xf>
    <xf numFmtId="0" fontId="22" fillId="0" borderId="0" xfId="0" applyFont="1" applyAlignment="1">
      <alignment horizontal="left"/>
    </xf>
    <xf numFmtId="0" fontId="1" fillId="6" borderId="30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43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45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10" xfId="0" applyFont="1" applyFill="1" applyBorder="1" applyAlignment="1">
      <alignment horizontal="center" vertical="center"/>
    </xf>
    <xf numFmtId="0" fontId="1" fillId="6" borderId="2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6" borderId="42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42" xfId="0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41" xfId="0" applyFont="1" applyFill="1" applyBorder="1" applyAlignment="1">
      <alignment horizontal="center" vertical="center"/>
    </xf>
    <xf numFmtId="0" fontId="1" fillId="6" borderId="4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69" fontId="1" fillId="0" borderId="2" xfId="0" applyNumberFormat="1" applyFont="1" applyBorder="1" applyAlignment="1">
      <alignment horizontal="center" vertical="center" wrapText="1"/>
    </xf>
    <xf numFmtId="169" fontId="1" fillId="0" borderId="4" xfId="0" applyNumberFormat="1" applyFont="1" applyBorder="1" applyAlignment="1">
      <alignment horizontal="center" vertic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6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14" fontId="1" fillId="0" borderId="10" xfId="0" applyNumberFormat="1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170" fontId="1" fillId="3" borderId="0" xfId="0" applyNumberFormat="1" applyFont="1" applyFill="1" applyAlignment="1">
      <alignment horizontal="center" vertical="center" wrapText="1"/>
    </xf>
    <xf numFmtId="170" fontId="1" fillId="3" borderId="6" xfId="0" applyNumberFormat="1" applyFont="1" applyFill="1" applyBorder="1" applyAlignment="1">
      <alignment horizontal="center" vertical="center" wrapText="1"/>
    </xf>
    <xf numFmtId="170" fontId="0" fillId="3" borderId="8" xfId="0" applyNumberFormat="1" applyFill="1" applyBorder="1" applyAlignment="1">
      <alignment horizontal="center" vertical="center"/>
    </xf>
    <xf numFmtId="170" fontId="0" fillId="3" borderId="9" xfId="0" applyNumberForma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ChartData!$B$4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ChartData!$B$5:$B$7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ChartData!$C$4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ChartData!$C$5:$C$7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ChartData!$D$4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ChartData!$E$4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ChartData!$F$4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ChartData!$G$4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ChartData!$H$4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ChartData!$I$4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ChartData!$J$4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ChartData!$K$4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ChartData!$L$4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ChartData!$M$4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ChartData!$N$4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ChartData!$O$4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5 Hours by</a:t>
            </a:r>
            <a:r>
              <a:rPr lang="en-AU" baseline="0"/>
              <a:t>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ChartData!$R$1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ChartData!$Q$2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ChartData!$R$2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ChartData!$U$1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ChartData!$T$2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ChartData!$X$1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ChartData!$W$2:$W$322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ChartData!$X$2:$X$322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ChartData!$AA$4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ChartData!$Z$5:$Z$18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ChartData!$AA$5:$AA$18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ChartData!$AC$2:$AC$2577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ChartData!$AD$2:$AD$2577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/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/>
              <a:t>Add to</a:t>
            </a:r>
          </a:p>
          <a:p>
            <a:pPr algn="ctr"/>
            <a:r>
              <a:rPr lang="en-AU" sz="1100"/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Z4:AA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T1:U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Q1:R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C1:AD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Year">
  <location ref="A4:O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F7" totalsRowCount="1" headerRowDxfId="167" tableBorderDxfId="166">
  <autoFilter ref="A4:BF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</autoFilter>
  <tableColumns count="58">
    <tableColumn id="1" xr3:uid="{4A9F7973-DB93-445C-A438-9DA51DE4C8E6}" name="Date" dataDxfId="165" totalsRowDxfId="164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163" totalsRowDxfId="162"/>
    <tableColumn id="2" xr3:uid="{7F2FD0DE-1EBD-4A25-9AB2-8B2FD2016437}" name="Month" dataDxfId="161" totalsRowDxfId="160"/>
    <tableColumn id="3" xr3:uid="{C1637A1C-51D7-4EF1-B132-362CD3F92571}" name="Day" dataDxfId="159" totalsRowDxfId="158"/>
    <tableColumn id="4" xr3:uid="{96485EE2-5F0F-4FA0-B939-E32C66C44C7A}" name="Type" dataDxfId="157" totalsRowDxfId="156"/>
    <tableColumn id="5" xr3:uid="{4F0FBA5D-D369-4B9F-89AE-FEDEFC370AFE}" name="Reg" dataDxfId="155" totalsRowDxfId="154"/>
    <tableColumn id="6" xr3:uid="{0E4DB6A7-0018-4A8F-AFD7-61529B568497}" name="PIC" totalsRowLabel="Grand Total Flying Hours" dataDxfId="153" totalsRowDxfId="152"/>
    <tableColumn id="7" xr3:uid="{7D9307E7-1F1E-42B0-9A4E-D7903D4B651E}" name="Other Pilot or Crew" totalsRowFunction="custom" dataDxfId="151" totalsRowDxfId="150">
      <totalsRowFormula>SUM(Logbook[[#Totals],[SeIcusDay]:[CopilotNight]])</totalsRowFormula>
    </tableColumn>
    <tableColumn id="8" xr3:uid="{31D773BB-578B-40B8-893F-1BAA29E6024F}" name="Details" totalsRowLabel="TOTALS:" dataDxfId="149" totalsRowDxfId="148"/>
    <tableColumn id="9" xr3:uid="{C53B3FE9-B5B3-4FE4-9D2F-CC5CB5F157FB}" name="Custom 1" totalsRowFunction="sum" dataDxfId="147" totalsRowDxfId="146"/>
    <tableColumn id="10" xr3:uid="{D4DF1EA3-5D43-434F-AEBE-A605D9FFD457}" name="Custom 2" totalsRowFunction="sum" dataDxfId="145" totalsRowDxfId="144"/>
    <tableColumn id="11" xr3:uid="{741C7510-6E1A-49A3-9C9E-E42097510CEC}" name="Custom 3" totalsRowFunction="sum" dataDxfId="143" totalsRowDxfId="142"/>
    <tableColumn id="57" xr3:uid="{4E4B2A2B-F980-49E5-9F31-D9E96FB9A587}" name="Custom 4" totalsRowFunction="sum" dataDxfId="141" totalsRowDxfId="140"/>
    <tableColumn id="12" xr3:uid="{EC4A1A18-0A2D-49AC-BFCD-E01030F64888}" name="SeIcusDay" totalsRowFunction="sum" dataDxfId="139" totalsRowDxfId="138"/>
    <tableColumn id="13" xr3:uid="{40EA09A9-61CC-4653-B74B-0553995DCA63}" name="SeIcusNight" totalsRowFunction="sum" dataDxfId="137" totalsRowDxfId="136"/>
    <tableColumn id="14" xr3:uid="{482A4ED7-9580-4817-A603-06ECE9BF848E}" name="SeDualDay" totalsRowFunction="sum" dataDxfId="135" totalsRowDxfId="134"/>
    <tableColumn id="15" xr3:uid="{ECD3AC03-3033-4736-ACF4-108BA4CADCA9}" name="SeDualNight" totalsRowFunction="sum" dataDxfId="133" totalsRowDxfId="132"/>
    <tableColumn id="16" xr3:uid="{0D5B8F94-E65D-4CF8-BCFB-AB7B435439E4}" name="SeCommandDay" totalsRowFunction="sum" dataDxfId="131" totalsRowDxfId="130"/>
    <tableColumn id="17" xr3:uid="{4A01EC43-EE14-4A57-8790-63AD1C10441E}" name="SeCommandNight" totalsRowFunction="sum" dataDxfId="129" totalsRowDxfId="128"/>
    <tableColumn id="18" xr3:uid="{A2239AA3-C2C3-451B-A2A2-60C04EDEE6F8}" name="MeIcusDay" totalsRowFunction="sum" dataDxfId="127" totalsRowDxfId="126"/>
    <tableColumn id="19" xr3:uid="{ECBDA53E-F388-4471-8A51-D64F6CA99F19}" name="MeIcusNight" totalsRowFunction="sum" dataDxfId="125" totalsRowDxfId="124"/>
    <tableColumn id="20" xr3:uid="{27DA3BE1-5062-4E05-9011-130B57ABC06D}" name="MeDualDay" totalsRowFunction="sum" dataDxfId="123" totalsRowDxfId="122"/>
    <tableColumn id="21" xr3:uid="{29820283-7307-4F78-B87D-C36611B4DDD3}" name="MeDualNight" totalsRowFunction="sum" dataDxfId="121" totalsRowDxfId="120"/>
    <tableColumn id="22" xr3:uid="{152C87A1-34A8-4A96-8523-01A7DF8751C5}" name="MeCommandDay" totalsRowFunction="sum" dataDxfId="119" totalsRowDxfId="118"/>
    <tableColumn id="23" xr3:uid="{61E0C9F1-CFD0-42E5-A7DC-2C41309F344C}" name="MeCommandNight" totalsRowFunction="sum" dataDxfId="117" totalsRowDxfId="116"/>
    <tableColumn id="24" xr3:uid="{ADC4E9A8-C2BB-4203-AD5D-C0E8E6DD1FEF}" name="CopilotDay" totalsRowFunction="sum" dataDxfId="115" totalsRowDxfId="114"/>
    <tableColumn id="25" xr3:uid="{FAA08A34-D45C-4AB5-83C7-9DB2A8B0C2E3}" name="CopilotNight" totalsRowFunction="sum" dataDxfId="113" totalsRowDxfId="112"/>
    <tableColumn id="26" xr3:uid="{2C960429-5AF1-4AB6-A6DC-6DA0D3E44FE8}" name="IfrIf" totalsRowFunction="sum" dataDxfId="111" totalsRowDxfId="110"/>
    <tableColumn id="27" xr3:uid="{FADE530A-F0C4-4ADF-96CA-8E4406906F48}" name="IfrSim" totalsRowFunction="sum" dataDxfId="109" totalsRowDxfId="108"/>
    <tableColumn id="28" xr3:uid="{1ABCF964-1A5D-4D44-94AD-A0AEA9405B55}" name="LandingsDay" totalsRowFunction="sum" dataDxfId="107" totalsRowDxfId="106"/>
    <tableColumn id="29" xr3:uid="{402C33EC-355B-4E27-9EDC-61E77D1949DA}" name="LandingsNight" totalsRowFunction="sum" dataDxfId="105" totalsRowDxfId="104"/>
    <tableColumn id="30" xr3:uid="{B49D717E-472F-4145-9125-1A5E9E338FAD}" name="ILS" totalsRowFunction="sum" dataDxfId="103" totalsRowDxfId="102"/>
    <tableColumn id="31" xr3:uid="{3D63FAA1-0E05-4BEC-9D6B-6D9D19465958}" name="VOR" totalsRowFunction="sum" dataDxfId="101" totalsRowDxfId="100"/>
    <tableColumn id="32" xr3:uid="{00BE2531-4BA9-460D-B922-80C609F07A18}" name="RNAV" totalsRowFunction="sum" dataDxfId="99" totalsRowDxfId="98"/>
    <tableColumn id="33" xr3:uid="{DCC3F16C-616F-41F1-BA39-755856D47AF1}" name="NDB" totalsRowFunction="sum" dataDxfId="97" totalsRowDxfId="96"/>
    <tableColumn id="34" xr3:uid="{19FB5B5C-450E-4FCD-B6AD-F55217E6EEFE}" name="DGA (CDI)" totalsRowFunction="sum" dataDxfId="95" totalsRowDxfId="94"/>
    <tableColumn id="35" xr3:uid="{6D9A8927-28A8-42D9-8C00-39BDAD87B064}" name="DGA (Azi)" totalsRowFunction="sum" dataDxfId="93" totalsRowDxfId="92"/>
    <tableColumn id="36" xr3:uid="{F52CFC91-2462-4865-A135-E24F1A59D2F9}" name="Circling" totalsRowFunction="sum" dataDxfId="91" totalsRowDxfId="90"/>
    <tableColumn id="54" xr3:uid="{FA8413FA-CA54-4EB0-A142-59A7B4A9BE3A}" name="TotalHours" totalsRowFunction="sum" dataDxfId="89" totalsRowDxfId="88">
      <calculatedColumnFormula>SUM(Logbook[[#This Row],[SeIcusDay]:[CopilotNight]])</calculatedColumnFormula>
    </tableColumn>
    <tableColumn id="37" xr3:uid="{6F315B7F-6161-4654-A259-C403C03FD38C}" name="TotalApps" totalsRowFunction="sum" dataDxfId="87" totalsRowDxfId="86">
      <calculatedColumnFormula>SUM(Logbook[[#This Row],[ILS]:[DGA (Azi)]])</calculatedColumnFormula>
    </tableColumn>
    <tableColumn id="38" xr3:uid="{EB70B550-0B85-4E89-BD09-86876B5FA686}" name="IPC" dataDxfId="85" totalsRowDxfId="84">
      <calculatedColumnFormula>IF(ISNUMBER(SEARCH("IPC",Logbook[[#This Row],[Details]])),Logbook[[#This Row],[Date]],IF(ISNUMBER(SEARCH("IR Test",Logbook[[#This Row],[Details]])),Logbook[[#This Row],[Date]],""))</calculatedColumnFormula>
    </tableColumn>
    <tableColumn id="58" xr3:uid="{4A3AA7D6-D8FE-4A34-AB49-48D46694BD24}" name="OPC" dataDxfId="83" totalsRowDxfId="82">
      <calculatedColumnFormula>IF(ISNUMBER(SEARCH("OPC",Logbook[[#This Row],[Details]])),Logbook[[#This Row],[Date]],"")</calculatedColumnFormula>
    </tableColumn>
    <tableColumn id="56" xr3:uid="{89973BFA-087B-4FD2-BCE6-C8F6ECE5E711}" name="Base" dataDxfId="81" totalsRowDxfId="80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79" totalsRowDxfId="78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77" totalsRowDxfId="7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75" totalsRowDxfId="74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73" totalsRowDxfId="72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71" totalsRowDxfId="70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69" totalsRowDxfId="68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67" totalsRowDxfId="66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65" totalsRowDxfId="64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63" totalsRowDxfId="62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1" totalsRowDxfId="60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59" totalsRowDxfId="58"/>
    <tableColumn id="50" xr3:uid="{D904A10A-DC61-4EF5-A0A7-8E4E66C716B2}" name="Cum2D" dataDxfId="57" totalsRowDxfId="5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55" totalsRowDxfId="54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53" totalsRowDxfId="52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51" totalsRowDxfId="50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Table2" displayName="Table2" ref="A1:B25" totalsRowShown="0">
  <autoFilter ref="A1:B25" xr:uid="{D712446C-8C48-46C7-9F47-50F19F8AE840}"/>
  <tableColumns count="2">
    <tableColumn id="1" xr3:uid="{FCCB3704-994E-40FE-A117-B8E5B1521CF2}" name="Stat" dataDxfId="16"/>
    <tableColumn id="2" xr3:uid="{A9D5E41C-6312-45FF-90B7-22D2EDBDB376}" name="Value" dataDxfId="1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4">
  <autoFilter ref="A1:G2" xr:uid="{3F8F1EDB-4A6B-49F1-9AD4-5B2878EB7556}"/>
  <tableColumns count="7">
    <tableColumn id="1" xr3:uid="{C5C0DA8E-6256-4A20-B51F-B4D8363D1D90}" name="DepAirport"/>
    <tableColumn id="2" xr3:uid="{F3D83450-5955-4A1A-8DAE-5D92DF7965A6}" name="ArrAirport"/>
    <tableColumn id="3" xr3:uid="{F98E872C-79C7-434F-BD79-094472FFD233}" name="DepLat">
      <calculatedColumnFormula>IFERROR(INDEX(Airports[Latitude],MATCH(Routes[[#This Row],[DepAirport]],Airports[ICAO],0)),"")</calculatedColumnFormula>
    </tableColumn>
    <tableColumn id="4" xr3:uid="{E1159041-1A14-4F26-830A-B0F6A559B95D}" name="DepLon">
      <calculatedColumnFormula>IFERROR(INDEX(Airports[Longitude],MATCH(Routes[[#This Row],[DepAirport]],Airports[ICAO],0)),"")</calculatedColumnFormula>
    </tableColumn>
    <tableColumn id="5" xr3:uid="{FD3C889A-1EC4-4F55-8588-89B65397B078}" name="ArrLat">
      <calculatedColumnFormula>IFERROR(INDEX(Airports[Latitude],MATCH(Routes[[#This Row],[ArrAirport]],Airports[ICAO],0)),"")</calculatedColumnFormula>
    </tableColumn>
    <tableColumn id="6" xr3:uid="{FF636B41-EC1C-450C-97FE-AE19AC5418FA}" name="ArrLon">
      <calculatedColumnFormula>IFERROR(INDEX(Airports[Longitude],MATCH(Routes[[#This Row],[ArrAirport]],Airports[ICAO],0)),"")</calculatedColumnFormula>
    </tableColumn>
    <tableColumn id="7" xr3:uid="{BB287862-0BA1-4504-8344-AB6913725D12}" name="Distance" dataDxfId="1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12">
  <autoFilter ref="A1:K2594" xr:uid="{E3639FD2-C4E1-48A6-A2A4-DAF413B7EA71}"/>
  <tableColumns count="11">
    <tableColumn id="1" xr3:uid="{6C32B457-C2CF-44AE-9438-ED4D3693F5D1}" name="ICAO"/>
    <tableColumn id="2" xr3:uid="{4E4C6CD0-6A70-461E-85DA-8D27FFBFACCC}" name="Airport"/>
    <tableColumn id="3" xr3:uid="{5B76FCD6-397B-43E4-BA9F-F7B850CAA2EB}" name="Latitude"/>
    <tableColumn id="4" xr3:uid="{164C2A9E-872B-4EE7-B78D-CF620771116F}" name="Longitude"/>
    <tableColumn id="5" xr3:uid="{9DA51986-184F-4042-8498-5C7ECF449997}" name="Three" dataDxfId="11">
      <calculatedColumnFormula>RIGHT(Airports[[#This Row],[ICAO]],3)</calculatedColumnFormula>
    </tableColumn>
    <tableColumn id="6" xr3:uid="{6494C55E-1C81-41AB-91AC-E21F1A6A2679}" name="Two" dataDxfId="10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6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5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F1:AI12" totalsRowShown="0" headerRowDxfId="4">
  <autoFilter ref="AF1:AI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activeCell="A6" sqref="A6"/>
    </sheetView>
  </sheetViews>
  <sheetFormatPr defaultColWidth="0" defaultRowHeight="15" zeroHeight="1" x14ac:dyDescent="0.25"/>
  <cols>
    <col min="1" max="1" width="30" bestFit="1" customWidth="1"/>
    <col min="2" max="3" width="9.140625" customWidth="1"/>
    <col min="4" max="16384" width="9.140625" hidden="1"/>
  </cols>
  <sheetData>
    <row r="1" spans="1:1" x14ac:dyDescent="0.25">
      <c r="A1" s="197" t="s">
        <v>5356</v>
      </c>
    </row>
    <row r="2" spans="1:1" x14ac:dyDescent="0.25">
      <c r="A2" s="197"/>
    </row>
    <row r="3" spans="1:1" x14ac:dyDescent="0.25">
      <c r="A3" s="197"/>
    </row>
    <row r="4" spans="1:1" x14ac:dyDescent="0.25">
      <c r="A4" s="197"/>
    </row>
    <row r="5" spans="1:1" x14ac:dyDescent="0.25">
      <c r="A5" s="197"/>
    </row>
    <row r="6" spans="1:1" x14ac:dyDescent="0.25">
      <c r="A6" s="120" t="s">
        <v>5357</v>
      </c>
    </row>
    <row r="8" spans="1:1" hidden="1" x14ac:dyDescent="0.25">
      <c r="A8" s="156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zoomScaleNormal="100" workbookViewId="0">
      <selection activeCell="F4" sqref="F4"/>
    </sheetView>
  </sheetViews>
  <sheetFormatPr defaultColWidth="0" defaultRowHeight="15" zeroHeight="1" x14ac:dyDescent="0.25"/>
  <cols>
    <col min="1" max="1" width="3.42578125" style="140" customWidth="1"/>
    <col min="2" max="2" width="11.5703125" style="140" hidden="1" customWidth="1"/>
    <col min="3" max="3" width="5.140625" style="140" bestFit="1" customWidth="1"/>
    <col min="4" max="4" width="7" style="140" bestFit="1" customWidth="1"/>
    <col min="5" max="5" width="4.5703125" style="140" customWidth="1"/>
    <col min="6" max="7" width="8.7109375" style="140" customWidth="1"/>
    <col min="8" max="8" width="18.28515625" style="140" bestFit="1" customWidth="1"/>
    <col min="9" max="9" width="8.7109375" style="140" customWidth="1"/>
    <col min="10" max="10" width="38.42578125" style="140" customWidth="1"/>
    <col min="11" max="14" width="9.42578125" style="144" bestFit="1" customWidth="1"/>
    <col min="15" max="30" width="8.7109375" style="144" customWidth="1"/>
    <col min="31" max="36" width="8.7109375" style="140" customWidth="1"/>
    <col min="37" max="37" width="9.42578125" style="140" bestFit="1" customWidth="1"/>
    <col min="38" max="38" width="9.140625" style="140" bestFit="1" customWidth="1"/>
    <col min="39" max="39" width="8.7109375" style="140" customWidth="1"/>
    <col min="40" max="40" width="3.7109375" style="140" customWidth="1"/>
    <col min="41" max="41" width="8.7109375" style="140" hidden="1" customWidth="1"/>
    <col min="42" max="42" width="23" style="140" hidden="1" customWidth="1"/>
    <col min="43" max="43" width="8.7109375" style="140" hidden="1" customWidth="1"/>
    <col min="44" max="44" width="23" style="140" hidden="1" customWidth="1"/>
    <col min="45" max="16384" width="8.7109375" style="140" hidden="1"/>
  </cols>
  <sheetData>
    <row r="1" spans="1:39" ht="14.45" customHeight="1" x14ac:dyDescent="0.25">
      <c r="A1" s="139"/>
      <c r="B1" s="186" t="s">
        <v>61</v>
      </c>
      <c r="C1" s="195" t="s">
        <v>61</v>
      </c>
      <c r="D1" s="175"/>
      <c r="E1" s="184"/>
      <c r="F1" s="174" t="s">
        <v>1</v>
      </c>
      <c r="G1" s="184"/>
      <c r="H1" s="189" t="s">
        <v>2</v>
      </c>
      <c r="I1" s="192" t="s">
        <v>3</v>
      </c>
      <c r="J1" s="189" t="s">
        <v>4</v>
      </c>
      <c r="K1" s="174" t="s">
        <v>5354</v>
      </c>
      <c r="L1" s="175"/>
      <c r="M1" s="175"/>
      <c r="N1" s="184"/>
      <c r="O1" s="181" t="s">
        <v>5</v>
      </c>
      <c r="P1" s="181"/>
      <c r="Q1" s="181"/>
      <c r="R1" s="181"/>
      <c r="S1" s="181"/>
      <c r="T1" s="181"/>
      <c r="U1" s="181" t="s">
        <v>6</v>
      </c>
      <c r="V1" s="181"/>
      <c r="W1" s="181"/>
      <c r="X1" s="181"/>
      <c r="Y1" s="181"/>
      <c r="Z1" s="181"/>
      <c r="AA1" s="174" t="s">
        <v>13</v>
      </c>
      <c r="AB1" s="184"/>
      <c r="AC1" s="181" t="s">
        <v>7</v>
      </c>
      <c r="AD1" s="181"/>
      <c r="AE1" s="181" t="s">
        <v>8</v>
      </c>
      <c r="AF1" s="181"/>
      <c r="AG1" s="174" t="s">
        <v>9</v>
      </c>
      <c r="AH1" s="175"/>
      <c r="AI1" s="175"/>
      <c r="AJ1" s="175"/>
      <c r="AK1" s="175"/>
      <c r="AL1" s="175"/>
      <c r="AM1" s="176"/>
    </row>
    <row r="2" spans="1:39" x14ac:dyDescent="0.25">
      <c r="A2" s="139"/>
      <c r="B2" s="187"/>
      <c r="C2" s="196"/>
      <c r="D2" s="178"/>
      <c r="E2" s="185"/>
      <c r="F2" s="177"/>
      <c r="G2" s="185"/>
      <c r="H2" s="190"/>
      <c r="I2" s="193"/>
      <c r="J2" s="190"/>
      <c r="K2" s="177"/>
      <c r="L2" s="178"/>
      <c r="M2" s="178"/>
      <c r="N2" s="185"/>
      <c r="O2" s="180" t="s">
        <v>10</v>
      </c>
      <c r="P2" s="180"/>
      <c r="Q2" s="180" t="s">
        <v>11</v>
      </c>
      <c r="R2" s="180"/>
      <c r="S2" s="180" t="s">
        <v>12</v>
      </c>
      <c r="T2" s="180"/>
      <c r="U2" s="180" t="s">
        <v>10</v>
      </c>
      <c r="V2" s="180"/>
      <c r="W2" s="180" t="s">
        <v>11</v>
      </c>
      <c r="X2" s="180"/>
      <c r="Y2" s="180" t="s">
        <v>12</v>
      </c>
      <c r="Z2" s="180"/>
      <c r="AA2" s="177"/>
      <c r="AB2" s="185"/>
      <c r="AC2" s="180" t="s">
        <v>14</v>
      </c>
      <c r="AD2" s="180" t="s">
        <v>15</v>
      </c>
      <c r="AE2" s="180"/>
      <c r="AF2" s="180"/>
      <c r="AG2" s="177"/>
      <c r="AH2" s="178"/>
      <c r="AI2" s="178"/>
      <c r="AJ2" s="178"/>
      <c r="AK2" s="178"/>
      <c r="AL2" s="178"/>
      <c r="AM2" s="179"/>
    </row>
    <row r="3" spans="1:39" x14ac:dyDescent="0.25">
      <c r="A3" s="139"/>
      <c r="B3" s="188"/>
      <c r="C3" s="123" t="s">
        <v>0</v>
      </c>
      <c r="D3" s="64" t="s">
        <v>16</v>
      </c>
      <c r="E3" s="64" t="s">
        <v>17</v>
      </c>
      <c r="F3" s="63" t="s">
        <v>18</v>
      </c>
      <c r="G3" s="63" t="s">
        <v>19</v>
      </c>
      <c r="H3" s="191"/>
      <c r="I3" s="194"/>
      <c r="J3" s="191"/>
      <c r="K3" s="119" t="str">
        <f>Logbook[[#Headers],[Custom 1]]</f>
        <v>Custom 1</v>
      </c>
      <c r="L3" s="119" t="str">
        <f>Logbook[[#Headers],[Custom 2]]</f>
        <v>Custom 2</v>
      </c>
      <c r="M3" s="119" t="str">
        <f>Logbook[[#Headers],[Custom 3]]</f>
        <v>Custom 3</v>
      </c>
      <c r="N3" s="119" t="str">
        <f>Logbook[[#Headers],[Custom 4]]</f>
        <v>Custom 4</v>
      </c>
      <c r="O3" s="63" t="s">
        <v>17</v>
      </c>
      <c r="P3" s="63" t="s">
        <v>20</v>
      </c>
      <c r="Q3" s="63" t="s">
        <v>17</v>
      </c>
      <c r="R3" s="63" t="s">
        <v>20</v>
      </c>
      <c r="S3" s="63" t="s">
        <v>17</v>
      </c>
      <c r="T3" s="63" t="s">
        <v>20</v>
      </c>
      <c r="U3" s="63" t="s">
        <v>17</v>
      </c>
      <c r="V3" s="63" t="s">
        <v>20</v>
      </c>
      <c r="W3" s="63" t="s">
        <v>17</v>
      </c>
      <c r="X3" s="63" t="s">
        <v>20</v>
      </c>
      <c r="Y3" s="63" t="s">
        <v>17</v>
      </c>
      <c r="Z3" s="63" t="s">
        <v>20</v>
      </c>
      <c r="AA3" s="63" t="s">
        <v>17</v>
      </c>
      <c r="AB3" s="63" t="s">
        <v>20</v>
      </c>
      <c r="AC3" s="180"/>
      <c r="AD3" s="180"/>
      <c r="AE3" s="61" t="s">
        <v>17</v>
      </c>
      <c r="AF3" s="63" t="s">
        <v>20</v>
      </c>
      <c r="AG3" s="62" t="s">
        <v>21</v>
      </c>
      <c r="AH3" s="63" t="s">
        <v>22</v>
      </c>
      <c r="AI3" s="62" t="s">
        <v>23</v>
      </c>
      <c r="AJ3" s="63" t="s">
        <v>24</v>
      </c>
      <c r="AK3" s="62" t="s">
        <v>25</v>
      </c>
      <c r="AL3" s="63" t="s">
        <v>26</v>
      </c>
      <c r="AM3" s="124" t="s">
        <v>27</v>
      </c>
    </row>
    <row r="4" spans="1:39" ht="15.75" thickBot="1" x14ac:dyDescent="0.3">
      <c r="A4" s="139"/>
      <c r="B4" s="150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53">
        <v>2026</v>
      </c>
      <c r="D4" s="154" t="s">
        <v>35</v>
      </c>
      <c r="E4" s="155">
        <v>22</v>
      </c>
      <c r="F4" s="125"/>
      <c r="G4" s="125"/>
      <c r="H4" s="125" t="s">
        <v>28</v>
      </c>
      <c r="I4" s="125"/>
      <c r="J4" s="125"/>
      <c r="K4" s="126"/>
      <c r="L4" s="126"/>
      <c r="M4" s="126"/>
      <c r="N4" s="127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5"/>
      <c r="AF4" s="125"/>
      <c r="AG4" s="125"/>
      <c r="AH4" s="125"/>
      <c r="AI4" s="125"/>
      <c r="AJ4" s="125"/>
      <c r="AK4" s="125"/>
      <c r="AL4" s="125"/>
      <c r="AM4" s="128"/>
    </row>
    <row r="5" spans="1:39" x14ac:dyDescent="0.25">
      <c r="B5" s="151"/>
      <c r="C5" s="152"/>
      <c r="D5" s="152"/>
      <c r="E5" s="152"/>
      <c r="F5" s="142"/>
      <c r="G5" s="142"/>
      <c r="H5" s="142"/>
      <c r="I5" s="142"/>
      <c r="J5" s="142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2"/>
      <c r="AF5" s="142"/>
      <c r="AG5" s="142"/>
      <c r="AH5" s="142"/>
      <c r="AI5" s="142"/>
      <c r="AJ5" s="142"/>
      <c r="AK5" s="142"/>
      <c r="AL5" s="142"/>
      <c r="AM5" s="142"/>
    </row>
    <row r="6" spans="1:39" ht="15" customHeight="1" x14ac:dyDescent="0.25">
      <c r="B6" s="141"/>
      <c r="C6" s="182" t="s">
        <v>5364</v>
      </c>
      <c r="D6" s="182"/>
      <c r="E6" s="182"/>
      <c r="F6" s="182"/>
      <c r="G6" s="182"/>
      <c r="H6" s="182"/>
      <c r="I6" s="142"/>
      <c r="J6" s="142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2"/>
      <c r="AF6" s="142"/>
      <c r="AG6" s="142"/>
      <c r="AH6" s="142"/>
      <c r="AI6" s="142"/>
      <c r="AJ6" s="142"/>
      <c r="AK6" s="142"/>
      <c r="AL6" s="142"/>
      <c r="AM6" s="142"/>
    </row>
    <row r="7" spans="1:39" ht="15" customHeight="1" x14ac:dyDescent="0.25">
      <c r="C7" s="183"/>
      <c r="D7" s="183"/>
      <c r="E7" s="183"/>
      <c r="F7" s="183"/>
      <c r="G7" s="183"/>
      <c r="H7" s="183"/>
    </row>
    <row r="8" spans="1:39" x14ac:dyDescent="0.25">
      <c r="C8" s="129"/>
      <c r="D8" s="130"/>
      <c r="E8" s="131" t="s">
        <v>5368</v>
      </c>
      <c r="F8" s="132" t="s">
        <v>5370</v>
      </c>
      <c r="G8" s="130"/>
      <c r="H8" s="133"/>
      <c r="I8" s="145"/>
    </row>
    <row r="9" spans="1:39" x14ac:dyDescent="0.25">
      <c r="C9" s="146"/>
      <c r="D9" s="24"/>
      <c r="E9" s="147" t="s">
        <v>5365</v>
      </c>
      <c r="F9" s="148" t="s">
        <v>5367</v>
      </c>
      <c r="G9" s="24"/>
      <c r="H9" s="149"/>
    </row>
    <row r="10" spans="1:39" x14ac:dyDescent="0.25">
      <c r="C10" s="134"/>
      <c r="D10" s="135"/>
      <c r="E10" s="136" t="s">
        <v>5371</v>
      </c>
      <c r="F10" s="137" t="s">
        <v>5366</v>
      </c>
      <c r="G10" s="135"/>
      <c r="H10" s="138"/>
    </row>
    <row r="11" spans="1:39" x14ac:dyDescent="0.25"/>
  </sheetData>
  <mergeCells count="22">
    <mergeCell ref="C6:H7"/>
    <mergeCell ref="K1:N2"/>
    <mergeCell ref="AA1:AB2"/>
    <mergeCell ref="B1:B3"/>
    <mergeCell ref="J1:J3"/>
    <mergeCell ref="F1:G2"/>
    <mergeCell ref="H1:H3"/>
    <mergeCell ref="I1:I3"/>
    <mergeCell ref="C1:E2"/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</mergeCells>
  <phoneticPr fontId="2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G18"/>
  <sheetViews>
    <sheetView showGridLines="0" tabSelected="1" zoomScaleNormal="100" workbookViewId="0">
      <pane ySplit="4" topLeftCell="A5" activePane="bottomLeft" state="frozen"/>
      <selection pane="bottomLeft" activeCell="A5" sqref="A5"/>
    </sheetView>
  </sheetViews>
  <sheetFormatPr defaultColWidth="0" defaultRowHeight="15" zeroHeight="1" x14ac:dyDescent="0.25"/>
  <cols>
    <col min="1" max="1" width="12.7109375" style="34" customWidth="1"/>
    <col min="2" max="2" width="9.5703125" style="9" bestFit="1" customWidth="1"/>
    <col min="3" max="3" width="11.5703125" style="22" bestFit="1" customWidth="1"/>
    <col min="4" max="4" width="8.85546875" style="39" bestFit="1" customWidth="1"/>
    <col min="5" max="5" width="9.85546875" style="1" bestFit="1" customWidth="1"/>
    <col min="6" max="6" width="8.85546875" style="1" bestFit="1" customWidth="1"/>
    <col min="7" max="7" width="19" style="1" customWidth="1"/>
    <col min="8" max="8" width="22.85546875" style="1" bestFit="1" customWidth="1"/>
    <col min="9" max="9" width="45.85546875" style="1" bestFit="1" customWidth="1"/>
    <col min="10" max="11" width="9.28515625" style="10" customWidth="1"/>
    <col min="12" max="13" width="9.28515625" style="9" customWidth="1"/>
    <col min="14" max="31" width="6.28515625" style="1" customWidth="1"/>
    <col min="32" max="38" width="9.85546875" style="1" customWidth="1"/>
    <col min="39" max="39" width="15.140625" style="10" hidden="1" customWidth="1"/>
    <col min="40" max="40" width="14.42578125" style="5" hidden="1" customWidth="1"/>
    <col min="41" max="42" width="15.5703125" style="9" hidden="1" customWidth="1"/>
    <col min="43" max="43" width="12.140625" style="9" hidden="1" customWidth="1"/>
    <col min="44" max="44" width="16.140625" style="1" hidden="1" customWidth="1"/>
    <col min="45" max="45" width="17.85546875" style="1" hidden="1" customWidth="1"/>
    <col min="46" max="46" width="7.42578125" style="1" hidden="1" customWidth="1"/>
    <col min="47" max="47" width="8.85546875" style="1" hidden="1" customWidth="1"/>
    <col min="48" max="48" width="10.140625" style="1" hidden="1" customWidth="1"/>
    <col min="49" max="49" width="8.85546875" style="1" hidden="1" customWidth="1"/>
    <col min="50" max="50" width="11.140625" style="1" hidden="1" customWidth="1"/>
    <col min="51" max="51" width="11" style="1" hidden="1" customWidth="1"/>
    <col min="52" max="52" width="8.28515625" style="1" hidden="1" customWidth="1"/>
    <col min="53" max="53" width="14" style="1" hidden="1" customWidth="1"/>
    <col min="54" max="54" width="14.7109375" style="1" hidden="1" customWidth="1"/>
    <col min="55" max="56" width="7.42578125" style="1" hidden="1" customWidth="1"/>
    <col min="57" max="57" width="8" style="9" hidden="1" customWidth="1"/>
    <col min="58" max="58" width="8.42578125" style="1" hidden="1" customWidth="1"/>
    <col min="59" max="59" width="3" style="1" customWidth="1"/>
    <col min="60" max="16384" width="9.140625" style="1" hidden="1"/>
  </cols>
  <sheetData>
    <row r="1" spans="1:58" ht="15" customHeight="1" x14ac:dyDescent="0.25">
      <c r="A1" s="217" t="s">
        <v>61</v>
      </c>
      <c r="B1" s="217"/>
      <c r="C1" s="217"/>
      <c r="D1" s="218"/>
      <c r="E1" s="206" t="s">
        <v>1</v>
      </c>
      <c r="F1" s="207"/>
      <c r="G1" s="206" t="s">
        <v>99</v>
      </c>
      <c r="H1" s="207"/>
      <c r="I1" s="205" t="s">
        <v>100</v>
      </c>
      <c r="J1" s="206" t="s">
        <v>5354</v>
      </c>
      <c r="K1" s="210"/>
      <c r="L1" s="210"/>
      <c r="M1" s="207"/>
      <c r="N1" s="204" t="s">
        <v>5</v>
      </c>
      <c r="O1" s="204"/>
      <c r="P1" s="204"/>
      <c r="Q1" s="204"/>
      <c r="R1" s="204"/>
      <c r="S1" s="204"/>
      <c r="T1" s="204" t="s">
        <v>6</v>
      </c>
      <c r="U1" s="204"/>
      <c r="V1" s="204"/>
      <c r="W1" s="204"/>
      <c r="X1" s="204"/>
      <c r="Y1" s="204"/>
      <c r="Z1" s="206" t="s">
        <v>13</v>
      </c>
      <c r="AA1" s="207"/>
      <c r="AB1" s="204" t="s">
        <v>7</v>
      </c>
      <c r="AC1" s="204"/>
      <c r="AD1" s="204" t="s">
        <v>8</v>
      </c>
      <c r="AE1" s="204"/>
      <c r="AF1" s="206" t="s">
        <v>9</v>
      </c>
      <c r="AG1" s="210"/>
      <c r="AH1" s="210"/>
      <c r="AI1" s="210"/>
      <c r="AJ1" s="210"/>
      <c r="AK1" s="210"/>
      <c r="AL1" s="207"/>
      <c r="AM1" s="200" t="s">
        <v>102</v>
      </c>
      <c r="AN1" s="201"/>
      <c r="AO1" s="215" t="s">
        <v>43</v>
      </c>
      <c r="AP1" s="198" t="s">
        <v>5377</v>
      </c>
      <c r="AR1" s="224" t="s">
        <v>44</v>
      </c>
      <c r="AS1" s="225"/>
      <c r="AT1" s="225"/>
      <c r="AU1" s="225"/>
      <c r="AV1" s="225"/>
      <c r="AW1" s="225"/>
      <c r="AX1" s="225"/>
      <c r="AY1" s="225"/>
      <c r="AZ1" s="225"/>
      <c r="BA1" s="225"/>
      <c r="BB1" s="225"/>
      <c r="BC1" s="225"/>
      <c r="BD1" s="225"/>
      <c r="BE1" s="225"/>
      <c r="BF1" s="226"/>
    </row>
    <row r="2" spans="1:58" x14ac:dyDescent="0.25">
      <c r="A2" s="217"/>
      <c r="B2" s="217"/>
      <c r="C2" s="217"/>
      <c r="D2" s="218"/>
      <c r="E2" s="211"/>
      <c r="F2" s="213"/>
      <c r="G2" s="211"/>
      <c r="H2" s="213"/>
      <c r="I2" s="221"/>
      <c r="J2" s="211"/>
      <c r="K2" s="212"/>
      <c r="L2" s="212"/>
      <c r="M2" s="213"/>
      <c r="N2" s="204" t="s">
        <v>10</v>
      </c>
      <c r="O2" s="204"/>
      <c r="P2" s="204" t="s">
        <v>11</v>
      </c>
      <c r="Q2" s="204"/>
      <c r="R2" s="204" t="s">
        <v>12</v>
      </c>
      <c r="S2" s="204"/>
      <c r="T2" s="204" t="s">
        <v>10</v>
      </c>
      <c r="U2" s="204"/>
      <c r="V2" s="204" t="s">
        <v>11</v>
      </c>
      <c r="W2" s="204"/>
      <c r="X2" s="204" t="s">
        <v>12</v>
      </c>
      <c r="Y2" s="204"/>
      <c r="Z2" s="208"/>
      <c r="AA2" s="209"/>
      <c r="AB2" s="204" t="s">
        <v>14</v>
      </c>
      <c r="AC2" s="204" t="s">
        <v>15</v>
      </c>
      <c r="AD2" s="204"/>
      <c r="AE2" s="204"/>
      <c r="AF2" s="208"/>
      <c r="AG2" s="214"/>
      <c r="AH2" s="214"/>
      <c r="AI2" s="214"/>
      <c r="AJ2" s="214"/>
      <c r="AK2" s="214"/>
      <c r="AL2" s="209"/>
      <c r="AM2" s="202"/>
      <c r="AN2" s="203"/>
      <c r="AO2" s="216"/>
      <c r="AP2" s="199"/>
      <c r="AR2" s="224" t="s">
        <v>8</v>
      </c>
      <c r="AS2" s="226"/>
      <c r="AT2" s="224" t="s">
        <v>9</v>
      </c>
      <c r="AU2" s="225"/>
      <c r="AV2" s="225"/>
      <c r="AW2" s="225"/>
      <c r="AX2" s="225"/>
      <c r="AY2" s="225"/>
      <c r="AZ2" s="226"/>
      <c r="BA2" s="227" t="s">
        <v>102</v>
      </c>
      <c r="BB2" s="228"/>
      <c r="BC2" s="231" t="s">
        <v>46</v>
      </c>
      <c r="BD2" s="233" t="s">
        <v>47</v>
      </c>
      <c r="BE2" s="233" t="s">
        <v>48</v>
      </c>
      <c r="BF2" s="222" t="s">
        <v>49</v>
      </c>
    </row>
    <row r="3" spans="1:58" x14ac:dyDescent="0.25">
      <c r="A3" s="113" t="s">
        <v>5343</v>
      </c>
      <c r="B3" s="219" t="s">
        <v>5344</v>
      </c>
      <c r="C3" s="219"/>
      <c r="D3" s="220"/>
      <c r="E3" s="211"/>
      <c r="F3" s="213"/>
      <c r="G3" s="211"/>
      <c r="H3" s="213"/>
      <c r="I3" s="221"/>
      <c r="J3" s="208"/>
      <c r="K3" s="214"/>
      <c r="L3" s="214"/>
      <c r="M3" s="209"/>
      <c r="N3" s="82" t="s">
        <v>17</v>
      </c>
      <c r="O3" s="82" t="s">
        <v>20</v>
      </c>
      <c r="P3" s="82" t="s">
        <v>17</v>
      </c>
      <c r="Q3" s="82" t="s">
        <v>20</v>
      </c>
      <c r="R3" s="82" t="s">
        <v>17</v>
      </c>
      <c r="S3" s="82" t="s">
        <v>20</v>
      </c>
      <c r="T3" s="82" t="s">
        <v>17</v>
      </c>
      <c r="U3" s="82" t="s">
        <v>20</v>
      </c>
      <c r="V3" s="82" t="s">
        <v>17</v>
      </c>
      <c r="W3" s="82" t="s">
        <v>20</v>
      </c>
      <c r="X3" s="82" t="s">
        <v>17</v>
      </c>
      <c r="Y3" s="82" t="s">
        <v>20</v>
      </c>
      <c r="Z3" s="82" t="s">
        <v>17</v>
      </c>
      <c r="AA3" s="82" t="s">
        <v>20</v>
      </c>
      <c r="AB3" s="205"/>
      <c r="AC3" s="205"/>
      <c r="AD3" s="81" t="s">
        <v>17</v>
      </c>
      <c r="AE3" s="82" t="s">
        <v>20</v>
      </c>
      <c r="AF3" s="83" t="s">
        <v>21</v>
      </c>
      <c r="AG3" s="82" t="s">
        <v>22</v>
      </c>
      <c r="AH3" s="83" t="s">
        <v>23</v>
      </c>
      <c r="AI3" s="82" t="s">
        <v>24</v>
      </c>
      <c r="AJ3" s="83" t="s">
        <v>25</v>
      </c>
      <c r="AK3" s="82" t="s">
        <v>26</v>
      </c>
      <c r="AL3" s="82" t="s">
        <v>27</v>
      </c>
      <c r="AM3" s="202"/>
      <c r="AN3" s="203"/>
      <c r="AO3" s="216"/>
      <c r="AP3" s="199"/>
      <c r="AR3" s="27" t="s">
        <v>17</v>
      </c>
      <c r="AS3" s="27" t="s">
        <v>20</v>
      </c>
      <c r="AT3" s="27" t="s">
        <v>21</v>
      </c>
      <c r="AU3" s="27" t="s">
        <v>22</v>
      </c>
      <c r="AV3" s="27" t="s">
        <v>23</v>
      </c>
      <c r="AW3" s="27" t="s">
        <v>24</v>
      </c>
      <c r="AX3" s="27" t="s">
        <v>25</v>
      </c>
      <c r="AY3" s="27" t="s">
        <v>26</v>
      </c>
      <c r="AZ3" s="27" t="s">
        <v>27</v>
      </c>
      <c r="BA3" s="229"/>
      <c r="BB3" s="230"/>
      <c r="BC3" s="232"/>
      <c r="BD3" s="234"/>
      <c r="BE3" s="234"/>
      <c r="BF3" s="223"/>
    </row>
    <row r="4" spans="1:58" ht="15" customHeight="1" x14ac:dyDescent="0.25">
      <c r="A4" s="41" t="s">
        <v>61</v>
      </c>
      <c r="B4" s="110" t="s">
        <v>0</v>
      </c>
      <c r="C4" s="91" t="s">
        <v>16</v>
      </c>
      <c r="D4" s="92" t="s">
        <v>17</v>
      </c>
      <c r="E4" s="84" t="s">
        <v>18</v>
      </c>
      <c r="F4" s="84" t="s">
        <v>19</v>
      </c>
      <c r="G4" s="84" t="s">
        <v>2</v>
      </c>
      <c r="H4" s="84" t="s">
        <v>3</v>
      </c>
      <c r="I4" s="84" t="s">
        <v>4</v>
      </c>
      <c r="J4" s="117" t="s">
        <v>5350</v>
      </c>
      <c r="K4" s="117" t="s">
        <v>5351</v>
      </c>
      <c r="L4" s="118" t="s">
        <v>5352</v>
      </c>
      <c r="M4" s="118" t="s">
        <v>5353</v>
      </c>
      <c r="N4" s="161" t="s">
        <v>62</v>
      </c>
      <c r="O4" s="161" t="s">
        <v>63</v>
      </c>
      <c r="P4" s="161" t="s">
        <v>64</v>
      </c>
      <c r="Q4" s="161" t="s">
        <v>65</v>
      </c>
      <c r="R4" s="161" t="s">
        <v>66</v>
      </c>
      <c r="S4" s="161" t="s">
        <v>67</v>
      </c>
      <c r="T4" s="161" t="s">
        <v>68</v>
      </c>
      <c r="U4" s="161" t="s">
        <v>69</v>
      </c>
      <c r="V4" s="161" t="s">
        <v>70</v>
      </c>
      <c r="W4" s="161" t="s">
        <v>71</v>
      </c>
      <c r="X4" s="161" t="s">
        <v>72</v>
      </c>
      <c r="Y4" s="161" t="s">
        <v>73</v>
      </c>
      <c r="Z4" s="161" t="s">
        <v>74</v>
      </c>
      <c r="AA4" s="161" t="s">
        <v>75</v>
      </c>
      <c r="AB4" s="161" t="s">
        <v>76</v>
      </c>
      <c r="AC4" s="161" t="s">
        <v>77</v>
      </c>
      <c r="AD4" s="162" t="s">
        <v>78</v>
      </c>
      <c r="AE4" s="161" t="s">
        <v>79</v>
      </c>
      <c r="AF4" s="163" t="s">
        <v>21</v>
      </c>
      <c r="AG4" s="161" t="s">
        <v>22</v>
      </c>
      <c r="AH4" s="163" t="s">
        <v>23</v>
      </c>
      <c r="AI4" s="161" t="s">
        <v>24</v>
      </c>
      <c r="AJ4" s="163" t="s">
        <v>25</v>
      </c>
      <c r="AK4" s="161" t="s">
        <v>26</v>
      </c>
      <c r="AL4" s="161" t="s">
        <v>27</v>
      </c>
      <c r="AM4" s="52" t="s">
        <v>103</v>
      </c>
      <c r="AN4" s="43" t="s">
        <v>94</v>
      </c>
      <c r="AO4" s="44" t="s">
        <v>43</v>
      </c>
      <c r="AP4" s="44" t="s">
        <v>5377</v>
      </c>
      <c r="AQ4" s="44" t="s">
        <v>5318</v>
      </c>
      <c r="AR4" s="45" t="s">
        <v>80</v>
      </c>
      <c r="AS4" s="45" t="s">
        <v>81</v>
      </c>
      <c r="AT4" s="45" t="s">
        <v>82</v>
      </c>
      <c r="AU4" s="45" t="s">
        <v>83</v>
      </c>
      <c r="AV4" s="45" t="s">
        <v>84</v>
      </c>
      <c r="AW4" s="45" t="s">
        <v>85</v>
      </c>
      <c r="AX4" s="45" t="s">
        <v>86</v>
      </c>
      <c r="AY4" s="45" t="s">
        <v>87</v>
      </c>
      <c r="AZ4" s="45" t="s">
        <v>88</v>
      </c>
      <c r="BA4" s="42" t="s">
        <v>89</v>
      </c>
      <c r="BB4" s="8" t="s">
        <v>119</v>
      </c>
      <c r="BC4" s="29" t="s">
        <v>90</v>
      </c>
      <c r="BD4" s="8" t="s">
        <v>91</v>
      </c>
      <c r="BE4" s="8" t="s">
        <v>92</v>
      </c>
      <c r="BF4" s="53" t="s">
        <v>93</v>
      </c>
    </row>
    <row r="5" spans="1:58" x14ac:dyDescent="0.25">
      <c r="A5" s="10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2">
        <v>2000</v>
      </c>
      <c r="C5" s="105" t="s">
        <v>31</v>
      </c>
      <c r="D5" s="108">
        <v>1</v>
      </c>
      <c r="E5" s="103"/>
      <c r="F5" s="17"/>
      <c r="G5" s="33"/>
      <c r="H5" s="28"/>
      <c r="I5" s="28" t="s">
        <v>5348</v>
      </c>
      <c r="J5" s="30"/>
      <c r="K5" s="30"/>
      <c r="L5" s="30"/>
      <c r="M5" s="78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28"/>
      <c r="AE5" s="28"/>
      <c r="AF5" s="28"/>
      <c r="AG5" s="28"/>
      <c r="AH5" s="28"/>
      <c r="AI5" s="28"/>
      <c r="AJ5" s="28"/>
      <c r="AK5" s="28"/>
      <c r="AL5" s="28"/>
      <c r="AM5" s="30">
        <f>SUM(Logbook[[#This Row],[SeIcusDay]:[CopilotNight]])</f>
        <v>0</v>
      </c>
      <c r="AN5" s="19">
        <f>SUM(Logbook[[#This Row],[ILS]:[DGA (Azi)]])</f>
        <v>0</v>
      </c>
      <c r="AO5" s="32" t="str">
        <f>IF(ISNUMBER(SEARCH("IPC",Logbook[[#This Row],[Details]])),Logbook[[#This Row],[Date]],IF(ISNUMBER(SEARCH("IR Test",Logbook[[#This Row],[Details]])),Logbook[[#This Row],[Date]],""))</f>
        <v/>
      </c>
      <c r="AP5" s="32" t="str">
        <f>IF(ISNUMBER(SEARCH("OPC",Logbook[[#This Row],[Details]])),Logbook[[#This Row],[Date]],"")</f>
        <v/>
      </c>
      <c r="AQ5" s="32" t="str" cm="1">
        <f t="array" ref="AQ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R5" s="20" cm="1">
        <f t="array" aca="1" ref="AR5" ca="1">IF(ROW()=MAX(ROW(Logbook[LandingsDay])), Logbook[[#This Row],[LandingsDay]], Logbook[[#This Row],[LandingsDay]] + OFFSET(INDIRECT(ADDRESS(ROW(),COLUMN())),1,0))</f>
        <v>0</v>
      </c>
      <c r="AS5" s="20" cm="1">
        <f t="array" aca="1" ref="AS5" ca="1">IF(ROW()=MAX(ROW(Logbook[LandingsNight])), Logbook[[#This Row],[LandingsNight]], Logbook[[#This Row],[LandingsNight]] + OFFSET(INDIRECT(ADDRESS(ROW(),COLUMN())),1,0))</f>
        <v>0</v>
      </c>
      <c r="AT5" s="20" cm="1">
        <f t="array" aca="1" ref="AT5" ca="1">IF(ROW()=MAX(ROW(Logbook[ILS])), Logbook[[#This Row],[ILS]], Logbook[[#This Row],[ILS]] + OFFSET(INDIRECT(ADDRESS(ROW(),COLUMN())),1,0))</f>
        <v>0</v>
      </c>
      <c r="AU5" s="20" cm="1">
        <f t="array" aca="1" ref="AU5" ca="1">IF(ROW()=MAX(ROW(Logbook[VOR])), Logbook[[#This Row],[VOR]], Logbook[[#This Row],[VOR]] + OFFSET(INDIRECT(ADDRESS(ROW(),COLUMN())),1,0))</f>
        <v>0</v>
      </c>
      <c r="AV5" s="20" cm="1">
        <f t="array" aca="1" ref="AV5" ca="1">IF(ROW()=MAX(ROW(Logbook[RNAV])), Logbook[[#This Row],[RNAV]], Logbook[[#This Row],[RNAV]] + OFFSET(INDIRECT(ADDRESS(ROW(),COLUMN())),1,0))</f>
        <v>0</v>
      </c>
      <c r="AW5" s="20" cm="1">
        <f t="array" aca="1" ref="AW5" ca="1">IF(ROW()=MAX(ROW(Logbook[NDB])), Logbook[[#This Row],[NDB]], Logbook[[#This Row],[NDB]] + OFFSET(INDIRECT(ADDRESS(ROW(),COLUMN())),1,0))</f>
        <v>0</v>
      </c>
      <c r="AX5" s="20" cm="1">
        <f t="array" aca="1" ref="AX5" ca="1">IF(ROW()=MAX(ROW(Logbook[DGA (CDI)])), Logbook[[#This Row],[DGA (CDI)]], Logbook[[#This Row],[DGA (CDI)]] + OFFSET(INDIRECT(ADDRESS(ROW(),COLUMN())),1,0))</f>
        <v>0</v>
      </c>
      <c r="AY5" s="20" cm="1">
        <f t="array" aca="1" ref="AY5" ca="1">IF(ROW()=MAX(ROW(Logbook[DGA (Azi)])), Logbook[[#This Row],[DGA (Azi)]], Logbook[[#This Row],[DGA (Azi)]] + OFFSET(INDIRECT(ADDRESS(ROW(),COLUMN())),1,0))</f>
        <v>0</v>
      </c>
      <c r="AZ5" s="20" cm="1">
        <f t="array" aca="1" ref="AZ5" ca="1">IF(ROW()=MAX(ROW(Logbook[Circling])), Logbook[[#This Row],[Circling]], Logbook[[#This Row],[Circling]] + OFFSET(INDIRECT(ADDRESS(ROW(),COLUMN())),1,0))</f>
        <v>0</v>
      </c>
      <c r="BA5" s="20" cm="1">
        <f t="array" aca="1" ref="BA5" ca="1">IF(ROW()=MAX(ROW(Logbook[TotalApps])), Logbook[[#This Row],[TotalApps]], Logbook[[#This Row],[TotalApps]] + OFFSET(INDIRECT(ADDRESS(ROW(),COLUMN())),1,0))</f>
        <v>0</v>
      </c>
      <c r="BB5" s="4">
        <f>SUM(INDEX(Logbook[TotalHours],1):Logbook[[#This Row],[TotalHours]])</f>
        <v>0</v>
      </c>
      <c r="BC5" s="21" cm="1">
        <f t="array" aca="1" ref="BC5" ca="1">IF(ROW()=MAX(ROW(Logbook[VOR])), SUM(Logbook[[#This Row],[VOR]:[DGA (Azi)]]), SUM(Logbook[[#This Row],[VOR]:[DGA (Azi)]]) + OFFSET(INDIRECT(ADDRESS(ROW(),COLUMN())),1,0))</f>
        <v>0</v>
      </c>
      <c r="BD5" s="20" cm="1">
        <f t="array" aca="1" ref="BD5" ca="1">IF(ROW()=MAX(ROW(Logbook[ILS])), Logbook[[#This Row],[ILS]], Logbook[[#This Row],[ILS]] + OFFSET(INDIRECT(ADDRESS(ROW(),COLUMN())),1,0))</f>
        <v>0</v>
      </c>
      <c r="BE5" s="21" cm="1">
        <f t="array" aca="1" ref="BE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F5" s="172" cm="1">
        <f t="array" aca="1" ref="BF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8" ht="15.75" thickBot="1" x14ac:dyDescent="0.3">
      <c r="A6" s="10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2">
        <v>2010</v>
      </c>
      <c r="C6" s="112" t="s">
        <v>31</v>
      </c>
      <c r="D6" s="109">
        <v>2</v>
      </c>
      <c r="E6" s="106"/>
      <c r="F6" s="107"/>
      <c r="G6" s="33"/>
      <c r="H6" s="28"/>
      <c r="I6" s="116" t="s">
        <v>5349</v>
      </c>
      <c r="J6" s="30"/>
      <c r="K6" s="30"/>
      <c r="L6" s="30"/>
      <c r="M6" s="78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28"/>
      <c r="AE6" s="28"/>
      <c r="AF6" s="28"/>
      <c r="AG6" s="28"/>
      <c r="AH6" s="28"/>
      <c r="AI6" s="28"/>
      <c r="AJ6" s="28"/>
      <c r="AK6" s="28"/>
      <c r="AL6" s="28"/>
      <c r="AM6" s="30">
        <f>SUM(Logbook[[#This Row],[SeIcusDay]:[CopilotNight]])</f>
        <v>0</v>
      </c>
      <c r="AN6" s="19">
        <f>SUM(Logbook[[#This Row],[ILS]:[DGA (Azi)]])</f>
        <v>0</v>
      </c>
      <c r="AO6" s="32" t="str">
        <f>IF(ISNUMBER(SEARCH("IPC",Logbook[[#This Row],[Details]])),Logbook[[#This Row],[Date]],IF(ISNUMBER(SEARCH("IR Test",Logbook[[#This Row],[Details]])),Logbook[[#This Row],[Date]],""))</f>
        <v/>
      </c>
      <c r="AP6" s="32" t="str">
        <f>IF(ISNUMBER(SEARCH("OPC",Logbook[[#This Row],[Details]])),Logbook[[#This Row],[Date]],"")</f>
        <v/>
      </c>
      <c r="AQ6" s="32" t="str" cm="1">
        <f t="array" ref="AQ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R6" s="20" cm="1">
        <f t="array" aca="1" ref="AR6" ca="1">IF(ROW()=MAX(ROW(Logbook[LandingsDay])), Logbook[[#This Row],[LandingsDay]], Logbook[[#This Row],[LandingsDay]] + OFFSET(INDIRECT(ADDRESS(ROW(),COLUMN())),1,0))</f>
        <v>0</v>
      </c>
      <c r="AS6" s="20" cm="1">
        <f t="array" aca="1" ref="AS6" ca="1">IF(ROW()=MAX(ROW(Logbook[LandingsNight])), Logbook[[#This Row],[LandingsNight]], Logbook[[#This Row],[LandingsNight]] + OFFSET(INDIRECT(ADDRESS(ROW(),COLUMN())),1,0))</f>
        <v>0</v>
      </c>
      <c r="AT6" s="20" cm="1">
        <f t="array" aca="1" ref="AT6" ca="1">IF(ROW()=MAX(ROW(Logbook[ILS])), Logbook[[#This Row],[ILS]], Logbook[[#This Row],[ILS]] + OFFSET(INDIRECT(ADDRESS(ROW(),COLUMN())),1,0))</f>
        <v>0</v>
      </c>
      <c r="AU6" s="20" cm="1">
        <f t="array" aca="1" ref="AU6" ca="1">IF(ROW()=MAX(ROW(Logbook[VOR])), Logbook[[#This Row],[VOR]], Logbook[[#This Row],[VOR]] + OFFSET(INDIRECT(ADDRESS(ROW(),COLUMN())),1,0))</f>
        <v>0</v>
      </c>
      <c r="AV6" s="20" cm="1">
        <f t="array" aca="1" ref="AV6" ca="1">IF(ROW()=MAX(ROW(Logbook[RNAV])), Logbook[[#This Row],[RNAV]], Logbook[[#This Row],[RNAV]] + OFFSET(INDIRECT(ADDRESS(ROW(),COLUMN())),1,0))</f>
        <v>0</v>
      </c>
      <c r="AW6" s="20" cm="1">
        <f t="array" aca="1" ref="AW6" ca="1">IF(ROW()=MAX(ROW(Logbook[NDB])), Logbook[[#This Row],[NDB]], Logbook[[#This Row],[NDB]] + OFFSET(INDIRECT(ADDRESS(ROW(),COLUMN())),1,0))</f>
        <v>0</v>
      </c>
      <c r="AX6" s="20" cm="1">
        <f t="array" aca="1" ref="AX6" ca="1">IF(ROW()=MAX(ROW(Logbook[DGA (CDI)])), Logbook[[#This Row],[DGA (CDI)]], Logbook[[#This Row],[DGA (CDI)]] + OFFSET(INDIRECT(ADDRESS(ROW(),COLUMN())),1,0))</f>
        <v>0</v>
      </c>
      <c r="AY6" s="20" cm="1">
        <f t="array" aca="1" ref="AY6" ca="1">IF(ROW()=MAX(ROW(Logbook[DGA (Azi)])), Logbook[[#This Row],[DGA (Azi)]], Logbook[[#This Row],[DGA (Azi)]] + OFFSET(INDIRECT(ADDRESS(ROW(),COLUMN())),1,0))</f>
        <v>0</v>
      </c>
      <c r="AZ6" s="20" cm="1">
        <f t="array" aca="1" ref="AZ6" ca="1">IF(ROW()=MAX(ROW(Logbook[Circling])), Logbook[[#This Row],[Circling]], Logbook[[#This Row],[Circling]] + OFFSET(INDIRECT(ADDRESS(ROW(),COLUMN())),1,0))</f>
        <v>0</v>
      </c>
      <c r="BA6" s="20" cm="1">
        <f t="array" aca="1" ref="BA6" ca="1">IF(ROW()=MAX(ROW(Logbook[TotalApps])), Logbook[[#This Row],[TotalApps]], Logbook[[#This Row],[TotalApps]] + OFFSET(INDIRECT(ADDRESS(ROW(),COLUMN())),1,0))</f>
        <v>0</v>
      </c>
      <c r="BB6" s="4">
        <f>SUM(INDEX(Logbook[TotalHours],1):Logbook[[#This Row],[TotalHours]])</f>
        <v>0</v>
      </c>
      <c r="BC6" s="21" cm="1">
        <f t="array" aca="1" ref="BC6" ca="1">IF(ROW()=MAX(ROW(Logbook[VOR])), SUM(Logbook[[#This Row],[VOR]:[DGA (Azi)]]), SUM(Logbook[[#This Row],[VOR]:[DGA (Azi)]]) + OFFSET(INDIRECT(ADDRESS(ROW(),COLUMN())),1,0))</f>
        <v>0</v>
      </c>
      <c r="BD6" s="20" cm="1">
        <f t="array" aca="1" ref="BD6" ca="1">IF(ROW()=MAX(ROW(Logbook[ILS])), Logbook[[#This Row],[ILS]], Logbook[[#This Row],[ILS]] + OFFSET(INDIRECT(ADDRESS(ROW(),COLUMN())),1,0))</f>
        <v>0</v>
      </c>
      <c r="BE6" s="21" cm="1">
        <f t="array" aca="1" ref="BE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F6" s="172" cm="1">
        <f t="array" aca="1" ref="BF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8" x14ac:dyDescent="0.25">
      <c r="A7" s="96"/>
      <c r="B7" s="111"/>
      <c r="C7" s="97"/>
      <c r="D7" s="98"/>
      <c r="E7" s="99"/>
      <c r="F7" s="93"/>
      <c r="G7" s="94" t="s">
        <v>29</v>
      </c>
      <c r="H7" s="95">
        <f>SUM(Logbook[[#Totals],[SeIcusDay]:[CopilotNight]])</f>
        <v>0</v>
      </c>
      <c r="I7" s="100" t="s">
        <v>98</v>
      </c>
      <c r="J7" s="101">
        <f>SUBTOTAL(109,Logbook[Custom 1])</f>
        <v>0</v>
      </c>
      <c r="K7" s="101">
        <f>SUBTOTAL(109,Logbook[Custom 2])</f>
        <v>0</v>
      </c>
      <c r="L7" s="101">
        <f>SUBTOTAL(109,Logbook[Custom 3])</f>
        <v>0</v>
      </c>
      <c r="M7" s="102">
        <f>SUBTOTAL(109,Logbook[Custom 4])</f>
        <v>0</v>
      </c>
      <c r="N7" s="101">
        <f>SUBTOTAL(109,Logbook[SeIcusDay])</f>
        <v>0</v>
      </c>
      <c r="O7" s="101">
        <f>SUBTOTAL(109,Logbook[SeIcusNight])</f>
        <v>0</v>
      </c>
      <c r="P7" s="101">
        <f>SUBTOTAL(109,Logbook[SeDualDay])</f>
        <v>0</v>
      </c>
      <c r="Q7" s="101">
        <f>SUBTOTAL(109,Logbook[SeDualNight])</f>
        <v>0</v>
      </c>
      <c r="R7" s="101">
        <f>SUBTOTAL(109,Logbook[SeCommandDay])</f>
        <v>0</v>
      </c>
      <c r="S7" s="101">
        <f>SUBTOTAL(109,Logbook[SeCommandNight])</f>
        <v>0</v>
      </c>
      <c r="T7" s="101">
        <f>SUBTOTAL(109,Logbook[MeIcusDay])</f>
        <v>0</v>
      </c>
      <c r="U7" s="101">
        <f>SUBTOTAL(109,Logbook[MeIcusNight])</f>
        <v>0</v>
      </c>
      <c r="V7" s="101">
        <f>SUBTOTAL(109,Logbook[MeDualDay])</f>
        <v>0</v>
      </c>
      <c r="W7" s="101">
        <f>SUBTOTAL(109,Logbook[MeDualNight])</f>
        <v>0</v>
      </c>
      <c r="X7" s="101">
        <f>SUBTOTAL(109,Logbook[MeCommandDay])</f>
        <v>0</v>
      </c>
      <c r="Y7" s="101">
        <f>SUBTOTAL(109,Logbook[MeCommandNight])</f>
        <v>0</v>
      </c>
      <c r="Z7" s="101">
        <f>SUBTOTAL(109,Logbook[CopilotDay])</f>
        <v>0</v>
      </c>
      <c r="AA7" s="101">
        <f>SUBTOTAL(109,Logbook[CopilotNight])</f>
        <v>0</v>
      </c>
      <c r="AB7" s="101">
        <f>SUBTOTAL(109,Logbook[IfrIf])</f>
        <v>0</v>
      </c>
      <c r="AC7" s="101">
        <f>SUBTOTAL(109,Logbook[IfrSim])</f>
        <v>0</v>
      </c>
      <c r="AD7" s="102">
        <f>SUBTOTAL(109,Logbook[LandingsDay])</f>
        <v>0</v>
      </c>
      <c r="AE7" s="102">
        <f>SUBTOTAL(109,Logbook[LandingsNight])</f>
        <v>0</v>
      </c>
      <c r="AF7" s="102">
        <f>SUBTOTAL(109,Logbook[ILS])</f>
        <v>0</v>
      </c>
      <c r="AG7" s="102">
        <f>SUBTOTAL(109,Logbook[VOR])</f>
        <v>0</v>
      </c>
      <c r="AH7" s="102">
        <f>SUBTOTAL(109,Logbook[RNAV])</f>
        <v>0</v>
      </c>
      <c r="AI7" s="102">
        <f>SUBTOTAL(109,Logbook[NDB])</f>
        <v>0</v>
      </c>
      <c r="AJ7" s="102">
        <f>SUBTOTAL(109,Logbook[DGA (CDI)])</f>
        <v>0</v>
      </c>
      <c r="AK7" s="102">
        <f>SUBTOTAL(109,Logbook[DGA (Azi)])</f>
        <v>0</v>
      </c>
      <c r="AL7" s="102">
        <f>SUBTOTAL(109,Logbook[Circling])</f>
        <v>0</v>
      </c>
      <c r="AM7" s="49">
        <f>SUBTOTAL(109,Logbook[TotalHours])</f>
        <v>0</v>
      </c>
      <c r="AN7" s="48">
        <f>SUBTOTAL(109,Logbook[TotalApps])</f>
        <v>0</v>
      </c>
      <c r="AO7" s="46"/>
      <c r="AP7" s="46"/>
      <c r="AQ7" s="46"/>
      <c r="AR7" s="47"/>
      <c r="AS7" s="47"/>
      <c r="AT7" s="47"/>
      <c r="AU7" s="47"/>
      <c r="AV7" s="47"/>
      <c r="AW7" s="47"/>
      <c r="AX7" s="47"/>
      <c r="AY7" s="47"/>
      <c r="AZ7" s="47"/>
      <c r="BA7" s="46"/>
      <c r="BB7" s="47"/>
      <c r="BC7" s="47"/>
      <c r="BD7" s="47"/>
      <c r="BE7" s="47"/>
      <c r="BF7" s="50"/>
    </row>
    <row r="8" spans="1:58" ht="15.75" thickBot="1" x14ac:dyDescent="0.3">
      <c r="E8" s="14"/>
      <c r="F8" s="35"/>
      <c r="G8" s="36" t="s">
        <v>30</v>
      </c>
      <c r="H8" s="37">
        <f>Logbook[[#Totals],[Other Pilot or Crew]]+Logbook[[#Totals],[IfrSim]]</f>
        <v>0</v>
      </c>
      <c r="I8" s="14"/>
      <c r="J8" s="16"/>
      <c r="K8" s="16"/>
      <c r="L8" s="79"/>
      <c r="M8" s="79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58" x14ac:dyDescent="0.25">
      <c r="I9" s="12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58" hidden="1" x14ac:dyDescent="0.25">
      <c r="I10" s="12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58" hidden="1" x14ac:dyDescent="0.25">
      <c r="I11" s="12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58" hidden="1" x14ac:dyDescent="0.25">
      <c r="I12" s="12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58" hidden="1" x14ac:dyDescent="0.25">
      <c r="I13" s="26"/>
      <c r="J13" s="26"/>
      <c r="K13" s="26"/>
      <c r="L13" s="80"/>
      <c r="M13" s="80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</row>
    <row r="14" spans="1:58" hidden="1" x14ac:dyDescent="0.25">
      <c r="C14" s="38"/>
      <c r="D14" s="40"/>
      <c r="E14" s="26"/>
      <c r="F14" s="26"/>
      <c r="G14" s="26"/>
      <c r="H14" s="26"/>
      <c r="I14" s="26"/>
      <c r="J14" s="26"/>
      <c r="K14" s="26"/>
      <c r="L14" s="80"/>
      <c r="M14" s="80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</row>
    <row r="15" spans="1:58" hidden="1" x14ac:dyDescent="0.25">
      <c r="C15" s="38"/>
      <c r="D15" s="40"/>
      <c r="E15" s="26"/>
      <c r="F15" s="26"/>
      <c r="G15" s="26"/>
      <c r="H15" s="26"/>
      <c r="I15" s="26"/>
      <c r="J15" s="26"/>
      <c r="K15" s="26"/>
      <c r="L15" s="80"/>
      <c r="M15" s="80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</row>
    <row r="16" spans="1:58" hidden="1" x14ac:dyDescent="0.25">
      <c r="C16" s="38"/>
      <c r="D16" s="40"/>
      <c r="E16" s="26"/>
      <c r="F16" s="26"/>
      <c r="G16" s="26"/>
      <c r="H16" s="26"/>
      <c r="I16" s="26"/>
      <c r="J16" s="26"/>
      <c r="K16" s="26"/>
      <c r="L16" s="80"/>
      <c r="M16" s="80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</row>
    <row r="17" spans="3:30" hidden="1" x14ac:dyDescent="0.25">
      <c r="C17" s="38"/>
      <c r="D17" s="40"/>
      <c r="E17" s="26"/>
      <c r="F17" s="26"/>
      <c r="G17" s="26"/>
      <c r="H17" s="26"/>
      <c r="I17" s="26"/>
      <c r="J17" s="26"/>
      <c r="K17" s="26"/>
      <c r="L17" s="80"/>
      <c r="M17" s="80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</row>
    <row r="18" spans="3:30" hidden="1" x14ac:dyDescent="0.25">
      <c r="C18" s="38"/>
      <c r="D18" s="40"/>
      <c r="E18" s="26"/>
      <c r="F18" s="26"/>
      <c r="G18" s="26"/>
      <c r="H18" s="26"/>
    </row>
  </sheetData>
  <mergeCells count="31">
    <mergeCell ref="BF2:BF3"/>
    <mergeCell ref="AR1:BF1"/>
    <mergeCell ref="AR2:AS2"/>
    <mergeCell ref="AT2:AZ2"/>
    <mergeCell ref="BA2:BB3"/>
    <mergeCell ref="BC2:BC3"/>
    <mergeCell ref="BD2:BD3"/>
    <mergeCell ref="BE2:BE3"/>
    <mergeCell ref="A1:D2"/>
    <mergeCell ref="B3:D3"/>
    <mergeCell ref="E1:F3"/>
    <mergeCell ref="G1:H3"/>
    <mergeCell ref="I1:I3"/>
    <mergeCell ref="J1:M3"/>
    <mergeCell ref="AO1:AO3"/>
    <mergeCell ref="AF1:AL2"/>
    <mergeCell ref="N2:O2"/>
    <mergeCell ref="P2:Q2"/>
    <mergeCell ref="R2:S2"/>
    <mergeCell ref="T2:U2"/>
    <mergeCell ref="V2:W2"/>
    <mergeCell ref="N1:S1"/>
    <mergeCell ref="T1:Y1"/>
    <mergeCell ref="AP1:AP3"/>
    <mergeCell ref="AM1:AN3"/>
    <mergeCell ref="AB1:AC1"/>
    <mergeCell ref="AD1:AE2"/>
    <mergeCell ref="X2:Y2"/>
    <mergeCell ref="AB2:AB3"/>
    <mergeCell ref="AC2:AC3"/>
    <mergeCell ref="Z1:AA2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692D1-B4BA-416D-97E7-7E436089C0F7}">
  <sheetPr codeName="Sheet17">
    <tabColor theme="7" tint="0.59999389629810485"/>
  </sheetPr>
  <dimension ref="A1:AH35"/>
  <sheetViews>
    <sheetView showGridLines="0" zoomScaleNormal="100" workbookViewId="0">
      <selection activeCell="P7" sqref="P7"/>
    </sheetView>
  </sheetViews>
  <sheetFormatPr defaultColWidth="0" defaultRowHeight="15" zeroHeight="1" x14ac:dyDescent="0.25"/>
  <cols>
    <col min="1" max="1" width="32.7109375" bestFit="1" customWidth="1"/>
    <col min="2" max="2" width="13.42578125" bestFit="1" customWidth="1"/>
    <col min="3" max="3" width="13.28515625" bestFit="1" customWidth="1"/>
    <col min="4" max="4" width="12.28515625" bestFit="1" customWidth="1"/>
    <col min="5" max="5" width="13" customWidth="1"/>
    <col min="6" max="6" width="12.42578125" customWidth="1"/>
    <col min="7" max="7" width="14.28515625" bestFit="1" customWidth="1"/>
    <col min="8" max="9" width="11.28515625" bestFit="1" customWidth="1"/>
    <col min="10" max="11" width="10.7109375" bestFit="1" customWidth="1"/>
    <col min="12" max="12" width="10.7109375" customWidth="1"/>
    <col min="13" max="14" width="10.7109375" bestFit="1" customWidth="1"/>
    <col min="15" max="15" width="9.140625" customWidth="1"/>
    <col min="16" max="16" width="11.140625" customWidth="1"/>
    <col min="17" max="17" width="9.140625" customWidth="1"/>
    <col min="18" max="18" width="3.140625" customWidth="1"/>
    <col min="19" max="19" width="26.28515625" hidden="1" customWidth="1"/>
    <col min="20" max="20" width="10.42578125" hidden="1" customWidth="1"/>
    <col min="21" max="21" width="80" hidden="1" customWidth="1"/>
    <col min="22" max="22" width="3" customWidth="1"/>
    <col min="23" max="23" width="10.42578125" hidden="1" customWidth="1"/>
    <col min="24" max="32" width="8.85546875" hidden="1" customWidth="1"/>
    <col min="33" max="34" width="11.42578125" hidden="1" customWidth="1"/>
    <col min="35" max="16384" width="8.85546875" hidden="1"/>
  </cols>
  <sheetData>
    <row r="1" spans="1:21" x14ac:dyDescent="0.25">
      <c r="A1" s="70" t="s">
        <v>96</v>
      </c>
      <c r="B1" s="236" t="s">
        <v>52</v>
      </c>
      <c r="C1" s="237"/>
      <c r="D1" s="238" t="s">
        <v>53</v>
      </c>
      <c r="E1" s="239"/>
      <c r="F1" s="239"/>
      <c r="G1" s="240"/>
      <c r="H1" s="241" t="s">
        <v>9</v>
      </c>
      <c r="I1" s="242"/>
      <c r="J1" s="242"/>
      <c r="K1" s="242"/>
      <c r="L1" s="242"/>
      <c r="M1" s="242"/>
      <c r="N1" s="243"/>
      <c r="P1" s="206" t="s">
        <v>95</v>
      </c>
      <c r="Q1" s="207"/>
      <c r="S1" s="164" t="s">
        <v>5393</v>
      </c>
      <c r="T1" s="171" t="s">
        <v>123</v>
      </c>
      <c r="U1" s="165" t="s">
        <v>5394</v>
      </c>
    </row>
    <row r="2" spans="1:21" x14ac:dyDescent="0.25">
      <c r="A2" s="71" t="s">
        <v>97</v>
      </c>
      <c r="B2" s="76" t="s">
        <v>17</v>
      </c>
      <c r="C2" s="17" t="s">
        <v>20</v>
      </c>
      <c r="D2" s="17" t="s">
        <v>43</v>
      </c>
      <c r="E2" s="17" t="s">
        <v>54</v>
      </c>
      <c r="F2" s="17" t="s">
        <v>55</v>
      </c>
      <c r="G2" s="17" t="s">
        <v>56</v>
      </c>
      <c r="H2" s="17" t="s">
        <v>21</v>
      </c>
      <c r="I2" s="17" t="s">
        <v>22</v>
      </c>
      <c r="J2" s="17" t="s">
        <v>23</v>
      </c>
      <c r="K2" s="17" t="s">
        <v>24</v>
      </c>
      <c r="L2" s="17" t="s">
        <v>25</v>
      </c>
      <c r="M2" s="17" t="s">
        <v>26</v>
      </c>
      <c r="N2" s="77" t="s">
        <v>27</v>
      </c>
      <c r="P2" s="211"/>
      <c r="Q2" s="213"/>
      <c r="S2" s="167" t="s">
        <v>5378</v>
      </c>
      <c r="T2" s="166">
        <f>IF(P5="",MAX(Logbook[IPC],P5))</f>
        <v>0</v>
      </c>
      <c r="U2" s="169" t="s">
        <v>5379</v>
      </c>
    </row>
    <row r="3" spans="1:21" hidden="1" x14ac:dyDescent="0.25">
      <c r="A3" s="71" t="s">
        <v>5376</v>
      </c>
      <c r="B3" s="73">
        <f ca="1">SUMIFS(Logbook[LandingsDay],Logbook[Date],"&gt;="&amp;$T$9-90)</f>
        <v>0</v>
      </c>
      <c r="C3" s="74">
        <f ca="1">SUMIFS(Logbook[LandingsNight],Logbook[Date],"&gt;="&amp;$T$9-90)</f>
        <v>0</v>
      </c>
      <c r="D3" s="74">
        <f ca="1">IF($T$9&gt;D6,0,1)</f>
        <v>0</v>
      </c>
      <c r="E3" s="74">
        <f ca="1">MAX(SUMIFS(Logbook[TotalApps],Logbook[Date],"&gt;="&amp;$T$9-90),IF(E6&gt;=today,3,0))</f>
        <v>0</v>
      </c>
      <c r="F3" s="74">
        <f ca="1">IF($D3=0,0,SUMIFS(Logbook[LandingsNight],Logbook[Date],"&gt;="&amp;EDATE($T$9,-6)))</f>
        <v>0</v>
      </c>
      <c r="G3" s="74">
        <f ca="1">IF($D3=0,0,SUMIFS(Logbook[TotalApps],Logbook[Date],"&gt;="&amp;EDATE($T$9,-6),Logbook[IfrIf],"&gt;="&amp;1))</f>
        <v>0</v>
      </c>
      <c r="H3" s="74">
        <f ca="1">IF($D3=0,0,IF($E3&lt;3,0,SUMIFS(Logbook[ILS],Logbook[[Date]:[Date]],"&gt;="&amp;$T$9-90)))</f>
        <v>0</v>
      </c>
      <c r="I3" s="74">
        <f ca="1">IF($D3=0,0,IF($E3&lt;3,0,SUMIFS(Logbook[VOR],Logbook[[Date]:[Date]],"&gt;="&amp;$T$9-90)))</f>
        <v>0</v>
      </c>
      <c r="J3" s="74">
        <f ca="1">IF($D3=0,0,IF($E3&lt;3,0,SUMIFS(Logbook[RNAV],Logbook[[Date]:[Date]],"&gt;="&amp;$T$9-90)))</f>
        <v>0</v>
      </c>
      <c r="K3" s="74">
        <f ca="1">IF($D3=0,0,IF($E3&lt;3,0,SUMIFS(Logbook[NDB],Logbook[[Date]:[Date]],"&gt;="&amp;$T$9-90)))</f>
        <v>0</v>
      </c>
      <c r="L3" s="74">
        <f ca="1">IF($D3=0,0,IF($E3&lt;3,0,SUMIFS(Logbook[DGA (CDI)],Logbook[[Date]:[Date]],"&gt;="&amp;$T$9-90)))</f>
        <v>0</v>
      </c>
      <c r="M3" s="74">
        <f ca="1">IF($D3=0,0,IF($E3&lt;3,0,SUMIFS(Logbook[DGA (Azi)],Logbook[[Date]:[Date]],"&gt;="&amp;$T$9-90)))</f>
        <v>0</v>
      </c>
      <c r="N3" s="75">
        <f ca="1">IF(N4&gt;0,1,0)</f>
        <v>0</v>
      </c>
      <c r="P3" s="211"/>
      <c r="Q3" s="213"/>
      <c r="S3" s="167" t="s">
        <v>5380</v>
      </c>
      <c r="T3" s="166" t="str">
        <f>IFERROR(LARGE(Logbook[IPC],2),"N/A")</f>
        <v>N/A</v>
      </c>
      <c r="U3" s="169" t="s">
        <v>5381</v>
      </c>
    </row>
    <row r="4" spans="1:21" x14ac:dyDescent="0.25">
      <c r="A4" s="71" t="s">
        <v>57</v>
      </c>
      <c r="B4" s="73">
        <f t="shared" ref="B4:N4" ca="1" si="0">MAX(B6-$T$9,0)</f>
        <v>0</v>
      </c>
      <c r="C4" s="74">
        <f t="shared" ca="1" si="0"/>
        <v>0</v>
      </c>
      <c r="D4" s="74">
        <f t="shared" ca="1" si="0"/>
        <v>0</v>
      </c>
      <c r="E4" s="74">
        <f t="shared" ca="1" si="0"/>
        <v>0</v>
      </c>
      <c r="F4" s="74">
        <f t="shared" ca="1" si="0"/>
        <v>0</v>
      </c>
      <c r="G4" s="74">
        <f t="shared" ca="1" si="0"/>
        <v>0</v>
      </c>
      <c r="H4" s="74">
        <f t="shared" ca="1" si="0"/>
        <v>0</v>
      </c>
      <c r="I4" s="74">
        <f t="shared" ca="1" si="0"/>
        <v>0</v>
      </c>
      <c r="J4" s="74">
        <f t="shared" ca="1" si="0"/>
        <v>0</v>
      </c>
      <c r="K4" s="74">
        <f t="shared" ca="1" si="0"/>
        <v>0</v>
      </c>
      <c r="L4" s="74">
        <f t="shared" ca="1" si="0"/>
        <v>0</v>
      </c>
      <c r="M4" s="74">
        <f t="shared" ca="1" si="0"/>
        <v>0</v>
      </c>
      <c r="N4" s="75">
        <f t="shared" ca="1" si="0"/>
        <v>0</v>
      </c>
      <c r="P4" s="211"/>
      <c r="Q4" s="213"/>
      <c r="S4" s="167" t="s">
        <v>5382</v>
      </c>
      <c r="T4" s="166">
        <f>_xlfn.LET(_xlpm.lastIPC,T2,_xlpm.prevIPC,T3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4" s="169" t="s">
        <v>5383</v>
      </c>
    </row>
    <row r="5" spans="1:21" ht="15.75" thickBot="1" x14ac:dyDescent="0.3">
      <c r="A5" s="160" t="s">
        <v>58</v>
      </c>
      <c r="B5" s="72" t="str">
        <f t="shared" ref="B5:N5" ca="1" si="1">IF(B6&lt;today,"Not Recent",B6)</f>
        <v>Not Recent</v>
      </c>
      <c r="C5" s="68" t="str">
        <f t="shared" ca="1" si="1"/>
        <v>Not Recent</v>
      </c>
      <c r="D5" s="68" t="str">
        <f t="shared" ca="1" si="1"/>
        <v>Not Recent</v>
      </c>
      <c r="E5" s="68" t="str">
        <f t="shared" ca="1" si="1"/>
        <v>Not Recent</v>
      </c>
      <c r="F5" s="68" t="str">
        <f t="shared" ca="1" si="1"/>
        <v>Not Recent</v>
      </c>
      <c r="G5" s="68" t="str">
        <f t="shared" ca="1" si="1"/>
        <v>Not Recent</v>
      </c>
      <c r="H5" s="68" t="str">
        <f t="shared" ca="1" si="1"/>
        <v>Not Recent</v>
      </c>
      <c r="I5" s="68" t="str">
        <f t="shared" ca="1" si="1"/>
        <v>Not Recent</v>
      </c>
      <c r="J5" s="68" t="str">
        <f t="shared" ca="1" si="1"/>
        <v>Not Recent</v>
      </c>
      <c r="K5" s="68" t="str">
        <f t="shared" ca="1" si="1"/>
        <v>Not Recent</v>
      </c>
      <c r="L5" s="68" t="str">
        <f t="shared" ca="1" si="1"/>
        <v>Not Recent</v>
      </c>
      <c r="M5" s="68" t="str">
        <f t="shared" ca="1" si="1"/>
        <v>Not Recent</v>
      </c>
      <c r="N5" s="69" t="str">
        <f t="shared" ca="1" si="1"/>
        <v>Not Recent</v>
      </c>
      <c r="P5" s="235"/>
      <c r="Q5" s="235"/>
      <c r="S5" s="167" t="s">
        <v>5384</v>
      </c>
      <c r="T5" s="166">
        <f>IFERROR(MAX(Logbook[OPC]),0)</f>
        <v>0</v>
      </c>
      <c r="U5" s="169" t="s">
        <v>5385</v>
      </c>
    </row>
    <row r="6" spans="1:21" ht="15.75" hidden="1" thickBot="1" x14ac:dyDescent="0.3">
      <c r="A6" s="159" t="s">
        <v>58</v>
      </c>
      <c r="B6" s="65" cm="1">
        <f t="array" aca="1" ref="B6" ca="1">MAX(IF(Logbook[CumLandingsDay]&gt;=3,Logbook[[Date]:[Date]]+90))</f>
        <v>0</v>
      </c>
      <c r="C6" s="66" cm="1">
        <f t="array" aca="1" ref="C6" ca="1">MAX(IF(Logbook[CumLandingsNight]&gt;=3,Logbook[[Date]:[Date]]+90))</f>
        <v>0</v>
      </c>
      <c r="D6" s="66">
        <f>$T$8</f>
        <v>0</v>
      </c>
      <c r="E6" s="66" cm="1">
        <f t="array" aca="1" ref="E6" ca="1">_xlfn.LET(_xlpm.appExpiry,IFERROR(MAX(IF(Logbook[CumTotalApps]&gt;=3,Logbook[[Date]:[Date]]+90)),0),MAX(_xlpm.appExpiry,$T$6))</f>
        <v>0</v>
      </c>
      <c r="F6" s="66" cm="1">
        <f t="array" aca="1" ref="F6" ca="1">EDATE(MAX(IF(Logbook[CumLandingsNight]&gt;=1,Logbook[Date])),6)</f>
        <v>182</v>
      </c>
      <c r="G6" s="66">
        <f>EDATE(
  MAX(
    _xlfn.MAXIFS(Logbook[Date], Logbook[IfrIf], "&gt;=1", Logbook[TotalApps], "&gt;=1"),
    _xlfn.MAXIFS(Logbook[Date], Logbook[IfrSim], "&gt;=1", Logbook[TotalApps], "&gt;=1")
  ),
  6
)</f>
        <v>182</v>
      </c>
      <c r="H6" s="66">
        <f ca="1">MAX(_xlfn.MAXIFS(Logbook[Date],Logbook[Cum3D],"&gt;="&amp;1,Logbook[CumCDI],"&gt;="&amp;1)+90,$T$6)</f>
        <v>90</v>
      </c>
      <c r="I6" s="66">
        <f ca="1">MAX(_xlfn.MAXIFS(Logbook[Date],Logbook[Cum2D],"&gt;="&amp;1,Logbook[CumCDI],"&gt;="&amp;1)+90,$T$6)</f>
        <v>90</v>
      </c>
      <c r="J6" s="66">
        <f ca="1">MAX(_xlfn.MAXIFS(Logbook[Date],Logbook[Cum2D],"&gt;="&amp;1,Logbook[CumCDI],"&gt;="&amp;1)+90,$T$6)</f>
        <v>90</v>
      </c>
      <c r="K6" s="66">
        <f ca="1">MAX(_xlfn.MAXIFS(Logbook[Date],Logbook[Cum2D],"&gt;="&amp;1,Logbook[CumAzi],"&gt;="&amp;1)+90,$T$6)</f>
        <v>90</v>
      </c>
      <c r="L6" s="66">
        <f ca="1">MAX(_xlfn.MAXIFS(Logbook[Date],Logbook[Cum2D],"&gt;="&amp;1,Logbook[CumCDI],"&gt;="&amp;1)+90,$T$6)</f>
        <v>90</v>
      </c>
      <c r="M6" s="66">
        <f ca="1">MAX(_xlfn.MAXIFS(Logbook[Date],Logbook[Cum2D],"&gt;="&amp;1,Logbook[CumAzi],"&gt;="&amp;1)+90,$T$6)</f>
        <v>90</v>
      </c>
      <c r="N6" s="67">
        <f>_xlfn.LET(_xlpm.lastIpc,$T$2,_xlpm.lastOpc,$T$5,_xlpm.lastCheck,MAX(_xlpm.lastIpc,_xlpm.lastOpc),_xlpm.circOnCheck,SUMIFS(Logbook[Circling],Logbook[IPC],_xlpm.lastCheck)+SUMIFS(Logbook[Circling],Logbook[OPC],_xlpm.lastCheck),IF(AND(_xlpm.lastCheck&gt;0,_xlpm.circOnCheck&gt;0),$T$8,0))</f>
        <v>0</v>
      </c>
      <c r="S6" s="167" t="s">
        <v>5386</v>
      </c>
      <c r="T6" s="166">
        <f>IF(T5=0,0,EDATE(T5,3))</f>
        <v>0</v>
      </c>
      <c r="U6" s="169" t="s">
        <v>5387</v>
      </c>
    </row>
    <row r="7" spans="1:21" x14ac:dyDescent="0.25">
      <c r="N7" s="6"/>
      <c r="S7" s="167" t="s">
        <v>5388</v>
      </c>
      <c r="T7" s="166">
        <f>IF(T5=0,0,DATE(YEAR(T5)+1,MONTH(T5),DAY(EOMONTH(T5,0))))</f>
        <v>0</v>
      </c>
      <c r="U7" s="169" t="s">
        <v>5389</v>
      </c>
    </row>
    <row r="8" spans="1:21" hidden="1" x14ac:dyDescent="0.25"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167" t="s">
        <v>5390</v>
      </c>
      <c r="T8" s="166">
        <f>MAX(T4,T7)</f>
        <v>0</v>
      </c>
      <c r="U8" s="169" t="s">
        <v>5391</v>
      </c>
    </row>
    <row r="9" spans="1:21" hidden="1" x14ac:dyDescent="0.25">
      <c r="B9" s="18"/>
      <c r="C9" s="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168" t="s">
        <v>59</v>
      </c>
      <c r="T9" s="166">
        <f ca="1">TODAY()</f>
        <v>46174</v>
      </c>
      <c r="U9" s="170" t="s">
        <v>5392</v>
      </c>
    </row>
    <row r="10" spans="1:21" hidden="1" x14ac:dyDescent="0.25"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21" hidden="1" x14ac:dyDescent="0.25"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21" hidden="1" x14ac:dyDescent="0.25"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1" hidden="1" x14ac:dyDescent="0.25"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1" hidden="1" x14ac:dyDescent="0.25"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1" hidden="1" x14ac:dyDescent="0.25"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1" hidden="1" x14ac:dyDescent="0.25"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3:20" hidden="1" x14ac:dyDescent="0.25"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3:20" hidden="1" x14ac:dyDescent="0.25"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3:20" hidden="1" x14ac:dyDescent="0.25"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3:20" hidden="1" x14ac:dyDescent="0.25"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3:20" hidden="1" x14ac:dyDescent="0.25"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3:20" hidden="1" x14ac:dyDescent="0.25"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3:20" hidden="1" x14ac:dyDescent="0.25"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3:20" hidden="1" x14ac:dyDescent="0.25"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3:20" hidden="1" x14ac:dyDescent="0.25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3:20" hidden="1" x14ac:dyDescent="0.25"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3:20" hidden="1" x14ac:dyDescent="0.25"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3:20" hidden="1" x14ac:dyDescent="0.25"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3:20" hidden="1" x14ac:dyDescent="0.25"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3:20" hidden="1" x14ac:dyDescent="0.25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3:20" hidden="1" x14ac:dyDescent="0.25"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3:20" hidden="1" x14ac:dyDescent="0.25"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</row>
    <row r="33" spans="3:17" hidden="1" x14ac:dyDescent="0.25"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</row>
    <row r="34" spans="3:17" hidden="1" x14ac:dyDescent="0.25"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</row>
    <row r="35" spans="3:17" hidden="1" x14ac:dyDescent="0.25"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</row>
  </sheetData>
  <mergeCells count="5">
    <mergeCell ref="P1:Q4"/>
    <mergeCell ref="P5:Q5"/>
    <mergeCell ref="B1:C1"/>
    <mergeCell ref="D1:G1"/>
    <mergeCell ref="H1:N1"/>
  </mergeCells>
  <conditionalFormatting sqref="E2">
    <cfRule type="expression" dxfId="49" priority="1">
      <formula>AND(E$4&gt;0,E$4&lt;=30)</formula>
    </cfRule>
    <cfRule type="expression" dxfId="48" priority="51">
      <formula>E$4=0</formula>
    </cfRule>
    <cfRule type="expression" dxfId="47" priority="52">
      <formula>$E$3&gt;=3</formula>
    </cfRule>
  </conditionalFormatting>
  <conditionalFormatting sqref="B2:D2">
    <cfRule type="expression" dxfId="46" priority="29">
      <formula>AND(B4&gt;0,B4&lt;=30)</formula>
    </cfRule>
    <cfRule type="expression" dxfId="45" priority="30">
      <formula>B4=0</formula>
    </cfRule>
    <cfRule type="expression" dxfId="44" priority="31">
      <formula>B4&gt;30</formula>
    </cfRule>
  </conditionalFormatting>
  <conditionalFormatting sqref="F2">
    <cfRule type="expression" dxfId="43" priority="26">
      <formula>AND(F4&gt;0,F4&lt;=30)</formula>
    </cfRule>
    <cfRule type="expression" dxfId="42" priority="27">
      <formula>F4=0</formula>
    </cfRule>
    <cfRule type="expression" dxfId="41" priority="28">
      <formula>F4&gt;30</formula>
    </cfRule>
  </conditionalFormatting>
  <conditionalFormatting sqref="G2">
    <cfRule type="expression" dxfId="40" priority="23">
      <formula>AND(G4&gt;0,G4&lt;=30)</formula>
    </cfRule>
    <cfRule type="expression" dxfId="39" priority="24">
      <formula>G4=0</formula>
    </cfRule>
    <cfRule type="expression" dxfId="38" priority="25">
      <formula>G4&gt;30</formula>
    </cfRule>
  </conditionalFormatting>
  <conditionalFormatting sqref="H2">
    <cfRule type="expression" dxfId="37" priority="20">
      <formula>AND(H4&gt;0,H4&lt;=30)</formula>
    </cfRule>
    <cfRule type="expression" dxfId="36" priority="21">
      <formula>H4=0</formula>
    </cfRule>
    <cfRule type="expression" dxfId="35" priority="22">
      <formula>H4&gt;30</formula>
    </cfRule>
  </conditionalFormatting>
  <conditionalFormatting sqref="I2">
    <cfRule type="expression" dxfId="34" priority="17">
      <formula>AND(I4&gt;0,I4&lt;=30)</formula>
    </cfRule>
    <cfRule type="expression" dxfId="33" priority="18">
      <formula>I4=0</formula>
    </cfRule>
    <cfRule type="expression" dxfId="32" priority="19">
      <formula>I4&gt;30</formula>
    </cfRule>
  </conditionalFormatting>
  <conditionalFormatting sqref="J2">
    <cfRule type="expression" dxfId="31" priority="14">
      <formula>AND(J4&gt;0,J4&lt;=30)</formula>
    </cfRule>
    <cfRule type="expression" dxfId="30" priority="15">
      <formula>J4=0</formula>
    </cfRule>
    <cfRule type="expression" dxfId="29" priority="16">
      <formula>J4&gt;30</formula>
    </cfRule>
  </conditionalFormatting>
  <conditionalFormatting sqref="K2">
    <cfRule type="expression" dxfId="28" priority="11">
      <formula>AND(K4&gt;0,K4&lt;=30)</formula>
    </cfRule>
    <cfRule type="expression" dxfId="27" priority="12">
      <formula>K4=0</formula>
    </cfRule>
    <cfRule type="expression" dxfId="26" priority="13">
      <formula>K4&gt;30</formula>
    </cfRule>
  </conditionalFormatting>
  <conditionalFormatting sqref="L2">
    <cfRule type="expression" dxfId="25" priority="8">
      <formula>AND(L4&gt;0,L4&lt;=30)</formula>
    </cfRule>
    <cfRule type="expression" dxfId="24" priority="9">
      <formula>L4=0</formula>
    </cfRule>
    <cfRule type="expression" dxfId="23" priority="10">
      <formula>L4&gt;30</formula>
    </cfRule>
  </conditionalFormatting>
  <conditionalFormatting sqref="M2">
    <cfRule type="expression" dxfId="22" priority="5">
      <formula>AND(M4&gt;0,M4&lt;=30)</formula>
    </cfRule>
    <cfRule type="expression" dxfId="21" priority="6">
      <formula>M4=0</formula>
    </cfRule>
    <cfRule type="expression" dxfId="20" priority="7">
      <formula>M4&gt;30</formula>
    </cfRule>
  </conditionalFormatting>
  <conditionalFormatting sqref="N2">
    <cfRule type="expression" dxfId="19" priority="2">
      <formula>AND(N4&gt;0,N4&lt;=30)</formula>
    </cfRule>
    <cfRule type="expression" dxfId="18" priority="3">
      <formula>N4=0</formula>
    </cfRule>
    <cfRule type="expression" dxfId="17" priority="4">
      <formula>N4&gt;30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K6:L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5" sqref="AO35"/>
    </sheetView>
  </sheetViews>
  <sheetFormatPr defaultColWidth="0" defaultRowHeight="15" zeroHeight="1" x14ac:dyDescent="0.25"/>
  <cols>
    <col min="1" max="41" width="9.140625" customWidth="1"/>
    <col min="42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C26" sqref="C26"/>
    </sheetView>
  </sheetViews>
  <sheetFormatPr defaultColWidth="0" defaultRowHeight="15" zeroHeight="1" x14ac:dyDescent="0.25"/>
  <cols>
    <col min="1" max="1" width="44.28515625" bestFit="1" customWidth="1"/>
    <col min="2" max="2" width="50.7109375" bestFit="1" customWidth="1"/>
    <col min="3" max="3" width="3.5703125" customWidth="1"/>
    <col min="4" max="16384" width="9.140625" hidden="1"/>
  </cols>
  <sheetData>
    <row r="1" spans="1:2" x14ac:dyDescent="0.25">
      <c r="A1" s="26" t="s">
        <v>122</v>
      </c>
      <c r="B1" s="26" t="s">
        <v>123</v>
      </c>
    </row>
    <row r="2" spans="1:2" x14ac:dyDescent="0.25">
      <c r="A2" s="55" t="s">
        <v>124</v>
      </c>
      <c r="B2" s="56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x14ac:dyDescent="0.25">
      <c r="A3" s="55" t="s">
        <v>125</v>
      </c>
      <c r="B3" s="56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x14ac:dyDescent="0.25">
      <c r="A4" s="55" t="s">
        <v>126</v>
      </c>
      <c r="B4" s="56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x14ac:dyDescent="0.25">
      <c r="A5" s="55" t="s">
        <v>127</v>
      </c>
      <c r="B5" s="56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x14ac:dyDescent="0.25">
      <c r="A6" s="55" t="s">
        <v>129</v>
      </c>
      <c r="B6" s="56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x14ac:dyDescent="0.25">
      <c r="A7" s="55" t="s">
        <v>130</v>
      </c>
      <c r="B7" s="56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x14ac:dyDescent="0.25">
      <c r="A8" s="55" t="s">
        <v>137</v>
      </c>
      <c r="B8" s="56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x14ac:dyDescent="0.25">
      <c r="A9" s="55" t="s">
        <v>128</v>
      </c>
      <c r="B9" s="57">
        <f>AVERAGE(Logbook[TotalHours])</f>
        <v>0</v>
      </c>
    </row>
    <row r="10" spans="1:2" x14ac:dyDescent="0.25">
      <c r="A10" s="55" t="s">
        <v>138</v>
      </c>
      <c r="B10" s="56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x14ac:dyDescent="0.25">
      <c r="A11" s="55" t="s">
        <v>139</v>
      </c>
      <c r="B11" s="56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x14ac:dyDescent="0.25">
      <c r="A12" s="55" t="s">
        <v>135</v>
      </c>
      <c r="B12" s="58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x14ac:dyDescent="0.25">
      <c r="A13" s="55" t="s">
        <v>136</v>
      </c>
      <c r="B13" s="58" t="str">
        <f>IFERROR(Logbook[[#Totals],[IfrIf]]/Logbook[[#Totals],[TotalHours]],"No flying hours")</f>
        <v>No flying hours</v>
      </c>
    </row>
    <row r="14" spans="1:2" x14ac:dyDescent="0.25">
      <c r="A14" s="55" t="s">
        <v>131</v>
      </c>
      <c r="B14" s="56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55" t="s">
        <v>132</v>
      </c>
      <c r="B15" s="56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x14ac:dyDescent="0.25">
      <c r="A16" s="55" t="s">
        <v>133</v>
      </c>
      <c r="B16" s="59">
        <f>Logbook[[#Totals],[TotalHours]]*120</f>
        <v>0</v>
      </c>
    </row>
    <row r="17" spans="1:2" x14ac:dyDescent="0.25">
      <c r="A17" s="55" t="s">
        <v>134</v>
      </c>
      <c r="B17" s="60">
        <f>B16/207600</f>
        <v>0</v>
      </c>
    </row>
    <row r="18" spans="1:2" x14ac:dyDescent="0.25">
      <c r="A18" s="55" t="s">
        <v>140</v>
      </c>
      <c r="B18" s="56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x14ac:dyDescent="0.25">
      <c r="A19" s="55" t="s">
        <v>141</v>
      </c>
      <c r="B19" s="56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x14ac:dyDescent="0.25">
      <c r="A20" s="55" t="s">
        <v>5317</v>
      </c>
      <c r="B20" s="56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x14ac:dyDescent="0.25">
      <c r="A21" s="55" t="s">
        <v>5319</v>
      </c>
      <c r="B21" s="56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x14ac:dyDescent="0.25">
      <c r="A22" s="55" t="s">
        <v>5327</v>
      </c>
      <c r="B22" s="56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x14ac:dyDescent="0.25">
      <c r="A23" s="55" t="s">
        <v>5326</v>
      </c>
      <c r="B23" s="56" cm="1">
        <f t="array" ref="B23">COUNTA(_xlfn._xlws.FILTER(Airports[ICAO], ISNUMBER(Airports[Visits])))</f>
        <v>1</v>
      </c>
    </row>
    <row r="24" spans="1:2" x14ac:dyDescent="0.25">
      <c r="A24" s="55" t="s">
        <v>5331</v>
      </c>
      <c r="B24" s="56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x14ac:dyDescent="0.25">
      <c r="A25" s="55" t="s">
        <v>5332</v>
      </c>
      <c r="B25" s="56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23 B10:B12 B14:B1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88" bestFit="1" customWidth="1"/>
    <col min="2" max="2" width="15" customWidth="1"/>
    <col min="3" max="3" width="31.28515625" customWidth="1"/>
    <col min="4" max="4" width="14.7109375" customWidth="1"/>
    <col min="5" max="16384" width="9.140625" hidden="1"/>
  </cols>
  <sheetData>
    <row r="1" spans="1:3" ht="39.950000000000003" customHeight="1" x14ac:dyDescent="0.25">
      <c r="A1" s="90" t="s">
        <v>5334</v>
      </c>
      <c r="B1" s="244" t="s">
        <v>5335</v>
      </c>
      <c r="C1" s="244"/>
    </row>
    <row r="2" spans="1:3" ht="26.25" x14ac:dyDescent="0.25">
      <c r="A2" s="90"/>
      <c r="B2" s="173" t="s">
        <v>5395</v>
      </c>
      <c r="C2" s="89"/>
    </row>
    <row r="3" spans="1:3" ht="39.950000000000003" customHeight="1" x14ac:dyDescent="0.25">
      <c r="A3" s="90" t="s">
        <v>5336</v>
      </c>
      <c r="B3" s="245" t="s">
        <v>5339</v>
      </c>
      <c r="C3" s="245"/>
    </row>
    <row r="4" spans="1:3" ht="39.950000000000003" customHeight="1" x14ac:dyDescent="0.25">
      <c r="A4" s="90" t="s">
        <v>5337</v>
      </c>
      <c r="B4" s="244" t="s">
        <v>5340</v>
      </c>
      <c r="C4" s="244"/>
    </row>
    <row r="5" spans="1:3" ht="39.950000000000003" customHeight="1" x14ac:dyDescent="0.25">
      <c r="A5" s="90" t="s">
        <v>5338</v>
      </c>
      <c r="B5" s="244" t="s">
        <v>5341</v>
      </c>
      <c r="C5" s="244"/>
    </row>
  </sheetData>
  <mergeCells count="4">
    <mergeCell ref="B1:C1"/>
    <mergeCell ref="B3:C3"/>
    <mergeCell ref="B4:C4"/>
    <mergeCell ref="B5:C5"/>
  </mergeCells>
  <phoneticPr fontId="2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bestFit="1" customWidth="1"/>
    <col min="2" max="2" width="45.140625" customWidth="1"/>
    <col min="3" max="3" width="2.85546875" customWidth="1"/>
    <col min="4" max="16384" width="21.42578125" hidden="1"/>
  </cols>
  <sheetData>
    <row r="1" spans="1:2" x14ac:dyDescent="0.25">
      <c r="A1" s="122" t="s">
        <v>5362</v>
      </c>
    </row>
    <row r="2" spans="1:2" x14ac:dyDescent="0.25">
      <c r="A2" s="18" t="s">
        <v>5361</v>
      </c>
      <c r="B2" s="18" t="s">
        <v>123</v>
      </c>
    </row>
    <row r="3" spans="1:2" x14ac:dyDescent="0.25">
      <c r="A3" t="s">
        <v>5345</v>
      </c>
      <c r="B3" s="115" t="s">
        <v>5396</v>
      </c>
    </row>
    <row r="4" spans="1:2" x14ac:dyDescent="0.25">
      <c r="A4" t="s">
        <v>5363</v>
      </c>
      <c r="B4" s="114"/>
    </row>
    <row r="5" spans="1:2" x14ac:dyDescent="0.25">
      <c r="A5" t="s">
        <v>5369</v>
      </c>
      <c r="B5">
        <v>1</v>
      </c>
    </row>
    <row r="6" spans="1:2" x14ac:dyDescent="0.25">
      <c r="A6" s="114" t="s">
        <v>5347</v>
      </c>
    </row>
    <row r="7" spans="1:2" x14ac:dyDescent="0.25">
      <c r="A7" s="157" t="s">
        <v>5374</v>
      </c>
      <c r="B7" s="157" t="b">
        <v>0</v>
      </c>
    </row>
    <row r="8" spans="1:2" x14ac:dyDescent="0.25">
      <c r="A8" s="157" t="s">
        <v>5375</v>
      </c>
      <c r="B8" s="158">
        <v>1</v>
      </c>
    </row>
    <row r="9" spans="1:2" x14ac:dyDescent="0.25">
      <c r="A9" t="s">
        <v>5355</v>
      </c>
      <c r="B9" s="121"/>
    </row>
    <row r="10" spans="1:2" x14ac:dyDescent="0.25">
      <c r="A10" t="s">
        <v>5358</v>
      </c>
      <c r="B10" t="s">
        <v>5359</v>
      </c>
    </row>
    <row r="11" spans="1:2" x14ac:dyDescent="0.25">
      <c r="A11" s="114"/>
    </row>
    <row r="12" spans="1:2" hidden="1" x14ac:dyDescent="0.25">
      <c r="B12" t="s">
        <v>5359</v>
      </c>
    </row>
    <row r="13" spans="1:2" hidden="1" x14ac:dyDescent="0.25">
      <c r="B13" t="s">
        <v>5360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17" sqref="H17"/>
    </sheetView>
  </sheetViews>
  <sheetFormatPr defaultRowHeight="15" x14ac:dyDescent="0.25"/>
  <cols>
    <col min="1" max="1" width="13" customWidth="1"/>
    <col min="2" max="2" width="12.140625" customWidth="1"/>
    <col min="3" max="3" width="9.28515625" customWidth="1"/>
    <col min="4" max="4" width="9.85546875" customWidth="1"/>
    <col min="5" max="5" width="8.42578125" customWidth="1"/>
    <col min="6" max="6" width="9" customWidth="1"/>
    <col min="7" max="7" width="10.85546875" style="87" bestFit="1" customWidth="1"/>
  </cols>
  <sheetData>
    <row r="1" spans="1:7" x14ac:dyDescent="0.25">
      <c r="A1" s="18" t="s">
        <v>5320</v>
      </c>
      <c r="B1" s="18" t="s">
        <v>5321</v>
      </c>
      <c r="C1" s="18" t="s">
        <v>5322</v>
      </c>
      <c r="D1" s="18" t="s">
        <v>5323</v>
      </c>
      <c r="E1" s="18" t="s">
        <v>5324</v>
      </c>
      <c r="F1" s="18" t="s">
        <v>5325</v>
      </c>
      <c r="G1" s="86" t="s">
        <v>5330</v>
      </c>
    </row>
    <row r="2" spans="1:7" x14ac:dyDescent="0.25">
      <c r="A2" s="18"/>
      <c r="B2" s="18"/>
      <c r="C2" s="18"/>
      <c r="D2" s="18"/>
      <c r="E2" s="18"/>
      <c r="F2" s="18"/>
      <c r="G2" s="86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G1706" sqref="G1706"/>
    </sheetView>
  </sheetViews>
  <sheetFormatPr defaultColWidth="0" defaultRowHeight="15" zeroHeight="1" x14ac:dyDescent="0.25"/>
  <cols>
    <col min="1" max="1" width="7.7109375" bestFit="1" customWidth="1"/>
    <col min="2" max="2" width="41" bestFit="1" customWidth="1"/>
    <col min="3" max="3" width="11.7109375" bestFit="1" customWidth="1"/>
    <col min="4" max="4" width="12.140625" bestFit="1" customWidth="1"/>
    <col min="5" max="6" width="9.140625" customWidth="1"/>
    <col min="7" max="7" width="13.85546875" style="6" bestFit="1" customWidth="1"/>
    <col min="8" max="8" width="13.42578125" style="6" bestFit="1" customWidth="1"/>
    <col min="9" max="9" width="9.140625" customWidth="1"/>
    <col min="10" max="10" width="7.42578125" bestFit="1" customWidth="1"/>
    <col min="11" max="11" width="9.140625" customWidth="1"/>
    <col min="12" max="12" width="3.7109375" customWidth="1"/>
    <col min="13" max="16384" width="9.140625" hidden="1"/>
  </cols>
  <sheetData>
    <row r="1" spans="1:11" x14ac:dyDescent="0.25">
      <c r="A1" s="18" t="s">
        <v>142</v>
      </c>
      <c r="B1" s="18" t="s">
        <v>5312</v>
      </c>
      <c r="C1" s="18" t="s">
        <v>143</v>
      </c>
      <c r="D1" s="18" t="s">
        <v>144</v>
      </c>
      <c r="E1" s="18" t="s">
        <v>145</v>
      </c>
      <c r="F1" s="18" t="s">
        <v>146</v>
      </c>
      <c r="G1" s="85" t="s">
        <v>5328</v>
      </c>
      <c r="H1" s="85" t="s">
        <v>5329</v>
      </c>
      <c r="I1" s="18" t="s">
        <v>5313</v>
      </c>
      <c r="J1" s="18" t="s">
        <v>5318</v>
      </c>
      <c r="K1" s="18" t="s">
        <v>5316</v>
      </c>
    </row>
    <row r="2" spans="1:11" x14ac:dyDescent="0.25">
      <c r="A2" t="s">
        <v>147</v>
      </c>
      <c r="B2" t="s">
        <v>148</v>
      </c>
      <c r="C2">
        <v>-16.444721999999999</v>
      </c>
      <c r="D2">
        <v>130.88055600000001</v>
      </c>
      <c r="E2" t="str">
        <f>RIGHT(Airports[[#This Row],[ICAO]],3)</f>
        <v>AAL</v>
      </c>
      <c r="F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t="s">
        <v>149</v>
      </c>
      <c r="B3" t="s">
        <v>150</v>
      </c>
      <c r="C3">
        <v>-27.435555999999998</v>
      </c>
      <c r="D3">
        <v>153.112222</v>
      </c>
      <c r="E3" t="str">
        <f>RIGHT(Airports[[#This Row],[ICAO]],3)</f>
        <v>AAP</v>
      </c>
      <c r="F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t="s">
        <v>151</v>
      </c>
      <c r="B4" t="s">
        <v>152</v>
      </c>
      <c r="C4">
        <v>-34.943333000000003</v>
      </c>
      <c r="D4">
        <v>117.80888899999999</v>
      </c>
      <c r="E4" t="str">
        <f>RIGHT(Airports[[#This Row],[ICAO]],3)</f>
        <v>ABA</v>
      </c>
      <c r="F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t="s">
        <v>153</v>
      </c>
      <c r="B5" t="s">
        <v>154</v>
      </c>
      <c r="C5">
        <v>-25.194167</v>
      </c>
      <c r="D5">
        <v>147.142222</v>
      </c>
      <c r="E5" t="str">
        <f>RIGHT(Airports[[#This Row],[ICAO]],3)</f>
        <v>ABB</v>
      </c>
      <c r="F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t="s">
        <v>155</v>
      </c>
      <c r="B6" t="s">
        <v>156</v>
      </c>
      <c r="C6">
        <v>-28.068332999999999</v>
      </c>
      <c r="D6">
        <v>150.64083299999999</v>
      </c>
      <c r="E6" t="str">
        <f>RIGHT(Airports[[#This Row],[ICAO]],3)</f>
        <v>ABD</v>
      </c>
      <c r="F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t="s">
        <v>157</v>
      </c>
      <c r="B7" t="s">
        <v>158</v>
      </c>
      <c r="C7">
        <v>-21.674721999999999</v>
      </c>
      <c r="D7">
        <v>145.266389</v>
      </c>
      <c r="E7" t="str">
        <f>RIGHT(Airports[[#This Row],[ICAO]],3)</f>
        <v>ABF</v>
      </c>
      <c r="F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t="s">
        <v>159</v>
      </c>
      <c r="B8" t="s">
        <v>160</v>
      </c>
      <c r="C8">
        <v>-27.25</v>
      </c>
      <c r="D8">
        <v>147.58333300000001</v>
      </c>
      <c r="E8" t="str">
        <f>RIGHT(Airports[[#This Row],[ICAO]],3)</f>
        <v>ABG</v>
      </c>
      <c r="F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t="s">
        <v>161</v>
      </c>
      <c r="B9" t="s">
        <v>162</v>
      </c>
      <c r="C9">
        <v>-17.608889000000001</v>
      </c>
      <c r="D9">
        <v>143.183333</v>
      </c>
      <c r="E9" t="str">
        <f>RIGHT(Airports[[#This Row],[ICAO]],3)</f>
        <v>ABI</v>
      </c>
      <c r="F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t="s">
        <v>163</v>
      </c>
      <c r="B10" t="s">
        <v>164</v>
      </c>
      <c r="C10">
        <v>-23.356110999999999</v>
      </c>
      <c r="D10">
        <v>134.73527799999999</v>
      </c>
      <c r="E10" t="str">
        <f>RIGHT(Airports[[#This Row],[ICAO]],3)</f>
        <v>ABL</v>
      </c>
      <c r="F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t="s">
        <v>165</v>
      </c>
      <c r="B11" t="s">
        <v>166</v>
      </c>
      <c r="C11">
        <v>-26.325278000000001</v>
      </c>
      <c r="D11">
        <v>148.93</v>
      </c>
      <c r="E11" t="str">
        <f>RIGHT(Airports[[#This Row],[ICAO]],3)</f>
        <v>ABP</v>
      </c>
      <c r="F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t="s">
        <v>167</v>
      </c>
      <c r="B12" t="s">
        <v>168</v>
      </c>
      <c r="C12">
        <v>-24.624167</v>
      </c>
      <c r="D12">
        <v>118.620278</v>
      </c>
      <c r="E12" t="str">
        <f>RIGHT(Airports[[#This Row],[ICAO]],3)</f>
        <v>ABR</v>
      </c>
      <c r="F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t="s">
        <v>169</v>
      </c>
      <c r="B13" t="s">
        <v>170</v>
      </c>
      <c r="C13">
        <v>-27.283055999999998</v>
      </c>
      <c r="D13">
        <v>120.383056</v>
      </c>
      <c r="E13" t="str">
        <f>RIGHT(Airports[[#This Row],[ICAO]],3)</f>
        <v>ABS</v>
      </c>
      <c r="F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t="s">
        <v>171</v>
      </c>
      <c r="B14" t="s">
        <v>172</v>
      </c>
      <c r="C14">
        <v>-24.266389</v>
      </c>
      <c r="D14">
        <v>145.48333299999999</v>
      </c>
      <c r="E14" t="str">
        <f>RIGHT(Airports[[#This Row],[ICAO]],3)</f>
        <v>ACD</v>
      </c>
      <c r="F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t="s">
        <v>173</v>
      </c>
      <c r="B15" t="s">
        <v>174</v>
      </c>
      <c r="C15">
        <v>-25.211666999999998</v>
      </c>
      <c r="D15">
        <v>148.66833299999999</v>
      </c>
      <c r="E15" t="str">
        <f>RIGHT(Airports[[#This Row],[ICAO]],3)</f>
        <v>ACI</v>
      </c>
      <c r="F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t="s">
        <v>175</v>
      </c>
      <c r="B16" t="s">
        <v>176</v>
      </c>
      <c r="C16">
        <v>-22.473333</v>
      </c>
      <c r="D16">
        <v>149.15611100000001</v>
      </c>
      <c r="E16" t="str">
        <f>RIGHT(Airports[[#This Row],[ICAO]],3)</f>
        <v>ACR</v>
      </c>
      <c r="F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t="s">
        <v>177</v>
      </c>
      <c r="B17" t="s">
        <v>178</v>
      </c>
      <c r="C17">
        <v>-25.893889000000001</v>
      </c>
      <c r="D17">
        <v>144.568611</v>
      </c>
      <c r="E17" t="str">
        <f>RIGHT(Airports[[#This Row],[ICAO]],3)</f>
        <v>ADA</v>
      </c>
      <c r="F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t="s">
        <v>179</v>
      </c>
      <c r="B18" t="s">
        <v>180</v>
      </c>
      <c r="C18">
        <v>-31.799721999999999</v>
      </c>
      <c r="D18">
        <v>125.933333</v>
      </c>
      <c r="E18" t="str">
        <f>RIGHT(Airports[[#This Row],[ICAO]],3)</f>
        <v>ADD</v>
      </c>
      <c r="F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t="s">
        <v>181</v>
      </c>
      <c r="B19" t="s">
        <v>182</v>
      </c>
      <c r="C19">
        <v>-21.943332999999999</v>
      </c>
      <c r="D19">
        <v>148.28388899999999</v>
      </c>
      <c r="E19" t="str">
        <f>RIGHT(Airports[[#This Row],[ICAO]],3)</f>
        <v>ADE</v>
      </c>
      <c r="F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t="s">
        <v>183</v>
      </c>
      <c r="B20" t="s">
        <v>184</v>
      </c>
      <c r="C20">
        <v>-35.288888999999998</v>
      </c>
      <c r="D20">
        <v>138.49333300000001</v>
      </c>
      <c r="E20" t="str">
        <f>RIGHT(Airports[[#This Row],[ICAO]],3)</f>
        <v>ADG</v>
      </c>
      <c r="F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t="s">
        <v>185</v>
      </c>
      <c r="B21" t="s">
        <v>186</v>
      </c>
      <c r="C21">
        <v>-25.410833</v>
      </c>
      <c r="D21">
        <v>135.29055600000001</v>
      </c>
      <c r="E21" t="str">
        <f>RIGHT(Airports[[#This Row],[ICAO]],3)</f>
        <v>ADO</v>
      </c>
      <c r="F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t="s">
        <v>187</v>
      </c>
      <c r="B22" t="s">
        <v>188</v>
      </c>
      <c r="C22">
        <v>-26.680833</v>
      </c>
      <c r="D22">
        <v>150.189167</v>
      </c>
      <c r="E22" t="str">
        <f>RIGHT(Airports[[#This Row],[ICAO]],3)</f>
        <v>ADR</v>
      </c>
      <c r="F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t="s">
        <v>189</v>
      </c>
      <c r="B23" t="s">
        <v>190</v>
      </c>
      <c r="C23">
        <v>-26.533332999999999</v>
      </c>
      <c r="D23">
        <v>139.26666700000001</v>
      </c>
      <c r="E23" t="str">
        <f>RIGHT(Airports[[#This Row],[ICAO]],3)</f>
        <v>ADS</v>
      </c>
      <c r="F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t="s">
        <v>191</v>
      </c>
      <c r="B24" t="s">
        <v>192</v>
      </c>
      <c r="C24">
        <v>-35.998333000000002</v>
      </c>
      <c r="D24">
        <v>148.79666700000001</v>
      </c>
      <c r="E24" t="str">
        <f>RIGHT(Airports[[#This Row],[ICAO]],3)</f>
        <v>ADY</v>
      </c>
      <c r="F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t="s">
        <v>193</v>
      </c>
      <c r="B25" t="s">
        <v>194</v>
      </c>
      <c r="C25">
        <v>-37.846666999999997</v>
      </c>
      <c r="D25">
        <v>144.97972200000001</v>
      </c>
      <c r="E25" t="str">
        <f>RIGHT(Airports[[#This Row],[ICAO]],3)</f>
        <v>AFD</v>
      </c>
      <c r="F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t="s">
        <v>195</v>
      </c>
      <c r="B26" t="s">
        <v>196</v>
      </c>
      <c r="C26">
        <v>-18.515556</v>
      </c>
      <c r="D26">
        <v>139.87861100000001</v>
      </c>
      <c r="E26" t="str">
        <f>RIGHT(Airports[[#This Row],[ICAO]],3)</f>
        <v>AGD</v>
      </c>
      <c r="F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t="s">
        <v>197</v>
      </c>
      <c r="B27" t="s">
        <v>198</v>
      </c>
      <c r="C27">
        <v>-27.480848999999999</v>
      </c>
      <c r="D27">
        <v>151.79435100000001</v>
      </c>
      <c r="E27" t="str">
        <f>RIGHT(Airports[[#This Row],[ICAO]],3)</f>
        <v>AGL</v>
      </c>
      <c r="F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t="s">
        <v>199</v>
      </c>
      <c r="B28" t="s">
        <v>200</v>
      </c>
      <c r="C28">
        <v>-19.498611</v>
      </c>
      <c r="D28">
        <v>116.598056</v>
      </c>
      <c r="E28" t="str">
        <f>RIGHT(Airports[[#This Row],[ICAO]],3)</f>
        <v>AGP</v>
      </c>
      <c r="F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t="s">
        <v>201</v>
      </c>
      <c r="B29" t="s">
        <v>202</v>
      </c>
      <c r="C29">
        <v>-23.408055999999998</v>
      </c>
      <c r="D29">
        <v>117.083333</v>
      </c>
      <c r="E29" t="str">
        <f>RIGHT(Airports[[#This Row],[ICAO]],3)</f>
        <v>AHD</v>
      </c>
      <c r="F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t="s">
        <v>203</v>
      </c>
      <c r="B30" t="s">
        <v>204</v>
      </c>
      <c r="C30">
        <v>-15.981111</v>
      </c>
      <c r="D30">
        <v>145.820278</v>
      </c>
      <c r="E30" t="str">
        <f>RIGHT(Airports[[#This Row],[ICAO]],3)</f>
        <v>AIN</v>
      </c>
      <c r="F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t="s">
        <v>205</v>
      </c>
      <c r="B31" t="s">
        <v>206</v>
      </c>
      <c r="C31">
        <v>-29.396388999999999</v>
      </c>
      <c r="D31">
        <v>149.87027800000001</v>
      </c>
      <c r="F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t="s">
        <v>207</v>
      </c>
      <c r="B32" t="s">
        <v>208</v>
      </c>
      <c r="C32">
        <v>-16.035556</v>
      </c>
      <c r="D32">
        <v>145.834722</v>
      </c>
      <c r="E32" t="str">
        <f>RIGHT(Airports[[#This Row],[ICAO]],3)</f>
        <v>AIS</v>
      </c>
      <c r="F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t="s">
        <v>209</v>
      </c>
      <c r="B33" t="s">
        <v>210</v>
      </c>
      <c r="C33">
        <v>-27.334167000000001</v>
      </c>
      <c r="D33">
        <v>133.62638899999999</v>
      </c>
      <c r="E33" t="str">
        <f>RIGHT(Airports[[#This Row],[ICAO]],3)</f>
        <v>ALA</v>
      </c>
      <c r="F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t="s">
        <v>211</v>
      </c>
      <c r="B34" t="s">
        <v>212</v>
      </c>
      <c r="C34">
        <v>-22.801943999999999</v>
      </c>
      <c r="D34">
        <v>134.40361100000001</v>
      </c>
      <c r="E34" t="str">
        <f>RIGHT(Airports[[#This Row],[ICAO]],3)</f>
        <v>ALC</v>
      </c>
      <c r="F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t="s">
        <v>213</v>
      </c>
      <c r="B35" t="s">
        <v>214</v>
      </c>
      <c r="C35">
        <v>-19.295000000000002</v>
      </c>
      <c r="D35">
        <v>136.07722200000001</v>
      </c>
      <c r="E35" t="str">
        <f>RIGHT(Airports[[#This Row],[ICAO]],3)</f>
        <v>ALD</v>
      </c>
      <c r="F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t="s">
        <v>215</v>
      </c>
      <c r="B36" t="s">
        <v>216</v>
      </c>
      <c r="C36">
        <v>-18.692499999999999</v>
      </c>
      <c r="D36">
        <v>138.53138899999999</v>
      </c>
      <c r="E36" t="str">
        <f>RIGHT(Airports[[#This Row],[ICAO]],3)</f>
        <v>ALG</v>
      </c>
      <c r="F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t="s">
        <v>217</v>
      </c>
      <c r="B37" t="s">
        <v>218</v>
      </c>
      <c r="C37">
        <v>-24.7</v>
      </c>
      <c r="D37">
        <v>144.283333</v>
      </c>
      <c r="E37" t="str">
        <f>RIGHT(Airports[[#This Row],[ICAO]],3)</f>
        <v>ALH</v>
      </c>
      <c r="F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t="s">
        <v>219</v>
      </c>
      <c r="B38" t="s">
        <v>220</v>
      </c>
      <c r="C38">
        <v>-24.266389</v>
      </c>
      <c r="D38">
        <v>134.399722</v>
      </c>
      <c r="E38" t="str">
        <f>RIGHT(Airports[[#This Row],[ICAO]],3)</f>
        <v>ALM</v>
      </c>
      <c r="F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t="s">
        <v>221</v>
      </c>
      <c r="B39" t="s">
        <v>222</v>
      </c>
      <c r="C39">
        <v>-30.388055999999999</v>
      </c>
      <c r="D39">
        <v>142.625</v>
      </c>
      <c r="E39" t="str">
        <f>RIGHT(Airports[[#This Row],[ICAO]],3)</f>
        <v>ALN</v>
      </c>
      <c r="F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t="s">
        <v>223</v>
      </c>
      <c r="B40" t="s">
        <v>224</v>
      </c>
      <c r="C40">
        <v>-20.985337999999999</v>
      </c>
      <c r="D40">
        <v>137.83327</v>
      </c>
      <c r="E40" t="str">
        <f>RIGHT(Airports[[#This Row],[ICAO]],3)</f>
        <v>ALP</v>
      </c>
      <c r="F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t="s">
        <v>225</v>
      </c>
      <c r="B41" t="s">
        <v>226</v>
      </c>
      <c r="C41">
        <v>-22.653055999999999</v>
      </c>
      <c r="D41">
        <v>133.34722199999999</v>
      </c>
      <c r="E41" t="str">
        <f>RIGHT(Airports[[#This Row],[ICAO]],3)</f>
        <v>ALR</v>
      </c>
      <c r="F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t="s">
        <v>227</v>
      </c>
      <c r="B42" t="s">
        <v>228</v>
      </c>
      <c r="C42">
        <v>-35.371389000000001</v>
      </c>
      <c r="D42">
        <v>136.86027799999999</v>
      </c>
      <c r="E42" t="str">
        <f>RIGHT(Airports[[#This Row],[ICAO]],3)</f>
        <v>ALT</v>
      </c>
      <c r="F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t="s">
        <v>229</v>
      </c>
      <c r="B43" t="s">
        <v>230</v>
      </c>
      <c r="C43">
        <v>-19.066666999999999</v>
      </c>
      <c r="D43">
        <v>136.69972200000001</v>
      </c>
      <c r="E43" t="str">
        <f>RIGHT(Airports[[#This Row],[ICAO]],3)</f>
        <v>ALX</v>
      </c>
      <c r="F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t="s">
        <v>231</v>
      </c>
      <c r="B44" t="s">
        <v>232</v>
      </c>
      <c r="C44">
        <v>-22.494167000000001</v>
      </c>
      <c r="D44">
        <v>139.66222200000001</v>
      </c>
      <c r="E44" t="str">
        <f>RIGHT(Airports[[#This Row],[ICAO]],3)</f>
        <v>ALY</v>
      </c>
      <c r="F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t="s">
        <v>233</v>
      </c>
      <c r="B45" t="s">
        <v>234</v>
      </c>
      <c r="C45">
        <v>-29.444220999999999</v>
      </c>
      <c r="D45">
        <v>153.34531100000001</v>
      </c>
      <c r="E45" t="str">
        <f>RIGHT(Airports[[#This Row],[ICAO]],3)</f>
        <v>AMA</v>
      </c>
      <c r="F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t="s">
        <v>235</v>
      </c>
      <c r="B46" t="s">
        <v>236</v>
      </c>
      <c r="C46">
        <v>-27.640556</v>
      </c>
      <c r="D46">
        <v>152.71194399999999</v>
      </c>
      <c r="E46" t="str">
        <f>RIGHT(Airports[[#This Row],[ICAO]],3)</f>
        <v>AMB</v>
      </c>
      <c r="F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t="s">
        <v>237</v>
      </c>
      <c r="B47" t="s">
        <v>238</v>
      </c>
      <c r="C47">
        <v>-22.959444000000001</v>
      </c>
      <c r="D47">
        <v>145.2525</v>
      </c>
      <c r="E47" t="str">
        <f>RIGHT(Airports[[#This Row],[ICAO]],3)</f>
        <v>AMC</v>
      </c>
      <c r="F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t="s">
        <v>239</v>
      </c>
      <c r="B48" t="s">
        <v>240</v>
      </c>
      <c r="C48">
        <v>-21.655000000000001</v>
      </c>
      <c r="D48">
        <v>135.22972200000001</v>
      </c>
      <c r="E48" t="str">
        <f>RIGHT(Airports[[#This Row],[ICAO]],3)</f>
        <v>AMJ</v>
      </c>
      <c r="F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t="s">
        <v>241</v>
      </c>
      <c r="B49" t="s">
        <v>242</v>
      </c>
      <c r="C49">
        <v>-17.954167000000002</v>
      </c>
      <c r="D49">
        <v>139.76305600000001</v>
      </c>
      <c r="E49" t="str">
        <f>RIGHT(Airports[[#This Row],[ICAO]],3)</f>
        <v>AML</v>
      </c>
      <c r="F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t="s">
        <v>243</v>
      </c>
      <c r="B50" t="s">
        <v>244</v>
      </c>
      <c r="C50">
        <v>-21.738889</v>
      </c>
      <c r="D50">
        <v>135.24722199999999</v>
      </c>
      <c r="E50" t="str">
        <f>RIGHT(Airports[[#This Row],[ICAO]],3)</f>
        <v>AMM</v>
      </c>
      <c r="F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t="s">
        <v>245</v>
      </c>
      <c r="B51" t="s">
        <v>246</v>
      </c>
      <c r="C51">
        <v>-32.534999999999997</v>
      </c>
      <c r="D51">
        <v>137.691667</v>
      </c>
      <c r="E51" t="str">
        <f>RIGHT(Airports[[#This Row],[ICAO]],3)</f>
        <v>AMN</v>
      </c>
      <c r="F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t="s">
        <v>247</v>
      </c>
      <c r="B52" t="s">
        <v>248</v>
      </c>
      <c r="C52">
        <v>-21.943611000000001</v>
      </c>
      <c r="D52">
        <v>146.63333299999999</v>
      </c>
      <c r="E52" t="str">
        <f>RIGHT(Airports[[#This Row],[ICAO]],3)</f>
        <v>AMO</v>
      </c>
      <c r="F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t="s">
        <v>249</v>
      </c>
      <c r="B53" t="s">
        <v>250</v>
      </c>
      <c r="C53">
        <v>-26.097221999999999</v>
      </c>
      <c r="D53">
        <v>131.202778</v>
      </c>
      <c r="E53" t="str">
        <f>RIGHT(Airports[[#This Row],[ICAO]],3)</f>
        <v>AMT</v>
      </c>
      <c r="F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t="s">
        <v>251</v>
      </c>
      <c r="B54" t="s">
        <v>252</v>
      </c>
      <c r="C54">
        <v>-21.666388999999999</v>
      </c>
      <c r="D54">
        <v>140.98333299999999</v>
      </c>
      <c r="F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t="s">
        <v>253</v>
      </c>
      <c r="B55" t="s">
        <v>254</v>
      </c>
      <c r="C55">
        <v>-42.944721999999999</v>
      </c>
      <c r="D55">
        <v>146.423889</v>
      </c>
      <c r="E55" t="str">
        <f>RIGHT(Airports[[#This Row],[ICAO]],3)</f>
        <v>ANE</v>
      </c>
      <c r="F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t="s">
        <v>255</v>
      </c>
      <c r="B56" t="s">
        <v>256</v>
      </c>
      <c r="C56">
        <v>-23.135000000000002</v>
      </c>
      <c r="D56">
        <v>118.706667</v>
      </c>
      <c r="F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t="s">
        <v>257</v>
      </c>
      <c r="B57" t="s">
        <v>258</v>
      </c>
      <c r="C57">
        <v>-26.1</v>
      </c>
      <c r="D57">
        <v>130.4</v>
      </c>
      <c r="E57" t="str">
        <f>RIGHT(Airports[[#This Row],[ICAO]],3)</f>
        <v>ANJ</v>
      </c>
      <c r="F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t="s">
        <v>259</v>
      </c>
      <c r="B58" t="s">
        <v>260</v>
      </c>
      <c r="C58">
        <v>-28.897221999999999</v>
      </c>
      <c r="D58">
        <v>136.170556</v>
      </c>
      <c r="E58" t="str">
        <f>RIGHT(Airports[[#This Row],[ICAO]],3)</f>
        <v>ANK</v>
      </c>
      <c r="F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t="s">
        <v>261</v>
      </c>
      <c r="B59" t="s">
        <v>262</v>
      </c>
      <c r="C59">
        <v>-17.975556000000001</v>
      </c>
      <c r="D59">
        <v>135.53805600000001</v>
      </c>
      <c r="E59" t="str">
        <f>RIGHT(Airports[[#This Row],[ICAO]],3)</f>
        <v>ANL</v>
      </c>
      <c r="F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t="s">
        <v>263</v>
      </c>
      <c r="B60" t="s">
        <v>264</v>
      </c>
      <c r="C60">
        <v>-21.831666999999999</v>
      </c>
      <c r="D60">
        <v>133.125</v>
      </c>
      <c r="E60" t="str">
        <f>RIGHT(Airports[[#This Row],[ICAO]],3)</f>
        <v>ANN</v>
      </c>
      <c r="F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t="s">
        <v>265</v>
      </c>
      <c r="B61" t="s">
        <v>266</v>
      </c>
      <c r="C61">
        <v>-24.733332999999998</v>
      </c>
      <c r="D61">
        <v>143.71638899999999</v>
      </c>
      <c r="E61" t="str">
        <f>RIGHT(Airports[[#This Row],[ICAO]],3)</f>
        <v>ANO</v>
      </c>
      <c r="F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t="s">
        <v>267</v>
      </c>
      <c r="B62" t="s">
        <v>268</v>
      </c>
      <c r="C62">
        <v>-12.885</v>
      </c>
      <c r="D62">
        <v>131.68444400000001</v>
      </c>
      <c r="E62" t="str">
        <f>RIGHT(Airports[[#This Row],[ICAO]],3)</f>
        <v>ANR</v>
      </c>
      <c r="F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t="s">
        <v>269</v>
      </c>
      <c r="B63" t="s">
        <v>270</v>
      </c>
      <c r="C63">
        <v>-21.2</v>
      </c>
      <c r="D63">
        <v>136.44833299999999</v>
      </c>
      <c r="E63" t="str">
        <f>RIGHT(Airports[[#This Row],[ICAO]],3)</f>
        <v>ANW</v>
      </c>
      <c r="F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t="s">
        <v>271</v>
      </c>
      <c r="B64" t="s">
        <v>272</v>
      </c>
      <c r="C64">
        <v>-27.667221999999999</v>
      </c>
      <c r="D64">
        <v>150.932222</v>
      </c>
      <c r="E64" t="str">
        <f>RIGHT(Airports[[#This Row],[ICAO]],3)</f>
        <v>AOC</v>
      </c>
      <c r="F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t="s">
        <v>273</v>
      </c>
      <c r="B65" t="s">
        <v>274</v>
      </c>
      <c r="C65">
        <v>-22.48</v>
      </c>
      <c r="D65">
        <v>143.1825</v>
      </c>
      <c r="E65" t="str">
        <f>RIGHT(Airports[[#This Row],[ICAO]],3)</f>
        <v>AOD</v>
      </c>
      <c r="F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t="s">
        <v>275</v>
      </c>
      <c r="B66" t="s">
        <v>276</v>
      </c>
      <c r="C66">
        <v>-21.648610999999999</v>
      </c>
      <c r="D66">
        <v>139.193611</v>
      </c>
      <c r="E66" t="str">
        <f>RIGHT(Airports[[#This Row],[ICAO]],3)</f>
        <v>AOR</v>
      </c>
      <c r="F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t="s">
        <v>277</v>
      </c>
      <c r="B67" t="s">
        <v>278</v>
      </c>
      <c r="C67">
        <v>-19.25</v>
      </c>
      <c r="D67">
        <v>121.516667</v>
      </c>
      <c r="E67" t="str">
        <f>RIGHT(Airports[[#This Row],[ICAO]],3)</f>
        <v>APA</v>
      </c>
      <c r="F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t="s">
        <v>279</v>
      </c>
      <c r="B68" t="s">
        <v>280</v>
      </c>
      <c r="C68">
        <v>-23.646111000000001</v>
      </c>
      <c r="D68">
        <v>146.58361099999999</v>
      </c>
      <c r="E68" t="str">
        <f>RIGHT(Airports[[#This Row],[ICAO]],3)</f>
        <v>APH</v>
      </c>
      <c r="F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t="s">
        <v>281</v>
      </c>
      <c r="B69" t="s">
        <v>282</v>
      </c>
      <c r="C69">
        <v>-38.772778000000002</v>
      </c>
      <c r="D69">
        <v>143.65694400000001</v>
      </c>
      <c r="E69" t="str">
        <f>RIGHT(Airports[[#This Row],[ICAO]],3)</f>
        <v>APO</v>
      </c>
      <c r="F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t="s">
        <v>283</v>
      </c>
      <c r="B70" t="s">
        <v>284</v>
      </c>
      <c r="C70">
        <v>-25.528888999999999</v>
      </c>
      <c r="D70">
        <v>152.57</v>
      </c>
      <c r="E70" t="str">
        <f>RIGHT(Airports[[#This Row],[ICAO]],3)</f>
        <v>AQA</v>
      </c>
      <c r="F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t="s">
        <v>285</v>
      </c>
      <c r="B71" t="s">
        <v>286</v>
      </c>
      <c r="C71">
        <v>-22.977055</v>
      </c>
      <c r="D71">
        <v>148.55233799999999</v>
      </c>
      <c r="E71" t="str">
        <f>RIGHT(Airports[[#This Row],[ICAO]],3)</f>
        <v>AQM</v>
      </c>
      <c r="F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t="s">
        <v>287</v>
      </c>
      <c r="B72" t="s">
        <v>288</v>
      </c>
      <c r="C72">
        <v>-37.309443999999999</v>
      </c>
      <c r="D72">
        <v>142.98861099999999</v>
      </c>
      <c r="E72" t="str">
        <f>RIGHT(Airports[[#This Row],[ICAO]],3)</f>
        <v>ARA</v>
      </c>
      <c r="F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t="s">
        <v>289</v>
      </c>
      <c r="B73" t="s">
        <v>290</v>
      </c>
      <c r="C73">
        <v>-13.440556000000001</v>
      </c>
      <c r="D73">
        <v>142.927222</v>
      </c>
      <c r="F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t="s">
        <v>291</v>
      </c>
      <c r="B74" t="s">
        <v>292</v>
      </c>
      <c r="C74">
        <v>-21.676389</v>
      </c>
      <c r="D74">
        <v>136.67777799999999</v>
      </c>
      <c r="E74" t="str">
        <f>RIGHT(Airports[[#This Row],[ICAO]],3)</f>
        <v>ARD</v>
      </c>
      <c r="F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t="s">
        <v>293</v>
      </c>
      <c r="B75" t="s">
        <v>294</v>
      </c>
      <c r="C75">
        <v>-25.838611</v>
      </c>
      <c r="D75">
        <v>147.41222200000001</v>
      </c>
      <c r="E75" t="str">
        <f>RIGHT(Airports[[#This Row],[ICAO]],3)</f>
        <v>ARE</v>
      </c>
      <c r="F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t="s">
        <v>295</v>
      </c>
      <c r="B76" t="s">
        <v>296</v>
      </c>
      <c r="C76">
        <v>-16.686388999999998</v>
      </c>
      <c r="D76">
        <v>146.07638900000001</v>
      </c>
      <c r="E76" t="str">
        <f>RIGHT(Airports[[#This Row],[ICAO]],3)</f>
        <v>ARF</v>
      </c>
      <c r="F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t="s">
        <v>297</v>
      </c>
      <c r="B77" t="s">
        <v>198</v>
      </c>
      <c r="C77">
        <v>-16.636944</v>
      </c>
      <c r="D77">
        <v>128.45138900000001</v>
      </c>
      <c r="E77" t="str">
        <f>RIGHT(Airports[[#This Row],[ICAO]],3)</f>
        <v>ARG</v>
      </c>
      <c r="F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t="s">
        <v>298</v>
      </c>
      <c r="B78" t="s">
        <v>299</v>
      </c>
      <c r="C78">
        <v>-19.549721999999999</v>
      </c>
      <c r="D78">
        <v>141.38305600000001</v>
      </c>
      <c r="E78" t="str">
        <f>RIGHT(Airports[[#This Row],[ICAO]],3)</f>
        <v>ARI</v>
      </c>
      <c r="F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t="s">
        <v>300</v>
      </c>
      <c r="B79" t="s">
        <v>301</v>
      </c>
      <c r="C79">
        <v>-30.406389000000001</v>
      </c>
      <c r="D79">
        <v>139.346667</v>
      </c>
      <c r="E79" t="str">
        <f>RIGHT(Airports[[#This Row],[ICAO]],3)</f>
        <v>ARK</v>
      </c>
      <c r="F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t="s">
        <v>302</v>
      </c>
      <c r="B80" t="s">
        <v>303</v>
      </c>
      <c r="C80">
        <v>-34.412500000000001</v>
      </c>
      <c r="D80">
        <v>146.853611</v>
      </c>
      <c r="E80" t="str">
        <f>RIGHT(Airports[[#This Row],[ICAO]],3)</f>
        <v>ARL</v>
      </c>
      <c r="F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t="s">
        <v>304</v>
      </c>
      <c r="B81" t="s">
        <v>305</v>
      </c>
      <c r="C81">
        <v>-30.528055999999999</v>
      </c>
      <c r="D81">
        <v>151.617222</v>
      </c>
      <c r="E81" t="str">
        <f>RIGHT(Airports[[#This Row],[ICAO]],3)</f>
        <v>ARM</v>
      </c>
      <c r="F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t="s">
        <v>306</v>
      </c>
      <c r="B82" t="s">
        <v>307</v>
      </c>
      <c r="C82">
        <v>-24.089721999999998</v>
      </c>
      <c r="D82">
        <v>132.268056</v>
      </c>
      <c r="E82" t="str">
        <f>RIGHT(Airports[[#This Row],[ICAO]],3)</f>
        <v>ARN</v>
      </c>
      <c r="F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t="s">
        <v>308</v>
      </c>
      <c r="B83" t="s">
        <v>309</v>
      </c>
      <c r="C83">
        <v>-22.316666999999999</v>
      </c>
      <c r="D83">
        <v>135.69972200000001</v>
      </c>
      <c r="E83" t="str">
        <f>RIGHT(Airports[[#This Row],[ICAO]],3)</f>
        <v>ARP</v>
      </c>
      <c r="F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t="s">
        <v>310</v>
      </c>
      <c r="B84" t="s">
        <v>311</v>
      </c>
      <c r="C84">
        <v>-22.131667</v>
      </c>
      <c r="D84">
        <v>147.89333300000001</v>
      </c>
      <c r="E84" t="str">
        <f>RIGHT(Airports[[#This Row],[ICAO]],3)</f>
        <v>ARR</v>
      </c>
      <c r="F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t="s">
        <v>312</v>
      </c>
      <c r="B85" t="s">
        <v>313</v>
      </c>
      <c r="C85">
        <v>-26.690556000000001</v>
      </c>
      <c r="D85">
        <v>141.047222</v>
      </c>
      <c r="E85" t="str">
        <f>RIGHT(Airports[[#This Row],[ICAO]],3)</f>
        <v>ARY</v>
      </c>
      <c r="F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t="s">
        <v>314</v>
      </c>
      <c r="B86" t="s">
        <v>315</v>
      </c>
      <c r="C86">
        <v>-29.316666999999999</v>
      </c>
      <c r="D86">
        <v>151.05611099999999</v>
      </c>
      <c r="E86" t="str">
        <f>RIGHT(Airports[[#This Row],[ICAO]],3)</f>
        <v>ASF</v>
      </c>
      <c r="F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t="s">
        <v>316</v>
      </c>
      <c r="B87" t="s">
        <v>317</v>
      </c>
      <c r="C87">
        <v>-17.261944</v>
      </c>
      <c r="D87">
        <v>145.514444</v>
      </c>
      <c r="E87" t="str">
        <f>RIGHT(Airports[[#This Row],[ICAO]],3)</f>
        <v>ATN</v>
      </c>
      <c r="F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t="s">
        <v>318</v>
      </c>
      <c r="B88" t="s">
        <v>319</v>
      </c>
      <c r="C88">
        <v>-37.164166999999999</v>
      </c>
      <c r="D88">
        <v>143.46</v>
      </c>
      <c r="E88" t="str">
        <f>RIGHT(Airports[[#This Row],[ICAO]],3)</f>
        <v>ATR</v>
      </c>
      <c r="F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t="s">
        <v>320</v>
      </c>
      <c r="B89" t="s">
        <v>321</v>
      </c>
      <c r="C89">
        <v>-24.037222</v>
      </c>
      <c r="D89">
        <v>148.40888899999999</v>
      </c>
      <c r="E89" t="str">
        <f>RIGHT(Airports[[#This Row],[ICAO]],3)</f>
        <v>ATU</v>
      </c>
      <c r="F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t="s">
        <v>322</v>
      </c>
      <c r="B90" t="s">
        <v>323</v>
      </c>
      <c r="C90">
        <v>-25.754999999999999</v>
      </c>
      <c r="D90">
        <v>146.58666700000001</v>
      </c>
      <c r="E90" t="str">
        <f>RIGHT(Airports[[#This Row],[ICAO]],3)</f>
        <v>AUA</v>
      </c>
      <c r="F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t="s">
        <v>324</v>
      </c>
      <c r="B91" t="s">
        <v>325</v>
      </c>
      <c r="C91">
        <v>-25.95</v>
      </c>
      <c r="D91">
        <v>150.61666700000001</v>
      </c>
      <c r="E91" t="str">
        <f>RIGHT(Airports[[#This Row],[ICAO]],3)</f>
        <v>AUB</v>
      </c>
      <c r="F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t="s">
        <v>326</v>
      </c>
      <c r="B92" t="s">
        <v>327</v>
      </c>
      <c r="C92">
        <v>-34.33</v>
      </c>
      <c r="D92">
        <v>115.156667</v>
      </c>
      <c r="E92" t="str">
        <f>RIGHT(Airports[[#This Row],[ICAO]],3)</f>
        <v>AUG</v>
      </c>
      <c r="F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t="s">
        <v>328</v>
      </c>
      <c r="B93" t="s">
        <v>329</v>
      </c>
      <c r="C93">
        <v>-13.353889000000001</v>
      </c>
      <c r="D93">
        <v>141.720833</v>
      </c>
      <c r="E93" t="str">
        <f>RIGHT(Airports[[#This Row],[ICAO]],3)</f>
        <v>AUR</v>
      </c>
      <c r="F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t="s">
        <v>330</v>
      </c>
      <c r="B94" t="s">
        <v>331</v>
      </c>
      <c r="C94">
        <v>-20.5</v>
      </c>
      <c r="D94">
        <v>137.766389</v>
      </c>
      <c r="E94" t="str">
        <f>RIGHT(Airports[[#This Row],[ICAO]],3)</f>
        <v>AUS</v>
      </c>
      <c r="F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t="s">
        <v>332</v>
      </c>
      <c r="B95" t="s">
        <v>333</v>
      </c>
      <c r="C95">
        <v>-23.149722000000001</v>
      </c>
      <c r="D95">
        <v>145.19972200000001</v>
      </c>
      <c r="E95" t="str">
        <f>RIGHT(Airports[[#This Row],[ICAO]],3)</f>
        <v>AUT</v>
      </c>
      <c r="F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t="s">
        <v>334</v>
      </c>
      <c r="B96" t="s">
        <v>335</v>
      </c>
      <c r="C96">
        <v>-15.693333000000001</v>
      </c>
      <c r="D96">
        <v>130.00805600000001</v>
      </c>
      <c r="E96" t="str">
        <f>RIGHT(Airports[[#This Row],[ICAO]],3)</f>
        <v>AUV</v>
      </c>
      <c r="F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t="s">
        <v>336</v>
      </c>
      <c r="B97" t="s">
        <v>337</v>
      </c>
      <c r="C97">
        <v>-20.039166999999999</v>
      </c>
      <c r="D97">
        <v>137.52166700000001</v>
      </c>
      <c r="E97" t="str">
        <f>RIGHT(Airports[[#This Row],[ICAO]],3)</f>
        <v>AVD</v>
      </c>
      <c r="F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t="s">
        <v>338</v>
      </c>
      <c r="B98" t="s">
        <v>339</v>
      </c>
      <c r="C98">
        <v>-38.028333000000003</v>
      </c>
      <c r="D98">
        <v>144.49194399999999</v>
      </c>
      <c r="E98" t="str">
        <f>RIGHT(Airports[[#This Row],[ICAO]],3)</f>
        <v>AVE</v>
      </c>
      <c r="F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t="s">
        <v>340</v>
      </c>
      <c r="B99" t="s">
        <v>341</v>
      </c>
      <c r="C99">
        <v>-28.881944000000001</v>
      </c>
      <c r="D99">
        <v>153.435</v>
      </c>
      <c r="E99" t="str">
        <f>RIGHT(Airports[[#This Row],[ICAO]],3)</f>
        <v>AVS</v>
      </c>
      <c r="F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t="s">
        <v>342</v>
      </c>
      <c r="B100" t="s">
        <v>343</v>
      </c>
      <c r="C100">
        <v>-28.6875</v>
      </c>
      <c r="D100">
        <v>149.93305599999999</v>
      </c>
      <c r="E100" t="str">
        <f>RIGHT(Airports[[#This Row],[ICAO]],3)</f>
        <v>AVY</v>
      </c>
      <c r="F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t="s">
        <v>344</v>
      </c>
      <c r="B101" t="s">
        <v>345</v>
      </c>
      <c r="C101">
        <v>-24.201667</v>
      </c>
      <c r="D101">
        <v>151.89166700000001</v>
      </c>
      <c r="E101" t="str">
        <f>RIGHT(Airports[[#This Row],[ICAO]],3)</f>
        <v>AWT</v>
      </c>
      <c r="F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t="s">
        <v>346</v>
      </c>
      <c r="B102" t="s">
        <v>347</v>
      </c>
      <c r="C102">
        <v>-37.186667</v>
      </c>
      <c r="D102">
        <v>145.71444399999999</v>
      </c>
      <c r="E102" t="str">
        <f>RIGHT(Airports[[#This Row],[ICAO]],3)</f>
        <v>AXA</v>
      </c>
      <c r="F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t="s">
        <v>348</v>
      </c>
      <c r="B103" t="s">
        <v>349</v>
      </c>
      <c r="C103">
        <v>-25.186111</v>
      </c>
      <c r="D103">
        <v>130.97555600000001</v>
      </c>
      <c r="E103" t="str">
        <f>RIGHT(Airports[[#This Row],[ICAO]],3)</f>
        <v>AYE</v>
      </c>
      <c r="F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t="s">
        <v>350</v>
      </c>
      <c r="B104" t="s">
        <v>351</v>
      </c>
      <c r="C104">
        <v>-19.596388999999999</v>
      </c>
      <c r="D104">
        <v>147.32472200000001</v>
      </c>
      <c r="E104" t="str">
        <f>RIGHT(Airports[[#This Row],[ICAO]],3)</f>
        <v>AYR</v>
      </c>
      <c r="F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t="s">
        <v>352</v>
      </c>
      <c r="B105" t="s">
        <v>353</v>
      </c>
      <c r="C105">
        <v>-24.186667</v>
      </c>
      <c r="D105">
        <v>149.845</v>
      </c>
      <c r="E105" t="str">
        <f>RIGHT(Airports[[#This Row],[ICAO]],3)</f>
        <v>BAB</v>
      </c>
      <c r="G105" s="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t="s">
        <v>354</v>
      </c>
      <c r="B106" t="s">
        <v>355</v>
      </c>
      <c r="C106">
        <v>-30.954999999999998</v>
      </c>
      <c r="D106">
        <v>149.091667</v>
      </c>
      <c r="E106" t="str">
        <f>RIGHT(Airports[[#This Row],[ICAO]],3)</f>
        <v>BAD</v>
      </c>
      <c r="G106" s="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t="s">
        <v>356</v>
      </c>
      <c r="B107" t="s">
        <v>357</v>
      </c>
      <c r="C107">
        <v>-27.570277999999998</v>
      </c>
      <c r="D107">
        <v>153.00805600000001</v>
      </c>
      <c r="F10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t="s">
        <v>358</v>
      </c>
      <c r="B108" t="s">
        <v>359</v>
      </c>
      <c r="C108">
        <v>-35.328888999999997</v>
      </c>
      <c r="D108">
        <v>139.435</v>
      </c>
      <c r="E108" t="str">
        <f>RIGHT(Airports[[#This Row],[ICAO]],3)</f>
        <v>BAK</v>
      </c>
      <c r="G108" s="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t="s">
        <v>360</v>
      </c>
      <c r="B109" t="s">
        <v>361</v>
      </c>
      <c r="C109">
        <v>-32.333055999999999</v>
      </c>
      <c r="D109">
        <v>123.625</v>
      </c>
      <c r="E109" t="str">
        <f>RIGHT(Airports[[#This Row],[ICAO]],3)</f>
        <v>BAL</v>
      </c>
      <c r="G109" s="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t="s">
        <v>362</v>
      </c>
      <c r="B110" t="s">
        <v>363</v>
      </c>
      <c r="C110">
        <v>-16.741389000000002</v>
      </c>
      <c r="D110">
        <v>125.905556</v>
      </c>
      <c r="E110" t="str">
        <f>RIGHT(Airports[[#This Row],[ICAO]],3)</f>
        <v>BAN</v>
      </c>
      <c r="G110" s="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t="s">
        <v>364</v>
      </c>
      <c r="B111" t="s">
        <v>365</v>
      </c>
      <c r="C111">
        <v>-23.565277999999999</v>
      </c>
      <c r="D111">
        <v>145.306667</v>
      </c>
      <c r="E111" t="str">
        <f>RIGHT(Airports[[#This Row],[ICAO]],3)</f>
        <v>BAR</v>
      </c>
      <c r="F11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t="s">
        <v>366</v>
      </c>
      <c r="B112" t="s">
        <v>367</v>
      </c>
      <c r="C112">
        <v>-23.806667000000001</v>
      </c>
      <c r="D112">
        <v>133.90222199999999</v>
      </c>
      <c r="F112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t="s">
        <v>368</v>
      </c>
      <c r="B113" t="s">
        <v>369</v>
      </c>
      <c r="C113">
        <v>-10.15</v>
      </c>
      <c r="D113">
        <v>142.17416700000001</v>
      </c>
      <c r="E113" t="str">
        <f>RIGHT(Airports[[#This Row],[ICAO]],3)</f>
        <v>BAU</v>
      </c>
      <c r="G113" s="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t="s">
        <v>370</v>
      </c>
      <c r="B114" t="s">
        <v>371</v>
      </c>
      <c r="C114">
        <v>-20.495833000000001</v>
      </c>
      <c r="D114">
        <v>138.47472200000001</v>
      </c>
      <c r="E114" t="str">
        <f>RIGHT(Airports[[#This Row],[ICAO]],3)</f>
        <v>BAW</v>
      </c>
      <c r="G114" s="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t="s">
        <v>372</v>
      </c>
      <c r="B115" t="s">
        <v>373</v>
      </c>
      <c r="C115">
        <v>-13.148056</v>
      </c>
      <c r="D115">
        <v>135.81611100000001</v>
      </c>
      <c r="G115" s="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t="s">
        <v>374</v>
      </c>
      <c r="B116" t="s">
        <v>375</v>
      </c>
      <c r="C116">
        <v>-30.393611</v>
      </c>
      <c r="D116">
        <v>150.59777800000001</v>
      </c>
      <c r="E116" t="str">
        <f>RIGHT(Airports[[#This Row],[ICAO]],3)</f>
        <v>BBA</v>
      </c>
      <c r="G116" s="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t="s">
        <v>376</v>
      </c>
      <c r="B117" t="s">
        <v>377</v>
      </c>
      <c r="C117">
        <v>-20.95</v>
      </c>
      <c r="D117">
        <v>120.15</v>
      </c>
      <c r="E117" t="str">
        <f>RIGHT(Airports[[#This Row],[ICAO]],3)</f>
        <v>BBC</v>
      </c>
      <c r="G117" s="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t="s">
        <v>378</v>
      </c>
      <c r="B118" t="s">
        <v>379</v>
      </c>
      <c r="C118">
        <v>-28.739722</v>
      </c>
      <c r="D118">
        <v>153.487222</v>
      </c>
      <c r="E118" t="str">
        <f>RIGHT(Airports[[#This Row],[ICAO]],3)</f>
        <v>BBF</v>
      </c>
      <c r="G118" s="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t="s">
        <v>380</v>
      </c>
      <c r="B119" t="s">
        <v>381</v>
      </c>
      <c r="C119">
        <v>-16.491667</v>
      </c>
      <c r="D119">
        <v>139.283333</v>
      </c>
      <c r="E119" t="str">
        <f>RIGHT(Airports[[#This Row],[ICAO]],3)</f>
        <v>BBH</v>
      </c>
      <c r="G119" s="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t="s">
        <v>382</v>
      </c>
      <c r="B120" t="s">
        <v>383</v>
      </c>
      <c r="C120">
        <v>-27.416388999999999</v>
      </c>
      <c r="D120">
        <v>115.833333</v>
      </c>
      <c r="E120" t="str">
        <f>RIGHT(Airports[[#This Row],[ICAO]],3)</f>
        <v>BBL</v>
      </c>
      <c r="G120" s="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t="s">
        <v>384</v>
      </c>
      <c r="B121" t="s">
        <v>385</v>
      </c>
      <c r="C121">
        <v>-27.384167000000001</v>
      </c>
      <c r="D121">
        <v>153.11750000000001</v>
      </c>
      <c r="F12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t="s">
        <v>386</v>
      </c>
      <c r="B122" t="s">
        <v>387</v>
      </c>
      <c r="C122">
        <v>-30.406666999999999</v>
      </c>
      <c r="D122">
        <v>135.47999999999999</v>
      </c>
      <c r="E122" t="str">
        <f>RIGHT(Airports[[#This Row],[ICAO]],3)</f>
        <v>BBO</v>
      </c>
      <c r="G122" s="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t="s">
        <v>388</v>
      </c>
      <c r="B123" t="s">
        <v>389</v>
      </c>
      <c r="C123">
        <v>-13.376944</v>
      </c>
      <c r="D123">
        <v>131.49527800000001</v>
      </c>
      <c r="E123" t="str">
        <f>RIGHT(Airports[[#This Row],[ICAO]],3)</f>
        <v>BBS</v>
      </c>
      <c r="G123" s="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t="s">
        <v>390</v>
      </c>
      <c r="B124" t="s">
        <v>391</v>
      </c>
      <c r="C124">
        <v>-36.137222000000001</v>
      </c>
      <c r="D124">
        <v>143.72055599999999</v>
      </c>
      <c r="E124" t="str">
        <f>RIGHT(Airports[[#This Row],[ICAO]],3)</f>
        <v>BBT</v>
      </c>
      <c r="G124" s="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t="s">
        <v>392</v>
      </c>
      <c r="B125" t="s">
        <v>393</v>
      </c>
      <c r="C125">
        <v>-17.801943999999999</v>
      </c>
      <c r="D125">
        <v>146.0625</v>
      </c>
      <c r="E125" t="str">
        <f>RIGHT(Airports[[#This Row],[ICAO]],3)</f>
        <v>BBY</v>
      </c>
      <c r="G125" s="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t="s">
        <v>394</v>
      </c>
      <c r="B126" t="s">
        <v>395</v>
      </c>
      <c r="C126">
        <v>-15.766389</v>
      </c>
      <c r="D126">
        <v>130.033333</v>
      </c>
      <c r="E126" t="str">
        <f>RIGHT(Airports[[#This Row],[ICAO]],3)</f>
        <v>BCA</v>
      </c>
      <c r="G126" s="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t="s">
        <v>396</v>
      </c>
      <c r="B127" t="s">
        <v>397</v>
      </c>
      <c r="C127">
        <v>-30.821667000000001</v>
      </c>
      <c r="D127">
        <v>117.867222</v>
      </c>
      <c r="E127" t="str">
        <f>RIGHT(Airports[[#This Row],[ICAO]],3)</f>
        <v>BCB</v>
      </c>
      <c r="G127" s="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t="s">
        <v>398</v>
      </c>
      <c r="B128" t="s">
        <v>399</v>
      </c>
      <c r="C128">
        <v>-26.733332999999998</v>
      </c>
      <c r="D128">
        <v>150.88305600000001</v>
      </c>
      <c r="E128" t="str">
        <f>RIGHT(Airports[[#This Row],[ICAO]],3)</f>
        <v>BCD</v>
      </c>
      <c r="G128" s="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t="s">
        <v>400</v>
      </c>
      <c r="B129" t="s">
        <v>401</v>
      </c>
      <c r="C129">
        <v>-23.316666999999999</v>
      </c>
      <c r="D129">
        <v>144.56638899999999</v>
      </c>
      <c r="E129" t="str">
        <f>RIGHT(Airports[[#This Row],[ICAO]],3)</f>
        <v>BCF</v>
      </c>
      <c r="G129" s="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t="s">
        <v>402</v>
      </c>
      <c r="B130" t="s">
        <v>403</v>
      </c>
      <c r="C130">
        <v>-28.164444</v>
      </c>
      <c r="D130">
        <v>153.50472199999999</v>
      </c>
      <c r="F130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t="s">
        <v>404</v>
      </c>
      <c r="B131" t="s">
        <v>405</v>
      </c>
      <c r="C131">
        <v>-36.394444</v>
      </c>
      <c r="D131">
        <v>146.69666699999999</v>
      </c>
      <c r="E131" t="str">
        <f>RIGHT(Airports[[#This Row],[ICAO]],3)</f>
        <v>BCH</v>
      </c>
      <c r="G131" s="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t="s">
        <v>406</v>
      </c>
      <c r="B132" t="s">
        <v>407</v>
      </c>
      <c r="C132">
        <v>-24.427778</v>
      </c>
      <c r="D132">
        <v>145.42861099999999</v>
      </c>
      <c r="E132" t="str">
        <f>RIGHT(Airports[[#This Row],[ICAO]],3)</f>
        <v>BCK</v>
      </c>
      <c r="G132" s="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t="s">
        <v>408</v>
      </c>
      <c r="B133" t="s">
        <v>409</v>
      </c>
      <c r="C133">
        <v>-27.391667000000002</v>
      </c>
      <c r="D133">
        <v>152.46166700000001</v>
      </c>
      <c r="F133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t="s">
        <v>410</v>
      </c>
      <c r="B134" t="s">
        <v>411</v>
      </c>
      <c r="C134">
        <v>-13.061111</v>
      </c>
      <c r="D134">
        <v>131.024722</v>
      </c>
      <c r="E134" t="str">
        <f>RIGHT(Airports[[#This Row],[ICAO]],3)</f>
        <v>BCR</v>
      </c>
      <c r="G134" s="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t="s">
        <v>412</v>
      </c>
      <c r="B135" t="s">
        <v>413</v>
      </c>
      <c r="C135">
        <v>-16.885833000000002</v>
      </c>
      <c r="D135">
        <v>145.755278</v>
      </c>
      <c r="F135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t="s">
        <v>414</v>
      </c>
      <c r="B136" t="s">
        <v>415</v>
      </c>
      <c r="C136">
        <v>-13.895</v>
      </c>
      <c r="D136">
        <v>128.48416700000001</v>
      </c>
      <c r="E136" t="str">
        <f>RIGHT(Airports[[#This Row],[ICAO]],3)</f>
        <v>BCT</v>
      </c>
      <c r="G136" s="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t="s">
        <v>416</v>
      </c>
      <c r="B137" t="s">
        <v>417</v>
      </c>
      <c r="C137">
        <v>-26.413333000000002</v>
      </c>
      <c r="D137">
        <v>146.26249999999999</v>
      </c>
      <c r="F13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t="s">
        <v>418</v>
      </c>
      <c r="B138" t="s">
        <v>419</v>
      </c>
      <c r="C138">
        <v>-27.345832999999999</v>
      </c>
      <c r="D138">
        <v>153.42583300000001</v>
      </c>
      <c r="E138" t="str">
        <f>RIGHT(Airports[[#This Row],[ICAO]],3)</f>
        <v>BCX</v>
      </c>
      <c r="G138" s="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t="s">
        <v>420</v>
      </c>
      <c r="B139" t="s">
        <v>421</v>
      </c>
      <c r="C139">
        <v>-18</v>
      </c>
      <c r="D139">
        <v>146.13305600000001</v>
      </c>
      <c r="E139" t="str">
        <f>RIGHT(Airports[[#This Row],[ICAO]],3)</f>
        <v>BDA</v>
      </c>
      <c r="G139" s="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t="s">
        <v>422</v>
      </c>
      <c r="B140" t="s">
        <v>423</v>
      </c>
      <c r="C140">
        <v>-24.799721999999999</v>
      </c>
      <c r="D140">
        <v>143.016389</v>
      </c>
      <c r="E140" t="str">
        <f>RIGHT(Airports[[#This Row],[ICAO]],3)</f>
        <v>BDD</v>
      </c>
      <c r="G140" s="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t="s">
        <v>424</v>
      </c>
      <c r="B141" t="s">
        <v>425</v>
      </c>
      <c r="C141">
        <v>-17.286943999999998</v>
      </c>
      <c r="D141">
        <v>127.46305599999999</v>
      </c>
      <c r="E141" t="str">
        <f>RIGHT(Airports[[#This Row],[ICAO]],3)</f>
        <v>BDF</v>
      </c>
      <c r="G141" s="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t="s">
        <v>426</v>
      </c>
      <c r="B142" t="s">
        <v>427</v>
      </c>
      <c r="C142">
        <v>-36.739167000000002</v>
      </c>
      <c r="D142">
        <v>144.329722</v>
      </c>
      <c r="E142" t="str">
        <f>RIGHT(Airports[[#This Row],[ICAO]],3)</f>
        <v>BDG</v>
      </c>
      <c r="G142" s="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t="s">
        <v>428</v>
      </c>
      <c r="B143" t="s">
        <v>429</v>
      </c>
      <c r="C143">
        <v>-36.347777999999998</v>
      </c>
      <c r="D143">
        <v>140.08333300000001</v>
      </c>
      <c r="E143" t="str">
        <f>RIGHT(Airports[[#This Row],[ICAO]],3)</f>
        <v>BDL</v>
      </c>
      <c r="G143" s="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t="s">
        <v>430</v>
      </c>
      <c r="B144" t="s">
        <v>431</v>
      </c>
      <c r="C144">
        <v>-31.805</v>
      </c>
      <c r="D144">
        <v>148.16333299999999</v>
      </c>
      <c r="E144" t="str">
        <f>RIGHT(Airports[[#This Row],[ICAO]],3)</f>
        <v>BDM</v>
      </c>
      <c r="G144" s="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t="s">
        <v>432</v>
      </c>
      <c r="B145" t="s">
        <v>433</v>
      </c>
      <c r="C145">
        <v>-28.966667000000001</v>
      </c>
      <c r="D145">
        <v>147.66666699999999</v>
      </c>
      <c r="E145" t="str">
        <f>RIGHT(Airports[[#This Row],[ICAO]],3)</f>
        <v>BDO</v>
      </c>
      <c r="G145" s="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t="s">
        <v>434</v>
      </c>
      <c r="B146" t="s">
        <v>435</v>
      </c>
      <c r="C146">
        <v>-41.023888999999997</v>
      </c>
      <c r="D146">
        <v>147.41666699999999</v>
      </c>
      <c r="E146" t="str">
        <f>RIGHT(Airports[[#This Row],[ICAO]],3)</f>
        <v>BDP</v>
      </c>
      <c r="G146" s="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t="s">
        <v>436</v>
      </c>
      <c r="B147" t="s">
        <v>437</v>
      </c>
      <c r="C147">
        <v>-27.983332999999998</v>
      </c>
      <c r="D147">
        <v>153</v>
      </c>
      <c r="E147" t="str">
        <f>RIGHT(Airports[[#This Row],[ICAO]],3)</f>
        <v>BDR</v>
      </c>
      <c r="G147" s="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t="s">
        <v>438</v>
      </c>
      <c r="B148" t="s">
        <v>439</v>
      </c>
      <c r="C148">
        <v>-30.283055999999998</v>
      </c>
      <c r="D148">
        <v>134.516389</v>
      </c>
      <c r="E148" t="str">
        <f>RIGHT(Airports[[#This Row],[ICAO]],3)</f>
        <v>BDS</v>
      </c>
      <c r="G148" s="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t="s">
        <v>440</v>
      </c>
      <c r="B149" t="s">
        <v>441</v>
      </c>
      <c r="C149">
        <v>-18.383056</v>
      </c>
      <c r="D149">
        <v>129.44972200000001</v>
      </c>
      <c r="E149" t="str">
        <f>RIGHT(Airports[[#This Row],[ICAO]],3)</f>
        <v>BDU</v>
      </c>
      <c r="G149" s="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t="s">
        <v>442</v>
      </c>
      <c r="B150" t="s">
        <v>443</v>
      </c>
      <c r="C150">
        <v>-25.897500000000001</v>
      </c>
      <c r="D150">
        <v>139.3475</v>
      </c>
      <c r="E150" t="str">
        <f>RIGHT(Airports[[#This Row],[ICAO]],3)</f>
        <v>BDV</v>
      </c>
      <c r="G150" s="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t="s">
        <v>444</v>
      </c>
      <c r="B151" t="s">
        <v>445</v>
      </c>
      <c r="C151">
        <v>-20.308056000000001</v>
      </c>
      <c r="D151">
        <v>142.19499999999999</v>
      </c>
      <c r="E151" t="str">
        <f>RIGHT(Airports[[#This Row],[ICAO]],3)</f>
        <v>BEA</v>
      </c>
      <c r="G151" s="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t="s">
        <v>446</v>
      </c>
      <c r="B152" t="s">
        <v>447</v>
      </c>
      <c r="C152">
        <v>-17.544722</v>
      </c>
      <c r="D152">
        <v>128.30500000000001</v>
      </c>
      <c r="E152" t="str">
        <f>RIGHT(Airports[[#This Row],[ICAO]],3)</f>
        <v>BEB</v>
      </c>
      <c r="G152" s="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t="s">
        <v>448</v>
      </c>
      <c r="B153" t="s">
        <v>449</v>
      </c>
      <c r="C153">
        <v>-30.475000000000001</v>
      </c>
      <c r="D153">
        <v>117.88</v>
      </c>
      <c r="E153" t="str">
        <f>RIGHT(Airports[[#This Row],[ICAO]],3)</f>
        <v>BEC</v>
      </c>
      <c r="G153" s="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t="s">
        <v>450</v>
      </c>
      <c r="B154" t="s">
        <v>451</v>
      </c>
      <c r="C154">
        <v>-36.333055999999999</v>
      </c>
      <c r="D154">
        <v>148.833056</v>
      </c>
      <c r="E154" t="str">
        <f>RIGHT(Airports[[#This Row],[ICAO]],3)</f>
        <v>BED</v>
      </c>
      <c r="G154" s="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t="s">
        <v>452</v>
      </c>
      <c r="B155" t="s">
        <v>453</v>
      </c>
      <c r="C155">
        <v>-30.186667</v>
      </c>
      <c r="D155">
        <v>139.558333</v>
      </c>
      <c r="E155" t="str">
        <f>RIGHT(Airports[[#This Row],[ICAO]],3)</f>
        <v>BEE</v>
      </c>
      <c r="G155" s="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t="s">
        <v>454</v>
      </c>
      <c r="B156" t="s">
        <v>455</v>
      </c>
      <c r="C156">
        <v>-19.655277999999999</v>
      </c>
      <c r="D156">
        <v>146.29388900000001</v>
      </c>
      <c r="E156" t="str">
        <f>RIGHT(Airports[[#This Row],[ICAO]],3)</f>
        <v>BEG</v>
      </c>
      <c r="G156" s="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t="s">
        <v>456</v>
      </c>
      <c r="B157" t="s">
        <v>457</v>
      </c>
      <c r="C157">
        <v>-25.695</v>
      </c>
      <c r="D157">
        <v>140.73666700000001</v>
      </c>
      <c r="E157" t="str">
        <f>RIGHT(Airports[[#This Row],[ICAO]],3)</f>
        <v>BEO</v>
      </c>
      <c r="G157" s="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t="s">
        <v>458</v>
      </c>
      <c r="B158" t="s">
        <v>459</v>
      </c>
      <c r="C158">
        <v>-34.381110999999997</v>
      </c>
      <c r="D158">
        <v>119.34</v>
      </c>
      <c r="E158" t="str">
        <f>RIGHT(Airports[[#This Row],[ICAO]],3)</f>
        <v>BER</v>
      </c>
      <c r="G158" s="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t="s">
        <v>460</v>
      </c>
      <c r="B159" t="s">
        <v>461</v>
      </c>
      <c r="C159">
        <v>-35.985556000000003</v>
      </c>
      <c r="D159">
        <v>142.40388899999999</v>
      </c>
      <c r="E159" t="str">
        <f>RIGHT(Airports[[#This Row],[ICAO]],3)</f>
        <v>BEU</v>
      </c>
      <c r="G159" s="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t="s">
        <v>462</v>
      </c>
      <c r="B160" t="s">
        <v>463</v>
      </c>
      <c r="C160">
        <v>-32.124721999999998</v>
      </c>
      <c r="D160">
        <v>116.95</v>
      </c>
      <c r="E160" t="str">
        <f>RIGHT(Airports[[#This Row],[ICAO]],3)</f>
        <v>BEV</v>
      </c>
      <c r="G160" s="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t="s">
        <v>464</v>
      </c>
      <c r="B161" t="s">
        <v>465</v>
      </c>
      <c r="C161">
        <v>-21.616667</v>
      </c>
      <c r="D161">
        <v>144.16666699999999</v>
      </c>
      <c r="E161" t="str">
        <f>RIGHT(Airports[[#This Row],[ICAO]],3)</f>
        <v>BEY</v>
      </c>
      <c r="G161" s="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t="s">
        <v>466</v>
      </c>
      <c r="B162" t="s">
        <v>467</v>
      </c>
      <c r="C162">
        <v>-33.753332999999998</v>
      </c>
      <c r="D162">
        <v>122.362222</v>
      </c>
      <c r="E162" t="str">
        <f>RIGHT(Airports[[#This Row],[ICAO]],3)</f>
        <v>BFM</v>
      </c>
      <c r="G162" s="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t="s">
        <v>468</v>
      </c>
      <c r="B163" t="s">
        <v>469</v>
      </c>
      <c r="C163">
        <v>-37.494444000000001</v>
      </c>
      <c r="D163">
        <v>143.43</v>
      </c>
      <c r="E163" t="str">
        <f>RIGHT(Airports[[#This Row],[ICAO]],3)</f>
        <v>BFT</v>
      </c>
      <c r="G163" s="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t="s">
        <v>470</v>
      </c>
      <c r="B164" t="s">
        <v>471</v>
      </c>
      <c r="C164">
        <v>-23.311667</v>
      </c>
      <c r="D164">
        <v>148.48500000000001</v>
      </c>
      <c r="E164" t="str">
        <f>RIGHT(Airports[[#This Row],[ICAO]],3)</f>
        <v>BFW</v>
      </c>
      <c r="G164" s="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t="s">
        <v>472</v>
      </c>
      <c r="B165" t="s">
        <v>473</v>
      </c>
      <c r="C165">
        <v>-16.983332999999998</v>
      </c>
      <c r="D165">
        <v>122.65</v>
      </c>
      <c r="E165" t="str">
        <f>RIGHT(Airports[[#This Row],[ICAO]],3)</f>
        <v>BGB</v>
      </c>
      <c r="G165" s="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t="s">
        <v>474</v>
      </c>
      <c r="B166" t="s">
        <v>475</v>
      </c>
      <c r="C166">
        <v>-22.541111000000001</v>
      </c>
      <c r="D166">
        <v>117.26944399999999</v>
      </c>
      <c r="E166" t="str">
        <f>RIGHT(Airports[[#This Row],[ICAO]],3)</f>
        <v>BGD</v>
      </c>
      <c r="G166" s="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t="s">
        <v>476</v>
      </c>
      <c r="B167" t="s">
        <v>477</v>
      </c>
      <c r="C167">
        <v>-33.833055999999999</v>
      </c>
      <c r="D167">
        <v>115.099722</v>
      </c>
      <c r="E167" t="str">
        <f>RIGHT(Airports[[#This Row],[ICAO]],3)</f>
        <v>BGE</v>
      </c>
      <c r="G167" s="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t="s">
        <v>478</v>
      </c>
      <c r="B168" t="s">
        <v>479</v>
      </c>
      <c r="C168">
        <v>-31.146667000000001</v>
      </c>
      <c r="D168">
        <v>125.668333</v>
      </c>
      <c r="E168" t="str">
        <f>RIGHT(Airports[[#This Row],[ICAO]],3)</f>
        <v>BGI</v>
      </c>
      <c r="G168" s="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t="s">
        <v>480</v>
      </c>
      <c r="B169" t="s">
        <v>481</v>
      </c>
      <c r="C169">
        <v>-20.148333000000001</v>
      </c>
      <c r="D169">
        <v>127.973889</v>
      </c>
      <c r="E169" t="str">
        <f>RIGHT(Airports[[#This Row],[ICAO]],3)</f>
        <v>BGO</v>
      </c>
      <c r="G169" s="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t="s">
        <v>482</v>
      </c>
      <c r="B170" t="s">
        <v>483</v>
      </c>
      <c r="C170">
        <v>-36.616667</v>
      </c>
      <c r="D170">
        <v>143.94999999999999</v>
      </c>
      <c r="E170" t="str">
        <f>RIGHT(Airports[[#This Row],[ICAO]],3)</f>
        <v>BGR</v>
      </c>
      <c r="G170" s="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t="s">
        <v>484</v>
      </c>
      <c r="B171" t="s">
        <v>485</v>
      </c>
      <c r="C171">
        <v>-25.37</v>
      </c>
      <c r="D171">
        <v>143.773056</v>
      </c>
      <c r="E171" t="str">
        <f>RIGHT(Airports[[#This Row],[ICAO]],3)</f>
        <v>BGT</v>
      </c>
      <c r="G171" s="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t="s">
        <v>486</v>
      </c>
      <c r="B172" t="s">
        <v>487</v>
      </c>
      <c r="C172">
        <v>-32.075000000000003</v>
      </c>
      <c r="D172">
        <v>151.10555600000001</v>
      </c>
      <c r="E172" t="str">
        <f>RIGHT(Airports[[#This Row],[ICAO]],3)</f>
        <v>BGU</v>
      </c>
      <c r="G172" s="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t="s">
        <v>488</v>
      </c>
      <c r="B173" t="s">
        <v>489</v>
      </c>
      <c r="C173">
        <v>-43.421388999999998</v>
      </c>
      <c r="D173">
        <v>146.16222200000001</v>
      </c>
      <c r="E173" t="str">
        <f>RIGHT(Airports[[#This Row],[ICAO]],3)</f>
        <v>BHB</v>
      </c>
      <c r="G173" s="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t="s">
        <v>490</v>
      </c>
      <c r="B174" t="s">
        <v>491</v>
      </c>
      <c r="C174">
        <v>-32.001389000000003</v>
      </c>
      <c r="D174">
        <v>141.471667</v>
      </c>
      <c r="E174" t="str">
        <f>RIGHT(Airports[[#This Row],[ICAO]],3)</f>
        <v>BHI</v>
      </c>
      <c r="G174" s="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t="s">
        <v>492</v>
      </c>
      <c r="B175" t="s">
        <v>493</v>
      </c>
      <c r="C175">
        <v>-21.266389</v>
      </c>
      <c r="D175">
        <v>139.71638899999999</v>
      </c>
      <c r="E175" t="str">
        <f>RIGHT(Airports[[#This Row],[ICAO]],3)</f>
        <v>BHK</v>
      </c>
      <c r="G175" s="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t="s">
        <v>494</v>
      </c>
      <c r="B176" t="s">
        <v>495</v>
      </c>
      <c r="C176">
        <v>-31.340278000000001</v>
      </c>
      <c r="D176">
        <v>116.188333</v>
      </c>
      <c r="E176" t="str">
        <f>RIGHT(Airports[[#This Row],[ICAO]],3)</f>
        <v>BHL</v>
      </c>
      <c r="G176" s="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t="s">
        <v>496</v>
      </c>
      <c r="B177" t="s">
        <v>497</v>
      </c>
      <c r="C177">
        <v>-20.358056000000001</v>
      </c>
      <c r="D177">
        <v>148.95166699999999</v>
      </c>
      <c r="F17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t="s">
        <v>498</v>
      </c>
      <c r="B178" t="s">
        <v>499</v>
      </c>
      <c r="C178">
        <v>-27.653611000000001</v>
      </c>
      <c r="D178">
        <v>152.308333</v>
      </c>
      <c r="E178" t="str">
        <f>RIGHT(Airports[[#This Row],[ICAO]],3)</f>
        <v>BHN</v>
      </c>
      <c r="G178" s="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t="s">
        <v>500</v>
      </c>
      <c r="B179" t="s">
        <v>501</v>
      </c>
      <c r="C179">
        <v>-13.783333000000001</v>
      </c>
      <c r="D179">
        <v>136.19972200000001</v>
      </c>
      <c r="E179" t="str">
        <f>RIGHT(Airports[[#This Row],[ICAO]],3)</f>
        <v>BIC</v>
      </c>
      <c r="G179" s="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t="s">
        <v>502</v>
      </c>
      <c r="B180" t="s">
        <v>503</v>
      </c>
      <c r="C180">
        <v>-24.346111000000001</v>
      </c>
      <c r="D180">
        <v>139.46027799999999</v>
      </c>
      <c r="E180" t="str">
        <f>RIGHT(Airports[[#This Row],[ICAO]],3)</f>
        <v>BIE</v>
      </c>
      <c r="G180" s="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t="s">
        <v>504</v>
      </c>
      <c r="B181" t="s">
        <v>505</v>
      </c>
      <c r="C181">
        <v>-15.621667</v>
      </c>
      <c r="D181">
        <v>136.35305600000001</v>
      </c>
      <c r="E181" t="str">
        <f>RIGHT(Airports[[#This Row],[ICAO]],3)</f>
        <v>BIG</v>
      </c>
      <c r="G181" s="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t="s">
        <v>506</v>
      </c>
      <c r="B182" t="s">
        <v>507</v>
      </c>
      <c r="C182">
        <v>-29.916667</v>
      </c>
      <c r="D182">
        <v>136.186667</v>
      </c>
      <c r="E182" t="str">
        <f>RIGHT(Airports[[#This Row],[ICAO]],3)</f>
        <v>BIK</v>
      </c>
      <c r="G182" s="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t="s">
        <v>508</v>
      </c>
      <c r="B183" t="s">
        <v>509</v>
      </c>
      <c r="C183">
        <v>-19.566666999999999</v>
      </c>
      <c r="D183">
        <v>127.666389</v>
      </c>
      <c r="E183" t="str">
        <f>RIGHT(Airports[[#This Row],[ICAO]],3)</f>
        <v>BIL</v>
      </c>
      <c r="G183" s="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t="s">
        <v>510</v>
      </c>
      <c r="B184" t="s">
        <v>511</v>
      </c>
      <c r="C184">
        <v>-25.521388999999999</v>
      </c>
      <c r="D184">
        <v>152.046111</v>
      </c>
      <c r="E184" t="str">
        <f>RIGHT(Airports[[#This Row],[ICAO]],3)</f>
        <v>BIN</v>
      </c>
      <c r="G184" s="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t="s">
        <v>512</v>
      </c>
      <c r="B185" t="s">
        <v>513</v>
      </c>
      <c r="C185">
        <v>-35.999721999999998</v>
      </c>
      <c r="D185">
        <v>142.91749999999999</v>
      </c>
      <c r="E185" t="str">
        <f>RIGHT(Airports[[#This Row],[ICAO]],3)</f>
        <v>BIR</v>
      </c>
      <c r="G185" s="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t="s">
        <v>514</v>
      </c>
      <c r="B186" t="s">
        <v>515</v>
      </c>
      <c r="C186">
        <v>-16.133056</v>
      </c>
      <c r="D186">
        <v>130.44972200000001</v>
      </c>
      <c r="E186" t="str">
        <f>RIGHT(Airports[[#This Row],[ICAO]],3)</f>
        <v>BIT</v>
      </c>
      <c r="G186" s="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t="s">
        <v>516</v>
      </c>
      <c r="B187" t="s">
        <v>517</v>
      </c>
      <c r="C187">
        <v>-30.593333000000001</v>
      </c>
      <c r="D187">
        <v>116.78</v>
      </c>
      <c r="E187" t="str">
        <f>RIGHT(Airports[[#This Row],[ICAO]],3)</f>
        <v>BIU</v>
      </c>
      <c r="G187" s="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t="s">
        <v>518</v>
      </c>
      <c r="B188" t="s">
        <v>519</v>
      </c>
      <c r="C188">
        <v>-12.818611000000001</v>
      </c>
      <c r="D188">
        <v>136.475278</v>
      </c>
      <c r="E188" t="str">
        <f>RIGHT(Airports[[#This Row],[ICAO]],3)</f>
        <v>BIY</v>
      </c>
      <c r="G188" s="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t="s">
        <v>520</v>
      </c>
      <c r="B189" t="s">
        <v>521</v>
      </c>
      <c r="C189">
        <v>-13.218332999999999</v>
      </c>
      <c r="D189">
        <v>136.39166700000001</v>
      </c>
      <c r="E189" t="str">
        <f>RIGHT(Airports[[#This Row],[ICAO]],3)</f>
        <v>BJP</v>
      </c>
      <c r="G189" s="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t="s">
        <v>522</v>
      </c>
      <c r="B190" t="s">
        <v>523</v>
      </c>
      <c r="C190">
        <v>-27.683056000000001</v>
      </c>
      <c r="D190">
        <v>121.61666700000001</v>
      </c>
      <c r="E190" t="str">
        <f>RIGHT(Airports[[#This Row],[ICAO]],3)</f>
        <v>BJW</v>
      </c>
      <c r="G190" s="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t="s">
        <v>524</v>
      </c>
      <c r="B191" t="s">
        <v>525</v>
      </c>
      <c r="C191">
        <v>-22.666388999999999</v>
      </c>
      <c r="D191">
        <v>150.083056</v>
      </c>
      <c r="E191" t="str">
        <f>RIGHT(Airports[[#This Row],[ICAO]],3)</f>
        <v>BKA</v>
      </c>
      <c r="G191" s="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t="s">
        <v>526</v>
      </c>
      <c r="B192" t="s">
        <v>527</v>
      </c>
      <c r="C192">
        <v>-17.033055999999998</v>
      </c>
      <c r="D192">
        <v>143.91666699999999</v>
      </c>
      <c r="E192" t="str">
        <f>RIGHT(Airports[[#This Row],[ICAO]],3)</f>
        <v>BKD</v>
      </c>
      <c r="G192" s="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t="s">
        <v>528</v>
      </c>
      <c r="B193" t="s">
        <v>529</v>
      </c>
      <c r="C193">
        <v>-30.038611</v>
      </c>
      <c r="D193">
        <v>145.951944</v>
      </c>
      <c r="E193" t="str">
        <f>RIGHT(Airports[[#This Row],[ICAO]],3)</f>
        <v>BKE</v>
      </c>
      <c r="G193" s="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t="s">
        <v>530</v>
      </c>
      <c r="B194" t="s">
        <v>531</v>
      </c>
      <c r="C194">
        <v>-12.960556</v>
      </c>
      <c r="D194">
        <v>136.600278</v>
      </c>
      <c r="E194" t="str">
        <f>RIGHT(Airports[[#This Row],[ICAO]],3)</f>
        <v>BKL</v>
      </c>
      <c r="G194" s="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t="s">
        <v>532</v>
      </c>
      <c r="B195" t="s">
        <v>533</v>
      </c>
      <c r="C195">
        <v>-19.709167000000001</v>
      </c>
      <c r="D195">
        <v>135.81888900000001</v>
      </c>
      <c r="E195" t="str">
        <f>RIGHT(Airports[[#This Row],[ICAO]],3)</f>
        <v>BKS</v>
      </c>
      <c r="G195" s="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t="s">
        <v>534</v>
      </c>
      <c r="B196" t="s">
        <v>535</v>
      </c>
      <c r="C196">
        <v>-17.748611</v>
      </c>
      <c r="D196">
        <v>139.53444400000001</v>
      </c>
      <c r="E196" t="str">
        <f>RIGHT(Airports[[#This Row],[ICAO]],3)</f>
        <v>BKT</v>
      </c>
      <c r="G196" s="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t="s">
        <v>536</v>
      </c>
      <c r="B197" t="s">
        <v>537</v>
      </c>
      <c r="C197">
        <v>-19.216667000000001</v>
      </c>
      <c r="D197">
        <v>140.36666700000001</v>
      </c>
      <c r="E197" t="str">
        <f>RIGHT(Airports[[#This Row],[ICAO]],3)</f>
        <v>BKW</v>
      </c>
      <c r="G197" s="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t="s">
        <v>538</v>
      </c>
      <c r="B198" t="s">
        <v>539</v>
      </c>
      <c r="C198">
        <v>-36.554167</v>
      </c>
      <c r="D198">
        <v>146.00916699999999</v>
      </c>
      <c r="E198" t="str">
        <f>RIGHT(Airports[[#This Row],[ICAO]],3)</f>
        <v>BLA</v>
      </c>
      <c r="G198" s="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t="s">
        <v>540</v>
      </c>
      <c r="B199" t="s">
        <v>541</v>
      </c>
      <c r="C199">
        <v>-26.816666999999999</v>
      </c>
      <c r="D199">
        <v>114.61666700000001</v>
      </c>
      <c r="E199" t="str">
        <f>RIGHT(Airports[[#This Row],[ICAO]],3)</f>
        <v>BLB</v>
      </c>
      <c r="G199" s="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t="s">
        <v>542</v>
      </c>
      <c r="B200" t="s">
        <v>543</v>
      </c>
      <c r="C200">
        <v>-30.534444000000001</v>
      </c>
      <c r="D200">
        <v>139.33777799999999</v>
      </c>
      <c r="E200" t="str">
        <f>RIGHT(Airports[[#This Row],[ICAO]],3)</f>
        <v>BLC</v>
      </c>
      <c r="G200" s="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t="s">
        <v>544</v>
      </c>
      <c r="B201" t="s">
        <v>545</v>
      </c>
      <c r="C201">
        <v>-24.334721999999999</v>
      </c>
      <c r="D201">
        <v>150.55000000000001</v>
      </c>
      <c r="E201" t="str">
        <f>RIGHT(Airports[[#This Row],[ICAO]],3)</f>
        <v>BLE</v>
      </c>
      <c r="G201" s="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t="s">
        <v>546</v>
      </c>
      <c r="B202" t="s">
        <v>547</v>
      </c>
      <c r="C202">
        <v>-28.981943999999999</v>
      </c>
      <c r="D202">
        <v>140.858056</v>
      </c>
      <c r="E202" t="str">
        <f>RIGHT(Airports[[#This Row],[ICAO]],3)</f>
        <v>BLG</v>
      </c>
      <c r="G202" s="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t="s">
        <v>548</v>
      </c>
      <c r="B203" t="s">
        <v>549</v>
      </c>
      <c r="C203">
        <v>-30.330556000000001</v>
      </c>
      <c r="D203">
        <v>152.458889</v>
      </c>
      <c r="E203" t="str">
        <f>RIGHT(Airports[[#This Row],[ICAO]],3)</f>
        <v>BLI</v>
      </c>
      <c r="G203" s="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t="s">
        <v>550</v>
      </c>
      <c r="B204" t="s">
        <v>551</v>
      </c>
      <c r="C204">
        <v>-28.053611</v>
      </c>
      <c r="D204">
        <v>147.47833299999999</v>
      </c>
      <c r="E204" t="str">
        <f>RIGHT(Airports[[#This Row],[ICAO]],3)</f>
        <v>BLL</v>
      </c>
      <c r="G204" s="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t="s">
        <v>552</v>
      </c>
      <c r="B205" t="s">
        <v>553</v>
      </c>
      <c r="C205">
        <v>-31.12</v>
      </c>
      <c r="D205">
        <v>138.72499999999999</v>
      </c>
      <c r="E205" t="str">
        <f>RIGHT(Airports[[#This Row],[ICAO]],3)</f>
        <v>BLM</v>
      </c>
      <c r="G205" s="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t="s">
        <v>554</v>
      </c>
      <c r="B206" t="s">
        <v>555</v>
      </c>
      <c r="C206">
        <v>-33.687221999999998</v>
      </c>
      <c r="D206">
        <v>115.400278</v>
      </c>
      <c r="E206" t="str">
        <f>RIGHT(Airports[[#This Row],[ICAO]],3)</f>
        <v>BLN</v>
      </c>
      <c r="G206" s="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t="s">
        <v>556</v>
      </c>
      <c r="B207" t="s">
        <v>557</v>
      </c>
      <c r="C207">
        <v>-34.357778000000003</v>
      </c>
      <c r="D207">
        <v>150.166111</v>
      </c>
      <c r="E207" t="str">
        <f>RIGHT(Airports[[#This Row],[ICAO]],3)</f>
        <v>BLO</v>
      </c>
      <c r="G207" s="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t="s">
        <v>558</v>
      </c>
      <c r="B208" t="s">
        <v>559</v>
      </c>
      <c r="C208">
        <v>-19.191666999999999</v>
      </c>
      <c r="D208">
        <v>146.49333300000001</v>
      </c>
      <c r="E208" t="str">
        <f>RIGHT(Airports[[#This Row],[ICAO]],3)</f>
        <v>BLP</v>
      </c>
      <c r="G208" s="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t="s">
        <v>560</v>
      </c>
      <c r="B209" t="s">
        <v>561</v>
      </c>
      <c r="C209">
        <v>-37.511667000000003</v>
      </c>
      <c r="D209">
        <v>143.791111</v>
      </c>
      <c r="E209" t="str">
        <f>RIGHT(Airports[[#This Row],[ICAO]],3)</f>
        <v>BLT</v>
      </c>
      <c r="G209" s="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t="s">
        <v>562</v>
      </c>
      <c r="B210" t="s">
        <v>563</v>
      </c>
      <c r="C210">
        <v>-27.612777999999999</v>
      </c>
      <c r="D210">
        <v>120.593889</v>
      </c>
      <c r="E210" t="str">
        <f>RIGHT(Airports[[#This Row],[ICAO]],3)</f>
        <v>BLU</v>
      </c>
      <c r="G210" s="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t="s">
        <v>564</v>
      </c>
      <c r="B211" t="s">
        <v>565</v>
      </c>
      <c r="C211">
        <v>-24.066666999999999</v>
      </c>
      <c r="D211">
        <v>150.71638899999999</v>
      </c>
      <c r="E211" t="str">
        <f>RIGHT(Airports[[#This Row],[ICAO]],3)</f>
        <v>BLX</v>
      </c>
      <c r="G211" s="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t="s">
        <v>566</v>
      </c>
      <c r="B212" t="s">
        <v>567</v>
      </c>
      <c r="C212">
        <v>-20.663889000000001</v>
      </c>
      <c r="D212">
        <v>139.48861099999999</v>
      </c>
      <c r="F212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t="s">
        <v>568</v>
      </c>
      <c r="B213" t="s">
        <v>569</v>
      </c>
      <c r="C213">
        <v>-15.873333000000001</v>
      </c>
      <c r="D213">
        <v>145.328889</v>
      </c>
      <c r="E213" t="str">
        <f>RIGHT(Airports[[#This Row],[ICAO]],3)</f>
        <v>BMD</v>
      </c>
      <c r="G213" s="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t="s">
        <v>570</v>
      </c>
      <c r="B214" t="s">
        <v>571</v>
      </c>
      <c r="C214">
        <v>-36.426389</v>
      </c>
      <c r="D214">
        <v>150.076111</v>
      </c>
      <c r="E214" t="str">
        <f>RIGHT(Airports[[#This Row],[ICAO]],3)</f>
        <v>BMG</v>
      </c>
      <c r="G214" s="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t="s">
        <v>572</v>
      </c>
      <c r="B215" t="s">
        <v>573</v>
      </c>
      <c r="C215">
        <v>-28.728888999999999</v>
      </c>
      <c r="D215">
        <v>149.59555599999999</v>
      </c>
      <c r="E215" t="str">
        <f>RIGHT(Airports[[#This Row],[ICAO]],3)</f>
        <v>BMI</v>
      </c>
      <c r="G215" s="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t="s">
        <v>574</v>
      </c>
      <c r="B216" t="s">
        <v>575</v>
      </c>
      <c r="C216">
        <v>-21.171389000000001</v>
      </c>
      <c r="D216">
        <v>149.179722</v>
      </c>
      <c r="F216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t="s">
        <v>576</v>
      </c>
      <c r="B217" t="s">
        <v>577</v>
      </c>
      <c r="C217">
        <v>-34.248333000000002</v>
      </c>
      <c r="D217">
        <v>140.47194400000001</v>
      </c>
      <c r="E217" t="str">
        <f>RIGHT(Airports[[#This Row],[ICAO]],3)</f>
        <v>BMR</v>
      </c>
      <c r="G217" s="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t="s">
        <v>578</v>
      </c>
      <c r="B218" t="s">
        <v>579</v>
      </c>
      <c r="C218">
        <v>-22.533055999999998</v>
      </c>
      <c r="D218">
        <v>149.13305600000001</v>
      </c>
      <c r="E218" t="str">
        <f>RIGHT(Airports[[#This Row],[ICAO]],3)</f>
        <v>BMU</v>
      </c>
      <c r="G218" s="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t="s">
        <v>580</v>
      </c>
      <c r="B219" t="s">
        <v>581</v>
      </c>
      <c r="C219">
        <v>-14.519722</v>
      </c>
      <c r="D219">
        <v>132.88333299999999</v>
      </c>
      <c r="E219" t="str">
        <f>RIGHT(Airports[[#This Row],[ICAO]],3)</f>
        <v>BMY</v>
      </c>
      <c r="G219" s="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t="s">
        <v>582</v>
      </c>
      <c r="B220" t="s">
        <v>583</v>
      </c>
      <c r="C220">
        <v>-28.833888999999999</v>
      </c>
      <c r="D220">
        <v>153.5625</v>
      </c>
      <c r="E220" t="str">
        <f>RIGHT(Airports[[#This Row],[ICAO]],3)</f>
        <v>BNA</v>
      </c>
      <c r="G220" s="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t="s">
        <v>584</v>
      </c>
      <c r="B221" t="s">
        <v>585</v>
      </c>
      <c r="C221">
        <v>-28.498055999999998</v>
      </c>
      <c r="D221">
        <v>120.944722</v>
      </c>
      <c r="E221" t="str">
        <f>RIGHT(Airports[[#This Row],[ICAO]],3)</f>
        <v>BNC</v>
      </c>
      <c r="G221" s="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t="s">
        <v>586</v>
      </c>
      <c r="B222" t="s">
        <v>587</v>
      </c>
      <c r="C222">
        <v>-34.174166999999997</v>
      </c>
      <c r="D222">
        <v>148.47194400000001</v>
      </c>
      <c r="E222" t="str">
        <f>RIGHT(Airports[[#This Row],[ICAO]],3)</f>
        <v>BND</v>
      </c>
      <c r="G222" s="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t="s">
        <v>588</v>
      </c>
      <c r="B223" t="s">
        <v>589</v>
      </c>
      <c r="C223">
        <v>-33.269722000000002</v>
      </c>
      <c r="D223">
        <v>150.05861100000001</v>
      </c>
      <c r="E223" t="str">
        <f>RIGHT(Airports[[#This Row],[ICAO]],3)</f>
        <v>BNE</v>
      </c>
      <c r="G223" s="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t="s">
        <v>590</v>
      </c>
      <c r="B224" t="s">
        <v>591</v>
      </c>
      <c r="C224">
        <v>-28.157520999999999</v>
      </c>
      <c r="D224">
        <v>153.48145299999999</v>
      </c>
      <c r="E224" t="str">
        <f>RIGHT(Airports[[#This Row],[ICAO]],3)</f>
        <v>BNH</v>
      </c>
      <c r="G224" s="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t="s">
        <v>592</v>
      </c>
      <c r="B225" t="s">
        <v>593</v>
      </c>
      <c r="C225">
        <v>-13.200278000000001</v>
      </c>
      <c r="D225">
        <v>136.22666699999999</v>
      </c>
      <c r="E225" t="str">
        <f>RIGHT(Airports[[#This Row],[ICAO]],3)</f>
        <v>BNI</v>
      </c>
      <c r="G225" s="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t="s">
        <v>594</v>
      </c>
      <c r="B226" t="s">
        <v>595</v>
      </c>
      <c r="C226">
        <v>-17.936388999999998</v>
      </c>
      <c r="D226">
        <v>136.899722</v>
      </c>
      <c r="E226" t="str">
        <f>RIGHT(Airports[[#This Row],[ICAO]],3)</f>
        <v>BNM</v>
      </c>
      <c r="G226" s="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t="s">
        <v>596</v>
      </c>
      <c r="B227" t="s">
        <v>597</v>
      </c>
      <c r="C227">
        <v>-17.348610999999998</v>
      </c>
      <c r="D227">
        <v>145.578889</v>
      </c>
      <c r="E227" t="str">
        <f>RIGHT(Airports[[#This Row],[ICAO]],3)</f>
        <v>BNP</v>
      </c>
      <c r="G227" s="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t="s">
        <v>598</v>
      </c>
      <c r="B228" t="s">
        <v>599</v>
      </c>
      <c r="C228">
        <v>-18.895555999999999</v>
      </c>
      <c r="D228">
        <v>128.94194400000001</v>
      </c>
      <c r="E228" t="str">
        <f>RIGHT(Airports[[#This Row],[ICAO]],3)</f>
        <v>BNR</v>
      </c>
      <c r="G228" s="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t="s">
        <v>600</v>
      </c>
      <c r="B229" t="s">
        <v>601</v>
      </c>
      <c r="C229">
        <v>-37.887500000000003</v>
      </c>
      <c r="D229">
        <v>147.567778</v>
      </c>
      <c r="E229" t="str">
        <f>RIGHT(Airports[[#This Row],[ICAO]],3)</f>
        <v>BNS</v>
      </c>
      <c r="G229" s="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t="s">
        <v>602</v>
      </c>
      <c r="B230" t="s">
        <v>603</v>
      </c>
      <c r="C230">
        <v>-18.869167000000001</v>
      </c>
      <c r="D230">
        <v>134.46111099999999</v>
      </c>
      <c r="E230" t="str">
        <f>RIGHT(Airports[[#This Row],[ICAO]],3)</f>
        <v>BNY</v>
      </c>
      <c r="G230" s="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t="s">
        <v>604</v>
      </c>
      <c r="B231" t="s">
        <v>605</v>
      </c>
      <c r="C231">
        <v>-28.017499999999998</v>
      </c>
      <c r="D231">
        <v>152.67666700000001</v>
      </c>
      <c r="E231" t="str">
        <f>RIGHT(Airports[[#This Row],[ICAO]],3)</f>
        <v>BOA</v>
      </c>
      <c r="G231" s="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t="s">
        <v>606</v>
      </c>
      <c r="B232" t="s">
        <v>607</v>
      </c>
      <c r="C232">
        <v>-31.206944</v>
      </c>
      <c r="D232">
        <v>120.318889</v>
      </c>
      <c r="E232" t="str">
        <f>RIGHT(Airports[[#This Row],[ICAO]],3)</f>
        <v>BOB</v>
      </c>
      <c r="G232" s="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t="s">
        <v>608</v>
      </c>
      <c r="B233" t="s">
        <v>609</v>
      </c>
      <c r="C233">
        <v>-32.89</v>
      </c>
      <c r="D233">
        <v>138.36666700000001</v>
      </c>
      <c r="E233" t="str">
        <f>RIGHT(Airports[[#This Row],[ICAO]],3)</f>
        <v>BOC</v>
      </c>
      <c r="G233" s="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t="s">
        <v>610</v>
      </c>
      <c r="B234" t="s">
        <v>611</v>
      </c>
      <c r="C234">
        <v>-9.233333</v>
      </c>
      <c r="D234">
        <v>142.216667</v>
      </c>
      <c r="E234" t="str">
        <f>RIGHT(Airports[[#This Row],[ICAO]],3)</f>
        <v>BOI</v>
      </c>
      <c r="G234" s="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t="s">
        <v>612</v>
      </c>
      <c r="B235" t="s">
        <v>613</v>
      </c>
      <c r="C235">
        <v>-27.411389</v>
      </c>
      <c r="D235">
        <v>151.73527799999999</v>
      </c>
      <c r="F235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t="s">
        <v>614</v>
      </c>
      <c r="B236" t="s">
        <v>615</v>
      </c>
      <c r="C236">
        <v>-28.616667</v>
      </c>
      <c r="D236">
        <v>150.36666700000001</v>
      </c>
      <c r="E236" t="str">
        <f>RIGHT(Airports[[#This Row],[ICAO]],3)</f>
        <v>BOL</v>
      </c>
      <c r="G236" s="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t="s">
        <v>616</v>
      </c>
      <c r="B237" t="s">
        <v>617</v>
      </c>
      <c r="C237">
        <v>-36.905000000000001</v>
      </c>
      <c r="D237">
        <v>149.183333</v>
      </c>
      <c r="E237" t="str">
        <f>RIGHT(Airports[[#This Row],[ICAO]],3)</f>
        <v>BOM</v>
      </c>
      <c r="G237" s="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t="s">
        <v>618</v>
      </c>
      <c r="B238" t="s">
        <v>619</v>
      </c>
      <c r="C238">
        <v>-31.275556000000002</v>
      </c>
      <c r="D238">
        <v>116.2625</v>
      </c>
      <c r="E238" t="str">
        <f>RIGHT(Airports[[#This Row],[ICAO]],3)</f>
        <v>BOO</v>
      </c>
      <c r="G238" s="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t="s">
        <v>620</v>
      </c>
      <c r="B239" t="s">
        <v>621</v>
      </c>
      <c r="C239">
        <v>-33.896667000000001</v>
      </c>
      <c r="D239">
        <v>116.45</v>
      </c>
      <c r="E239" t="str">
        <f>RIGHT(Airports[[#This Row],[ICAO]],3)</f>
        <v>BOP</v>
      </c>
      <c r="G239" s="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t="s">
        <v>622</v>
      </c>
      <c r="B240" t="s">
        <v>623</v>
      </c>
      <c r="C240">
        <v>-36.271667000000001</v>
      </c>
      <c r="D240">
        <v>140.721667</v>
      </c>
      <c r="E240" t="str">
        <f>RIGHT(Airports[[#This Row],[ICAO]],3)</f>
        <v>BOR</v>
      </c>
      <c r="G240" s="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t="s">
        <v>624</v>
      </c>
      <c r="B241" t="s">
        <v>625</v>
      </c>
      <c r="C241">
        <v>-18.116667</v>
      </c>
      <c r="D241">
        <v>125.65</v>
      </c>
      <c r="E241" t="str">
        <f>RIGHT(Airports[[#This Row],[ICAO]],3)</f>
        <v>BOS</v>
      </c>
      <c r="G241" s="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t="s">
        <v>626</v>
      </c>
      <c r="B242" t="s">
        <v>627</v>
      </c>
      <c r="C242">
        <v>-27.269722000000002</v>
      </c>
      <c r="D242">
        <v>146.899722</v>
      </c>
      <c r="E242" t="str">
        <f>RIGHT(Airports[[#This Row],[ICAO]],3)</f>
        <v>BOT</v>
      </c>
      <c r="G242" s="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t="s">
        <v>628</v>
      </c>
      <c r="B243" t="s">
        <v>629</v>
      </c>
      <c r="C243">
        <v>-22.913333000000002</v>
      </c>
      <c r="D243">
        <v>139.899722</v>
      </c>
      <c r="E243" t="str">
        <f>RIGHT(Airports[[#This Row],[ICAO]],3)</f>
        <v>BOU</v>
      </c>
      <c r="G243" s="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t="s">
        <v>630</v>
      </c>
      <c r="B244" t="s">
        <v>631</v>
      </c>
      <c r="C244">
        <v>-31.636389000000001</v>
      </c>
      <c r="D244">
        <v>129.01083299999999</v>
      </c>
      <c r="E244" t="str">
        <f>RIGHT(Airports[[#This Row],[ICAO]],3)</f>
        <v>BOV</v>
      </c>
      <c r="G244" s="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t="s">
        <v>632</v>
      </c>
      <c r="B245" t="s">
        <v>633</v>
      </c>
      <c r="C245">
        <v>-27.75</v>
      </c>
      <c r="D245">
        <v>119.9</v>
      </c>
      <c r="E245" t="str">
        <f>RIGHT(Airports[[#This Row],[ICAO]],3)</f>
        <v>BOY</v>
      </c>
      <c r="G245" s="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t="s">
        <v>634</v>
      </c>
      <c r="B246" t="s">
        <v>635</v>
      </c>
      <c r="C246">
        <v>-20.803332999999999</v>
      </c>
      <c r="D246">
        <v>149.27000000000001</v>
      </c>
      <c r="E246" t="str">
        <f>RIGHT(Airports[[#This Row],[ICAO]],3)</f>
        <v>BPI</v>
      </c>
      <c r="G246" s="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t="s">
        <v>636</v>
      </c>
      <c r="B247" t="s">
        <v>637</v>
      </c>
      <c r="C247">
        <v>-37.822221999999996</v>
      </c>
      <c r="D247">
        <v>144.95666700000001</v>
      </c>
      <c r="E247" t="str">
        <f>RIGHT(Airports[[#This Row],[ICAO]],3)</f>
        <v>BPK</v>
      </c>
      <c r="G247" s="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t="s">
        <v>638</v>
      </c>
      <c r="B248" t="s">
        <v>639</v>
      </c>
      <c r="C248">
        <v>-28.578610999999999</v>
      </c>
      <c r="D248">
        <v>148.800556</v>
      </c>
      <c r="E248" t="str">
        <f>RIGHT(Airports[[#This Row],[ICAO]],3)</f>
        <v>BPL</v>
      </c>
      <c r="G248" s="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t="s">
        <v>640</v>
      </c>
      <c r="B249" t="s">
        <v>641</v>
      </c>
      <c r="C249">
        <v>-20.495000000000001</v>
      </c>
      <c r="D249">
        <v>148.552222</v>
      </c>
      <c r="F24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t="s">
        <v>642</v>
      </c>
      <c r="B250" t="s">
        <v>643</v>
      </c>
      <c r="C250">
        <v>-36.970832999999999</v>
      </c>
      <c r="D250">
        <v>147.701111</v>
      </c>
      <c r="E250" t="str">
        <f>RIGHT(Airports[[#This Row],[ICAO]],3)</f>
        <v>BRA</v>
      </c>
      <c r="G250" s="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t="s">
        <v>644</v>
      </c>
      <c r="B251" t="s">
        <v>645</v>
      </c>
      <c r="C251">
        <v>-13.952500000000001</v>
      </c>
      <c r="D251">
        <v>123.306389</v>
      </c>
      <c r="E251" t="str">
        <f>RIGHT(Airports[[#This Row],[ICAO]],3)</f>
        <v>BRB</v>
      </c>
      <c r="G251" s="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t="s">
        <v>646</v>
      </c>
      <c r="B252" t="s">
        <v>647</v>
      </c>
      <c r="C252">
        <v>-21.533055999999998</v>
      </c>
      <c r="D252">
        <v>133.88305600000001</v>
      </c>
      <c r="E252" t="str">
        <f>RIGHT(Airports[[#This Row],[ICAO]],3)</f>
        <v>BRC</v>
      </c>
      <c r="G252" s="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t="s">
        <v>648</v>
      </c>
      <c r="B253" t="s">
        <v>649</v>
      </c>
      <c r="C253">
        <v>-15.345000000000001</v>
      </c>
      <c r="D253">
        <v>130.27333300000001</v>
      </c>
      <c r="E253" t="str">
        <f>RIGHT(Airports[[#This Row],[ICAO]],3)</f>
        <v>BRD</v>
      </c>
      <c r="G253" s="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t="s">
        <v>650</v>
      </c>
      <c r="B254" t="s">
        <v>651</v>
      </c>
      <c r="C254">
        <v>-12.086111000000001</v>
      </c>
      <c r="D254">
        <v>136.77444399999999</v>
      </c>
      <c r="E254" t="str">
        <f>RIGHT(Airports[[#This Row],[ICAO]],3)</f>
        <v>BRE</v>
      </c>
      <c r="G254" s="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t="s">
        <v>652</v>
      </c>
      <c r="B255" t="s">
        <v>653</v>
      </c>
      <c r="C255">
        <v>-14.944965</v>
      </c>
      <c r="D255">
        <v>142.34017900000001</v>
      </c>
      <c r="E255" t="str">
        <f>RIGHT(Airports[[#This Row],[ICAO]],3)</f>
        <v>BRG</v>
      </c>
      <c r="G255" s="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t="s">
        <v>654</v>
      </c>
      <c r="B256" t="s">
        <v>655</v>
      </c>
      <c r="C256">
        <v>-34.274999999999999</v>
      </c>
      <c r="D256">
        <v>140.60249999999999</v>
      </c>
      <c r="E256" t="str">
        <f>RIGHT(Airports[[#This Row],[ICAO]],3)</f>
        <v>BRI</v>
      </c>
      <c r="G256" s="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t="s">
        <v>656</v>
      </c>
      <c r="B257" t="s">
        <v>657</v>
      </c>
      <c r="C257">
        <v>-30.158611000000001</v>
      </c>
      <c r="D257">
        <v>148.97416699999999</v>
      </c>
      <c r="E257" t="str">
        <f>RIGHT(Airports[[#This Row],[ICAO]],3)</f>
        <v>BRJ</v>
      </c>
      <c r="G257" s="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t="s">
        <v>658</v>
      </c>
      <c r="B258" t="s">
        <v>659</v>
      </c>
      <c r="C258">
        <v>-23.381944000000001</v>
      </c>
      <c r="D258">
        <v>150.475278</v>
      </c>
      <c r="F258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t="s">
        <v>660</v>
      </c>
      <c r="B259" t="s">
        <v>661</v>
      </c>
      <c r="C259">
        <v>-16.075278000000001</v>
      </c>
      <c r="D259">
        <v>136.302222</v>
      </c>
      <c r="E259" t="str">
        <f>RIGHT(Airports[[#This Row],[ICAO]],3)</f>
        <v>BRL</v>
      </c>
      <c r="G259" s="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t="s">
        <v>662</v>
      </c>
      <c r="B260" t="s">
        <v>663</v>
      </c>
      <c r="C260">
        <v>-17.949444</v>
      </c>
      <c r="D260">
        <v>122.227778</v>
      </c>
      <c r="E260" t="str">
        <f>RIGHT(Airports[[#This Row],[ICAO]],3)</f>
        <v>BRM</v>
      </c>
      <c r="G260" s="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t="s">
        <v>664</v>
      </c>
      <c r="B261" t="s">
        <v>665</v>
      </c>
      <c r="C261">
        <v>-34.623610999999997</v>
      </c>
      <c r="D261">
        <v>143.57833299999999</v>
      </c>
      <c r="E261" t="str">
        <f>RIGHT(Airports[[#This Row],[ICAO]],3)</f>
        <v>BRN</v>
      </c>
      <c r="G261" s="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t="s">
        <v>666</v>
      </c>
      <c r="B262" t="s">
        <v>667</v>
      </c>
      <c r="C262">
        <v>-31.887499999999999</v>
      </c>
      <c r="D262">
        <v>118.11499999999999</v>
      </c>
      <c r="E262" t="str">
        <f>RIGHT(Airports[[#This Row],[ICAO]],3)</f>
        <v>BRO</v>
      </c>
      <c r="G262" s="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t="s">
        <v>668</v>
      </c>
      <c r="B263" t="s">
        <v>669</v>
      </c>
      <c r="C263">
        <v>-38.258056000000003</v>
      </c>
      <c r="D263">
        <v>144.42750000000001</v>
      </c>
      <c r="E263" t="str">
        <f>RIGHT(Airports[[#This Row],[ICAO]],3)</f>
        <v>BRS</v>
      </c>
      <c r="G263" s="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t="s">
        <v>670</v>
      </c>
      <c r="B264" t="s">
        <v>671</v>
      </c>
      <c r="C264">
        <v>-18.637499999999999</v>
      </c>
      <c r="D264">
        <v>135.943611</v>
      </c>
      <c r="E264" t="str">
        <f>RIGHT(Airports[[#This Row],[ICAO]],3)</f>
        <v>BRU</v>
      </c>
      <c r="G264" s="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t="s">
        <v>672</v>
      </c>
      <c r="B265" t="s">
        <v>673</v>
      </c>
      <c r="C265">
        <v>-29.973889</v>
      </c>
      <c r="D265">
        <v>146.816667</v>
      </c>
      <c r="E265" t="str">
        <f>RIGHT(Airports[[#This Row],[ICAO]],3)</f>
        <v>BRW</v>
      </c>
      <c r="G265" s="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t="s">
        <v>674</v>
      </c>
      <c r="B266" t="s">
        <v>675</v>
      </c>
      <c r="C266">
        <v>-22.673888999999999</v>
      </c>
      <c r="D266">
        <v>119.166111</v>
      </c>
      <c r="E266" t="str">
        <f>RIGHT(Airports[[#This Row],[ICAO]],3)</f>
        <v>BRY</v>
      </c>
      <c r="G266" s="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t="s">
        <v>676</v>
      </c>
      <c r="B267" t="s">
        <v>677</v>
      </c>
      <c r="C267">
        <v>-9.8213889999999999</v>
      </c>
      <c r="D267">
        <v>130.26916700000001</v>
      </c>
      <c r="E267" t="str">
        <f>RIGHT(Airports[[#This Row],[ICAO]],3)</f>
        <v>BSA</v>
      </c>
      <c r="G267" s="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t="s">
        <v>678</v>
      </c>
      <c r="B268" t="s">
        <v>679</v>
      </c>
      <c r="C268">
        <v>-22.5</v>
      </c>
      <c r="D268">
        <v>146.933333</v>
      </c>
      <c r="E268" t="str">
        <f>RIGHT(Airports[[#This Row],[ICAO]],3)</f>
        <v>BSF</v>
      </c>
      <c r="G268" s="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t="s">
        <v>680</v>
      </c>
      <c r="B269" t="s">
        <v>681</v>
      </c>
      <c r="C269">
        <v>-12.623889</v>
      </c>
      <c r="D269">
        <v>142.087222</v>
      </c>
      <c r="F26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t="s">
        <v>682</v>
      </c>
      <c r="B270" t="s">
        <v>683</v>
      </c>
      <c r="C270">
        <v>-19.724722</v>
      </c>
      <c r="D270">
        <v>150.424722</v>
      </c>
      <c r="E270" t="str">
        <f>RIGHT(Airports[[#This Row],[ICAO]],3)</f>
        <v>BSM</v>
      </c>
      <c r="G270" s="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t="s">
        <v>684</v>
      </c>
      <c r="B271" t="s">
        <v>685</v>
      </c>
      <c r="C271">
        <v>-16.649722000000001</v>
      </c>
      <c r="D271">
        <v>135.85</v>
      </c>
      <c r="E271" t="str">
        <f>RIGHT(Airports[[#This Row],[ICAO]],3)</f>
        <v>BSN</v>
      </c>
      <c r="G271" s="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t="s">
        <v>686</v>
      </c>
      <c r="B272" t="s">
        <v>687</v>
      </c>
      <c r="C272">
        <v>-32.681389000000003</v>
      </c>
      <c r="D272">
        <v>151.12472199999999</v>
      </c>
      <c r="E272" t="str">
        <f>RIGHT(Airports[[#This Row],[ICAO]],3)</f>
        <v>BSO</v>
      </c>
      <c r="G272" s="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t="s">
        <v>688</v>
      </c>
      <c r="B273" t="s">
        <v>689</v>
      </c>
      <c r="C273">
        <v>-23.516389</v>
      </c>
      <c r="D273">
        <v>133.84916699999999</v>
      </c>
      <c r="E273" t="str">
        <f>RIGHT(Airports[[#This Row],[ICAO]],3)</f>
        <v>BSP</v>
      </c>
      <c r="G273" s="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t="s">
        <v>690</v>
      </c>
      <c r="B274" t="s">
        <v>691</v>
      </c>
      <c r="C274">
        <v>-25.987221999999999</v>
      </c>
      <c r="D274">
        <v>128.36666700000001</v>
      </c>
      <c r="E274" t="str">
        <f>RIGHT(Airports[[#This Row],[ICAO]],3)</f>
        <v>BSR</v>
      </c>
      <c r="G274" s="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t="s">
        <v>692</v>
      </c>
      <c r="B275" t="s">
        <v>693</v>
      </c>
      <c r="C275">
        <v>-37.733333000000002</v>
      </c>
      <c r="D275">
        <v>144.422222</v>
      </c>
      <c r="E275" t="str">
        <f>RIGHT(Airports[[#This Row],[ICAO]],3)</f>
        <v>BSS</v>
      </c>
      <c r="G275" s="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t="s">
        <v>694</v>
      </c>
      <c r="B276" t="s">
        <v>695</v>
      </c>
      <c r="C276">
        <v>-33.725833000000002</v>
      </c>
      <c r="D276">
        <v>147.50722200000001</v>
      </c>
      <c r="E276" t="str">
        <f>RIGHT(Airports[[#This Row],[ICAO]],3)</f>
        <v>BST</v>
      </c>
      <c r="G276" s="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t="s">
        <v>696</v>
      </c>
      <c r="B277" t="s">
        <v>697</v>
      </c>
      <c r="C277">
        <v>-26.603332999999999</v>
      </c>
      <c r="D277">
        <v>153.09111100000001</v>
      </c>
      <c r="F27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t="s">
        <v>698</v>
      </c>
      <c r="B278" t="s">
        <v>699</v>
      </c>
      <c r="C278">
        <v>-24.183056000000001</v>
      </c>
      <c r="D278">
        <v>142.88305600000001</v>
      </c>
      <c r="E278" t="str">
        <f>RIGHT(Airports[[#This Row],[ICAO]],3)</f>
        <v>BTC</v>
      </c>
      <c r="G278" s="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t="s">
        <v>700</v>
      </c>
      <c r="B279" t="s">
        <v>701</v>
      </c>
      <c r="C279">
        <v>-23.35</v>
      </c>
      <c r="D279">
        <v>141.533333</v>
      </c>
      <c r="E279" t="str">
        <f>RIGHT(Airports[[#This Row],[ICAO]],3)</f>
        <v>BTD</v>
      </c>
      <c r="G279" s="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t="s">
        <v>702</v>
      </c>
      <c r="B280" t="s">
        <v>703</v>
      </c>
      <c r="C280">
        <v>-33.409444000000001</v>
      </c>
      <c r="D280">
        <v>149.65194399999999</v>
      </c>
      <c r="E280" t="str">
        <f>RIGHT(Airports[[#This Row],[ICAO]],3)</f>
        <v>BTH</v>
      </c>
      <c r="G280" s="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t="s">
        <v>704</v>
      </c>
      <c r="B281" t="s">
        <v>705</v>
      </c>
      <c r="C281">
        <v>-11.769166999999999</v>
      </c>
      <c r="D281">
        <v>130.619722</v>
      </c>
      <c r="E281" t="str">
        <f>RIGHT(Airports[[#This Row],[ICAO]],3)</f>
        <v>BTI</v>
      </c>
      <c r="G281" s="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t="s">
        <v>706</v>
      </c>
      <c r="B282" t="s">
        <v>707</v>
      </c>
      <c r="C282">
        <v>-17.083333</v>
      </c>
      <c r="D282">
        <v>139.55000000000001</v>
      </c>
      <c r="E282" t="str">
        <f>RIGHT(Airports[[#This Row],[ICAO]],3)</f>
        <v>BTK</v>
      </c>
      <c r="G282" s="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t="s">
        <v>708</v>
      </c>
      <c r="B283" t="s">
        <v>709</v>
      </c>
      <c r="C283">
        <v>-19.252500000000001</v>
      </c>
      <c r="D283">
        <v>146.765278</v>
      </c>
      <c r="F283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t="s">
        <v>710</v>
      </c>
      <c r="B284" t="s">
        <v>711</v>
      </c>
      <c r="C284">
        <v>-30.524443999999999</v>
      </c>
      <c r="D284">
        <v>132.674722</v>
      </c>
      <c r="E284" t="str">
        <f>RIGHT(Airports[[#This Row],[ICAO]],3)</f>
        <v>BTN</v>
      </c>
      <c r="G284" s="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t="s">
        <v>712</v>
      </c>
      <c r="B285" t="s">
        <v>713</v>
      </c>
      <c r="C285">
        <v>-15.275278</v>
      </c>
      <c r="D285">
        <v>144.70527799999999</v>
      </c>
      <c r="E285" t="str">
        <f>RIGHT(Airports[[#This Row],[ICAO]],3)</f>
        <v>BTP</v>
      </c>
      <c r="G285" s="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t="s">
        <v>714</v>
      </c>
      <c r="B286" t="s">
        <v>715</v>
      </c>
      <c r="C286">
        <v>-23.603055999999999</v>
      </c>
      <c r="D286">
        <v>148.80694399999999</v>
      </c>
      <c r="E286" t="str">
        <f>RIGHT(Airports[[#This Row],[ICAO]],3)</f>
        <v>BTR</v>
      </c>
      <c r="G286" s="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t="s">
        <v>716</v>
      </c>
      <c r="B287" t="s">
        <v>717</v>
      </c>
      <c r="C287">
        <v>-31.358332999999998</v>
      </c>
      <c r="D287">
        <v>147.63305600000001</v>
      </c>
      <c r="E287" t="str">
        <f>RIGHT(Airports[[#This Row],[ICAO]],3)</f>
        <v>BTT</v>
      </c>
      <c r="G287" s="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t="s">
        <v>718</v>
      </c>
      <c r="B288" t="s">
        <v>719</v>
      </c>
      <c r="C288">
        <v>-18.711389</v>
      </c>
      <c r="D288">
        <v>134.078889</v>
      </c>
      <c r="E288" t="str">
        <f>RIGHT(Airports[[#This Row],[ICAO]],3)</f>
        <v>BTU</v>
      </c>
      <c r="G288" s="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t="s">
        <v>720</v>
      </c>
      <c r="B289" t="s">
        <v>721</v>
      </c>
      <c r="C289">
        <v>-12.666667</v>
      </c>
      <c r="D289">
        <v>142.66666699999999</v>
      </c>
      <c r="E289" t="str">
        <f>RIGHT(Airports[[#This Row],[ICAO]],3)</f>
        <v>BTV</v>
      </c>
      <c r="G289" s="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t="s">
        <v>722</v>
      </c>
      <c r="B290" t="s">
        <v>723</v>
      </c>
      <c r="C290">
        <v>-21.083333</v>
      </c>
      <c r="D290">
        <v>140.25</v>
      </c>
      <c r="E290" t="str">
        <f>RIGHT(Airports[[#This Row],[ICAO]],3)</f>
        <v>BTX</v>
      </c>
      <c r="G290" s="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t="s">
        <v>724</v>
      </c>
      <c r="B291" t="s">
        <v>725</v>
      </c>
      <c r="C291">
        <v>-24.903888999999999</v>
      </c>
      <c r="D291">
        <v>152.318611</v>
      </c>
      <c r="E291" t="str">
        <f>RIGHT(Airports[[#This Row],[ICAO]],3)</f>
        <v>BUD</v>
      </c>
      <c r="G291" s="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t="s">
        <v>726</v>
      </c>
      <c r="B292" t="s">
        <v>727</v>
      </c>
      <c r="C292">
        <v>-28.489722</v>
      </c>
      <c r="D292">
        <v>119.746944</v>
      </c>
      <c r="E292" t="str">
        <f>RIGHT(Airports[[#This Row],[ICAO]],3)</f>
        <v>BUG</v>
      </c>
      <c r="G292" s="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t="s">
        <v>728</v>
      </c>
      <c r="B293" t="s">
        <v>729</v>
      </c>
      <c r="C293">
        <v>-22.066666999999999</v>
      </c>
      <c r="D293">
        <v>139.75</v>
      </c>
      <c r="E293" t="str">
        <f>RIGHT(Airports[[#This Row],[ICAO]],3)</f>
        <v>BUH</v>
      </c>
      <c r="G293" s="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t="s">
        <v>730</v>
      </c>
      <c r="B294" t="s">
        <v>731</v>
      </c>
      <c r="C294">
        <v>-41.049444000000001</v>
      </c>
      <c r="D294">
        <v>145.88</v>
      </c>
      <c r="E294" t="str">
        <f>RIGHT(Airports[[#This Row],[ICAO]],3)</f>
        <v>BUI</v>
      </c>
      <c r="G294" s="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t="s">
        <v>732</v>
      </c>
      <c r="B295" t="s">
        <v>733</v>
      </c>
      <c r="C295">
        <v>-30.186388999999998</v>
      </c>
      <c r="D295">
        <v>134.903333</v>
      </c>
      <c r="E295" t="str">
        <f>RIGHT(Airports[[#This Row],[ICAO]],3)</f>
        <v>BUL</v>
      </c>
      <c r="G295" s="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t="s">
        <v>734</v>
      </c>
      <c r="B296" t="s">
        <v>735</v>
      </c>
      <c r="C296">
        <v>-33.378056000000001</v>
      </c>
      <c r="D296">
        <v>115.67694400000001</v>
      </c>
      <c r="E296" t="str">
        <f>RIGHT(Airports[[#This Row],[ICAO]],3)</f>
        <v>BUN</v>
      </c>
      <c r="G296" s="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t="s">
        <v>736</v>
      </c>
      <c r="B297" t="s">
        <v>737</v>
      </c>
      <c r="C297">
        <v>-28.524722000000001</v>
      </c>
      <c r="D297">
        <v>142.94972200000001</v>
      </c>
      <c r="E297" t="str">
        <f>RIGHT(Airports[[#This Row],[ICAO]],3)</f>
        <v>BUO</v>
      </c>
      <c r="G297" s="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t="s">
        <v>738</v>
      </c>
      <c r="B298" t="s">
        <v>739</v>
      </c>
      <c r="C298">
        <v>-12.311111</v>
      </c>
      <c r="D298">
        <v>135.95861099999999</v>
      </c>
      <c r="E298" t="str">
        <f>RIGHT(Airports[[#This Row],[ICAO]],3)</f>
        <v>BUR</v>
      </c>
      <c r="G298" s="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t="s">
        <v>740</v>
      </c>
      <c r="B299" t="s">
        <v>741</v>
      </c>
      <c r="C299">
        <v>-31.766389</v>
      </c>
      <c r="D299">
        <v>149.42916700000001</v>
      </c>
      <c r="E299" t="str">
        <f>RIGHT(Airports[[#This Row],[ICAO]],3)</f>
        <v>BUT</v>
      </c>
      <c r="G299" s="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t="s">
        <v>742</v>
      </c>
      <c r="B300" t="s">
        <v>743</v>
      </c>
      <c r="C300">
        <v>-17.649722000000001</v>
      </c>
      <c r="D300">
        <v>143.80000000000001</v>
      </c>
      <c r="E300" t="str">
        <f>RIGHT(Airports[[#This Row],[ICAO]],3)</f>
        <v>BUX</v>
      </c>
      <c r="G300" s="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t="s">
        <v>744</v>
      </c>
      <c r="B301" t="s">
        <v>745</v>
      </c>
      <c r="C301">
        <v>-36.134166999999998</v>
      </c>
      <c r="D301">
        <v>149.131944</v>
      </c>
      <c r="E301" t="str">
        <f>RIGHT(Airports[[#This Row],[ICAO]],3)</f>
        <v>BUY</v>
      </c>
      <c r="G301" s="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t="s">
        <v>746</v>
      </c>
      <c r="B302" t="s">
        <v>747</v>
      </c>
      <c r="C302">
        <v>-34.090000000000003</v>
      </c>
      <c r="D302">
        <v>138.34</v>
      </c>
      <c r="E302" t="str">
        <f>RIGHT(Airports[[#This Row],[ICAO]],3)</f>
        <v>BVA</v>
      </c>
      <c r="G302" s="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t="s">
        <v>748</v>
      </c>
      <c r="B303" t="s">
        <v>563</v>
      </c>
      <c r="C303">
        <v>-16.516389</v>
      </c>
      <c r="D303">
        <v>144.183333</v>
      </c>
      <c r="E303" t="str">
        <f>RIGHT(Airports[[#This Row],[ICAO]],3)</f>
        <v>BVE</v>
      </c>
      <c r="G303" s="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t="s">
        <v>749</v>
      </c>
      <c r="B304" t="s">
        <v>750</v>
      </c>
      <c r="C304">
        <v>-15.466666999999999</v>
      </c>
      <c r="D304">
        <v>129.76666700000001</v>
      </c>
      <c r="E304" t="str">
        <f>RIGHT(Airports[[#This Row],[ICAO]],3)</f>
        <v>BVY</v>
      </c>
      <c r="G304" s="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t="s">
        <v>751</v>
      </c>
      <c r="B305" t="s">
        <v>752</v>
      </c>
      <c r="C305">
        <v>-27.364999999999998</v>
      </c>
      <c r="D305">
        <v>121.03666699999999</v>
      </c>
      <c r="E305" t="str">
        <f>RIGHT(Airports[[#This Row],[ICAO]],3)</f>
        <v>BWG</v>
      </c>
      <c r="G305" s="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t="s">
        <v>753</v>
      </c>
      <c r="B306" t="s">
        <v>754</v>
      </c>
      <c r="C306">
        <v>-13.760833</v>
      </c>
      <c r="D306">
        <v>141.85055600000001</v>
      </c>
      <c r="E306" t="str">
        <f>RIGHT(Airports[[#This Row],[ICAO]],3)</f>
        <v>BWH</v>
      </c>
      <c r="G306" s="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t="s">
        <v>755</v>
      </c>
      <c r="B307" t="s">
        <v>756</v>
      </c>
      <c r="C307">
        <v>-20.6</v>
      </c>
      <c r="D307">
        <v>147.083056</v>
      </c>
      <c r="E307" t="str">
        <f>RIGHT(Airports[[#This Row],[ICAO]],3)</f>
        <v>BWI</v>
      </c>
      <c r="G307" s="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t="s">
        <v>757</v>
      </c>
      <c r="B308" t="s">
        <v>758</v>
      </c>
      <c r="C308">
        <v>-12.139443999999999</v>
      </c>
      <c r="D308">
        <v>142.61444399999999</v>
      </c>
      <c r="E308" t="str">
        <f>RIGHT(Airports[[#This Row],[ICAO]],3)</f>
        <v>BWL</v>
      </c>
      <c r="G308" s="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t="s">
        <v>759</v>
      </c>
      <c r="B309" t="s">
        <v>760</v>
      </c>
      <c r="C309">
        <v>-16.880832999999999</v>
      </c>
      <c r="D309">
        <v>143.47972200000001</v>
      </c>
      <c r="E309" t="str">
        <f>RIGHT(Airports[[#This Row],[ICAO]],3)</f>
        <v>BWM</v>
      </c>
      <c r="G309" s="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t="s">
        <v>761</v>
      </c>
      <c r="B310" t="s">
        <v>762</v>
      </c>
      <c r="C310">
        <v>-20.017778</v>
      </c>
      <c r="D310">
        <v>148.21527800000001</v>
      </c>
      <c r="E310" t="str">
        <f>RIGHT(Airports[[#This Row],[ICAO]],3)</f>
        <v>BWN</v>
      </c>
      <c r="G310" s="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t="s">
        <v>763</v>
      </c>
      <c r="B311" t="s">
        <v>764</v>
      </c>
      <c r="C311">
        <v>-22.466667000000001</v>
      </c>
      <c r="D311">
        <v>144.996667</v>
      </c>
      <c r="E311" t="str">
        <f>RIGHT(Airports[[#This Row],[ICAO]],3)</f>
        <v>BWO</v>
      </c>
      <c r="G311" s="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t="s">
        <v>765</v>
      </c>
      <c r="B312" t="s">
        <v>766</v>
      </c>
      <c r="C312">
        <v>-12.678611</v>
      </c>
      <c r="D312">
        <v>141.92527799999999</v>
      </c>
      <c r="F312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t="s">
        <v>767</v>
      </c>
      <c r="B313" t="s">
        <v>768</v>
      </c>
      <c r="C313">
        <v>-17.386666999999999</v>
      </c>
      <c r="D313">
        <v>144.17166700000001</v>
      </c>
      <c r="E313" t="str">
        <f>RIGHT(Airports[[#This Row],[ICAO]],3)</f>
        <v>BWR</v>
      </c>
      <c r="G313" s="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t="s">
        <v>769</v>
      </c>
      <c r="B314" t="s">
        <v>770</v>
      </c>
      <c r="C314">
        <v>-14.1</v>
      </c>
      <c r="D314">
        <v>123.5</v>
      </c>
      <c r="E314" t="str">
        <f>RIGHT(Airports[[#This Row],[ICAO]],3)</f>
        <v>BWS</v>
      </c>
      <c r="G314" s="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t="s">
        <v>771</v>
      </c>
      <c r="B315" t="s">
        <v>772</v>
      </c>
      <c r="C315">
        <v>-27.558610999999999</v>
      </c>
      <c r="D315">
        <v>151.79416699999999</v>
      </c>
      <c r="E315" t="str">
        <f>RIGHT(Airports[[#This Row],[ICAO]],3)</f>
        <v>BWW</v>
      </c>
      <c r="F315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t="s">
        <v>773</v>
      </c>
      <c r="B316" t="s">
        <v>774</v>
      </c>
      <c r="C316">
        <v>-20.864443999999999</v>
      </c>
      <c r="D316">
        <v>115.406111</v>
      </c>
      <c r="E316" t="str">
        <f>RIGHT(Airports[[#This Row],[ICAO]],3)</f>
        <v>BWX</v>
      </c>
      <c r="G316" s="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t="s">
        <v>775</v>
      </c>
      <c r="B317" t="s">
        <v>776</v>
      </c>
      <c r="C317">
        <v>-37.153055999999999</v>
      </c>
      <c r="D317">
        <v>146.458056</v>
      </c>
      <c r="E317" t="str">
        <f>RIGHT(Airports[[#This Row],[ICAO]],3)</f>
        <v>BXU</v>
      </c>
      <c r="G317" s="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t="s">
        <v>777</v>
      </c>
      <c r="B318" t="s">
        <v>778</v>
      </c>
      <c r="C318">
        <v>-22.266389</v>
      </c>
      <c r="D318">
        <v>119.883056</v>
      </c>
      <c r="E318" t="str">
        <f>RIGHT(Airports[[#This Row],[ICAO]],3)</f>
        <v>BYD</v>
      </c>
      <c r="G318" s="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t="s">
        <v>779</v>
      </c>
      <c r="B319" t="s">
        <v>780</v>
      </c>
      <c r="C319">
        <v>-43.234999999999999</v>
      </c>
      <c r="D319">
        <v>147.37972199999999</v>
      </c>
      <c r="E319" t="str">
        <f>RIGHT(Airports[[#This Row],[ICAO]],3)</f>
        <v>BYI</v>
      </c>
      <c r="G319" s="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t="s">
        <v>781</v>
      </c>
      <c r="B320" t="s">
        <v>782</v>
      </c>
      <c r="C320">
        <v>-29.216388999999999</v>
      </c>
      <c r="D320">
        <v>152.61500000000001</v>
      </c>
      <c r="E320" t="str">
        <f>RIGHT(Airports[[#This Row],[ICAO]],3)</f>
        <v>BYL</v>
      </c>
      <c r="G320" s="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t="s">
        <v>783</v>
      </c>
      <c r="B321" t="s">
        <v>784</v>
      </c>
      <c r="C321">
        <v>-12.693333000000001</v>
      </c>
      <c r="D321">
        <v>136.63416699999999</v>
      </c>
      <c r="E321" t="str">
        <f>RIGHT(Airports[[#This Row],[ICAO]],3)</f>
        <v>BYM</v>
      </c>
      <c r="G321" s="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t="s">
        <v>785</v>
      </c>
      <c r="B322" t="s">
        <v>786</v>
      </c>
      <c r="C322">
        <v>-27.227778000000001</v>
      </c>
      <c r="D322">
        <v>151.61333300000001</v>
      </c>
      <c r="E322" t="str">
        <f>RIGHT(Airports[[#This Row],[ICAO]],3)</f>
        <v>BYO</v>
      </c>
      <c r="G322" s="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t="s">
        <v>787</v>
      </c>
      <c r="B323" t="s">
        <v>788</v>
      </c>
      <c r="C323">
        <v>-11.07</v>
      </c>
      <c r="D323">
        <v>126.613333</v>
      </c>
      <c r="E323" t="str">
        <f>RIGHT(Airports[[#This Row],[ICAO]],3)</f>
        <v>BYU</v>
      </c>
      <c r="G323" s="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t="s">
        <v>789</v>
      </c>
      <c r="B324" t="s">
        <v>790</v>
      </c>
      <c r="C324">
        <v>-25.45</v>
      </c>
      <c r="D324">
        <v>145.583056</v>
      </c>
      <c r="E324" t="str">
        <f>RIGHT(Airports[[#This Row],[ICAO]],3)</f>
        <v>BYW</v>
      </c>
      <c r="G324" s="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t="s">
        <v>791</v>
      </c>
      <c r="B325" t="s">
        <v>792</v>
      </c>
      <c r="C325">
        <v>-27.076944000000001</v>
      </c>
      <c r="D325">
        <v>152.98694399999999</v>
      </c>
      <c r="E325" t="str">
        <f>RIGHT(Airports[[#This Row],[ICAO]],3)</f>
        <v>CAB</v>
      </c>
      <c r="F3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t="s">
        <v>793</v>
      </c>
      <c r="B326" t="s">
        <v>794</v>
      </c>
      <c r="C326">
        <v>-32.280278000000003</v>
      </c>
      <c r="D326">
        <v>125.477778</v>
      </c>
      <c r="E326" t="str">
        <f>RIGHT(Airports[[#This Row],[ICAO]],3)</f>
        <v>CAG</v>
      </c>
      <c r="F3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t="s">
        <v>795</v>
      </c>
      <c r="B327" t="s">
        <v>796</v>
      </c>
      <c r="C327">
        <v>-31.773333000000001</v>
      </c>
      <c r="D327">
        <v>149.609444</v>
      </c>
      <c r="E327" t="str">
        <f>RIGHT(Airports[[#This Row],[ICAO]],3)</f>
        <v>CAH</v>
      </c>
      <c r="F3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t="s">
        <v>797</v>
      </c>
      <c r="B328" t="s">
        <v>798</v>
      </c>
      <c r="C328">
        <v>-30.116667</v>
      </c>
      <c r="D328">
        <v>120.583333</v>
      </c>
      <c r="E328" t="str">
        <f>RIGHT(Airports[[#This Row],[ICAO]],3)</f>
        <v>CAI</v>
      </c>
      <c r="F3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t="s">
        <v>799</v>
      </c>
      <c r="B329" t="s">
        <v>800</v>
      </c>
      <c r="C329">
        <v>-18.7</v>
      </c>
      <c r="D329">
        <v>125.9</v>
      </c>
      <c r="E329" t="str">
        <f>RIGHT(Airports[[#This Row],[ICAO]],3)</f>
        <v>CAJ</v>
      </c>
      <c r="F3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t="s">
        <v>801</v>
      </c>
      <c r="B330" t="s">
        <v>802</v>
      </c>
      <c r="C330">
        <v>-37.134166999999998</v>
      </c>
      <c r="D330">
        <v>144.158333</v>
      </c>
      <c r="E330" t="str">
        <f>RIGHT(Airports[[#This Row],[ICAO]],3)</f>
        <v>CAL</v>
      </c>
      <c r="F3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t="s">
        <v>803</v>
      </c>
      <c r="B331" t="s">
        <v>804</v>
      </c>
      <c r="C331">
        <v>-21.875</v>
      </c>
      <c r="D331">
        <v>140.899722</v>
      </c>
      <c r="E331" t="str">
        <f>RIGHT(Airports[[#This Row],[ICAO]],3)</f>
        <v>CAM</v>
      </c>
      <c r="F3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t="s">
        <v>805</v>
      </c>
      <c r="B332" t="s">
        <v>806</v>
      </c>
      <c r="C332">
        <v>-12.366667</v>
      </c>
      <c r="D332">
        <v>132.94972200000001</v>
      </c>
      <c r="E332" t="str">
        <f>RIGHT(Airports[[#This Row],[ICAO]],3)</f>
        <v>CAN</v>
      </c>
      <c r="F3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t="s">
        <v>807</v>
      </c>
      <c r="B333" t="s">
        <v>808</v>
      </c>
      <c r="C333">
        <v>-33.595278</v>
      </c>
      <c r="D333">
        <v>115.57166700000001</v>
      </c>
      <c r="E333" t="str">
        <f>RIGHT(Airports[[#This Row],[ICAO]],3)</f>
        <v>CAP</v>
      </c>
      <c r="F3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t="s">
        <v>809</v>
      </c>
      <c r="B334" t="s">
        <v>810</v>
      </c>
      <c r="C334">
        <v>-24.880555999999999</v>
      </c>
      <c r="D334">
        <v>113.672222</v>
      </c>
      <c r="E334" t="str">
        <f>RIGHT(Airports[[#This Row],[ICAO]],3)</f>
        <v>CAR</v>
      </c>
      <c r="F3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t="s">
        <v>811</v>
      </c>
      <c r="B335" t="s">
        <v>812</v>
      </c>
      <c r="C335">
        <v>-28.882777999999998</v>
      </c>
      <c r="D335">
        <v>153.06694400000001</v>
      </c>
      <c r="E335" t="str">
        <f>RIGHT(Airports[[#This Row],[ICAO]],3)</f>
        <v>CAS</v>
      </c>
      <c r="F3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t="s">
        <v>813</v>
      </c>
      <c r="B336" t="s">
        <v>814</v>
      </c>
      <c r="C336">
        <v>-16.850000000000001</v>
      </c>
      <c r="D336">
        <v>145.69416699999999</v>
      </c>
      <c r="E336" t="str">
        <f>RIGHT(Airports[[#This Row],[ICAO]],3)</f>
        <v>CAV</v>
      </c>
      <c r="F3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t="s">
        <v>815</v>
      </c>
      <c r="B337" t="s">
        <v>816</v>
      </c>
      <c r="C337">
        <v>-28</v>
      </c>
      <c r="D337">
        <v>153.36666700000001</v>
      </c>
      <c r="E337" t="str">
        <f>RIGHT(Airports[[#This Row],[ICAO]],3)</f>
        <v>CAX</v>
      </c>
      <c r="F3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t="s">
        <v>817</v>
      </c>
      <c r="B338" t="s">
        <v>818</v>
      </c>
      <c r="C338">
        <v>-66.281666999999999</v>
      </c>
      <c r="D338">
        <v>110.524444</v>
      </c>
      <c r="E338" t="str">
        <f>RIGHT(Airports[[#This Row],[ICAO]],3)</f>
        <v>CAY</v>
      </c>
      <c r="F3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t="s">
        <v>819</v>
      </c>
      <c r="B339" t="s">
        <v>820</v>
      </c>
      <c r="C339">
        <v>-31.538333000000002</v>
      </c>
      <c r="D339">
        <v>145.79388900000001</v>
      </c>
      <c r="E339" t="str">
        <f>RIGHT(Airports[[#This Row],[ICAO]],3)</f>
        <v>CBA</v>
      </c>
      <c r="F3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t="s">
        <v>821</v>
      </c>
      <c r="B340" t="s">
        <v>822</v>
      </c>
      <c r="C340">
        <v>-31.3325</v>
      </c>
      <c r="D340">
        <v>149.267222</v>
      </c>
      <c r="E340" t="str">
        <f>RIGHT(Airports[[#This Row],[ICAO]],3)</f>
        <v>CBB</v>
      </c>
      <c r="F3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t="s">
        <v>823</v>
      </c>
      <c r="B341" t="s">
        <v>824</v>
      </c>
      <c r="C341">
        <v>-30.366667</v>
      </c>
      <c r="D341">
        <v>148.5</v>
      </c>
      <c r="E341" t="str">
        <f>RIGHT(Airports[[#This Row],[ICAO]],3)</f>
        <v>CBC</v>
      </c>
      <c r="F3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t="s">
        <v>825</v>
      </c>
      <c r="B342" t="s">
        <v>826</v>
      </c>
      <c r="C342">
        <v>-19.476666999999999</v>
      </c>
      <c r="D342">
        <v>140.92666700000001</v>
      </c>
      <c r="E342" t="str">
        <f>RIGHT(Airports[[#This Row],[ICAO]],3)</f>
        <v>CBE</v>
      </c>
      <c r="F3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t="s">
        <v>827</v>
      </c>
      <c r="B343" t="s">
        <v>828</v>
      </c>
      <c r="C343">
        <v>-42.826667</v>
      </c>
      <c r="D343">
        <v>147.47472200000001</v>
      </c>
      <c r="E343" t="str">
        <f>RIGHT(Airports[[#This Row],[ICAO]],3)</f>
        <v>CBG</v>
      </c>
      <c r="F3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t="s">
        <v>829</v>
      </c>
      <c r="B344" t="s">
        <v>830</v>
      </c>
      <c r="C344">
        <v>-16.911389</v>
      </c>
      <c r="D344">
        <v>145.768889</v>
      </c>
      <c r="E344" t="str">
        <f>RIGHT(Airports[[#This Row],[ICAO]],3)</f>
        <v>CBH</v>
      </c>
      <c r="F3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t="s">
        <v>831</v>
      </c>
      <c r="B345" t="s">
        <v>832</v>
      </c>
      <c r="C345">
        <v>-17.986111000000001</v>
      </c>
      <c r="D345">
        <v>124.164444</v>
      </c>
      <c r="E345" t="str">
        <f>RIGHT(Airports[[#This Row],[ICAO]],3)</f>
        <v>CBL</v>
      </c>
      <c r="F3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t="s">
        <v>833</v>
      </c>
      <c r="B346" t="s">
        <v>834</v>
      </c>
      <c r="C346">
        <v>-35.916666999999997</v>
      </c>
      <c r="D346">
        <v>145.649722</v>
      </c>
      <c r="E346" t="str">
        <f>RIGHT(Airports[[#This Row],[ICAO]],3)</f>
        <v>CBM</v>
      </c>
      <c r="F3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t="s">
        <v>835</v>
      </c>
      <c r="B347" t="s">
        <v>836</v>
      </c>
      <c r="C347">
        <v>-40.4</v>
      </c>
      <c r="D347">
        <v>148.016389</v>
      </c>
      <c r="E347" t="str">
        <f>RIGHT(Airports[[#This Row],[ICAO]],3)</f>
        <v>CBN</v>
      </c>
      <c r="F3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t="s">
        <v>837</v>
      </c>
      <c r="B348" t="s">
        <v>838</v>
      </c>
      <c r="C348">
        <v>-29.04</v>
      </c>
      <c r="D348">
        <v>134.720833</v>
      </c>
      <c r="E348" t="str">
        <f>RIGHT(Airports[[#This Row],[ICAO]],3)</f>
        <v>CBP</v>
      </c>
      <c r="F3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t="s">
        <v>839</v>
      </c>
      <c r="B349" t="s">
        <v>840</v>
      </c>
      <c r="C349">
        <v>-29.521944000000001</v>
      </c>
      <c r="D349">
        <v>148.582222</v>
      </c>
      <c r="E349" t="str">
        <f>RIGHT(Airports[[#This Row],[ICAO]],3)</f>
        <v>CBR</v>
      </c>
      <c r="F3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t="s">
        <v>841</v>
      </c>
      <c r="B350" t="s">
        <v>842</v>
      </c>
      <c r="C350">
        <v>-16.202258</v>
      </c>
      <c r="D350">
        <v>145.40380500000001</v>
      </c>
      <c r="E350" t="str">
        <f>RIGHT(Airports[[#This Row],[ICAO]],3)</f>
        <v>CBY</v>
      </c>
      <c r="F3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t="s">
        <v>843</v>
      </c>
      <c r="B351" t="s">
        <v>844</v>
      </c>
      <c r="C351">
        <v>-26.769444</v>
      </c>
      <c r="D351">
        <v>150.61666700000001</v>
      </c>
      <c r="E351" t="str">
        <f>RIGHT(Airports[[#This Row],[ICAO]],3)</f>
        <v>CCA</v>
      </c>
      <c r="F3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t="s">
        <v>845</v>
      </c>
      <c r="B352" t="s">
        <v>846</v>
      </c>
      <c r="C352">
        <v>-20.651111</v>
      </c>
      <c r="D352">
        <v>135.58527799999999</v>
      </c>
      <c r="E352" t="str">
        <f>RIGHT(Airports[[#This Row],[ICAO]],3)</f>
        <v>CCK</v>
      </c>
      <c r="F3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t="s">
        <v>847</v>
      </c>
      <c r="B353" t="s">
        <v>848</v>
      </c>
      <c r="C353">
        <v>-13.013056000000001</v>
      </c>
      <c r="D353">
        <v>131.130833</v>
      </c>
      <c r="E353" t="str">
        <f>RIGHT(Airports[[#This Row],[ICAO]],3)</f>
        <v>CCR</v>
      </c>
      <c r="F3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t="s">
        <v>849</v>
      </c>
      <c r="B354" t="s">
        <v>850</v>
      </c>
      <c r="C354">
        <v>-10.050278</v>
      </c>
      <c r="D354">
        <v>143.071111</v>
      </c>
      <c r="F3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t="s">
        <v>851</v>
      </c>
      <c r="B355" t="s">
        <v>852</v>
      </c>
      <c r="C355">
        <v>-20.668610999999999</v>
      </c>
      <c r="D355">
        <v>140.50444400000001</v>
      </c>
      <c r="E355" t="str">
        <f>RIGHT(Airports[[#This Row],[ICAO]],3)</f>
        <v>CCY</v>
      </c>
      <c r="F3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t="s">
        <v>853</v>
      </c>
      <c r="B356" t="s">
        <v>854</v>
      </c>
      <c r="C356">
        <v>-22.149722000000001</v>
      </c>
      <c r="D356">
        <v>149.06638899999999</v>
      </c>
      <c r="E356" t="str">
        <f>RIGHT(Airports[[#This Row],[ICAO]],3)</f>
        <v>CDA</v>
      </c>
      <c r="F3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t="s">
        <v>855</v>
      </c>
      <c r="B357" t="s">
        <v>856</v>
      </c>
      <c r="C357">
        <v>-31.056944000000001</v>
      </c>
      <c r="D357">
        <v>135.86527799999999</v>
      </c>
      <c r="E357" t="str">
        <f>RIGHT(Airports[[#This Row],[ICAO]],3)</f>
        <v>CDB</v>
      </c>
      <c r="F3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t="s">
        <v>857</v>
      </c>
      <c r="B358" t="s">
        <v>858</v>
      </c>
      <c r="C358">
        <v>-38.326667</v>
      </c>
      <c r="D358">
        <v>143.056667</v>
      </c>
      <c r="E358" t="str">
        <f>RIGHT(Airports[[#This Row],[ICAO]],3)</f>
        <v>CDE</v>
      </c>
      <c r="F3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t="s">
        <v>859</v>
      </c>
      <c r="B359" t="s">
        <v>860</v>
      </c>
      <c r="C359">
        <v>-27.906666999999999</v>
      </c>
      <c r="D359">
        <v>134.05583300000001</v>
      </c>
      <c r="E359" t="str">
        <f>RIGHT(Airports[[#This Row],[ICAO]],3)</f>
        <v>CDH</v>
      </c>
      <c r="F3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t="s">
        <v>861</v>
      </c>
      <c r="B360" t="s">
        <v>862</v>
      </c>
      <c r="C360">
        <v>-33.064444000000002</v>
      </c>
      <c r="D360">
        <v>147.20916700000001</v>
      </c>
      <c r="E360" t="str">
        <f>RIGHT(Airports[[#This Row],[ICAO]],3)</f>
        <v>CDO</v>
      </c>
      <c r="F3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t="s">
        <v>863</v>
      </c>
      <c r="B361" t="s">
        <v>864</v>
      </c>
      <c r="C361">
        <v>-12.442491</v>
      </c>
      <c r="D361">
        <v>130.878052</v>
      </c>
      <c r="E361" t="str">
        <f>RIGHT(Airports[[#This Row],[ICAO]],3)</f>
        <v>CDP</v>
      </c>
      <c r="F3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t="s">
        <v>865</v>
      </c>
      <c r="B362" t="s">
        <v>866</v>
      </c>
      <c r="C362">
        <v>-26.801943999999999</v>
      </c>
      <c r="D362">
        <v>153.105278</v>
      </c>
      <c r="E362" t="str">
        <f>RIGHT(Airports[[#This Row],[ICAO]],3)</f>
        <v>CDR</v>
      </c>
      <c r="F3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t="s">
        <v>867</v>
      </c>
      <c r="B363" t="s">
        <v>868</v>
      </c>
      <c r="C363">
        <v>-25.253056000000001</v>
      </c>
      <c r="D363">
        <v>152.33694399999999</v>
      </c>
      <c r="E363" t="str">
        <f>RIGHT(Airports[[#This Row],[ICAO]],3)</f>
        <v>CDS</v>
      </c>
      <c r="F3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t="s">
        <v>869</v>
      </c>
      <c r="B364" t="s">
        <v>870</v>
      </c>
      <c r="C364">
        <v>-21.971944000000001</v>
      </c>
      <c r="D364">
        <v>138.61166700000001</v>
      </c>
      <c r="E364" t="str">
        <f>RIGHT(Airports[[#This Row],[ICAO]],3)</f>
        <v>CDT</v>
      </c>
      <c r="F3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t="s">
        <v>871</v>
      </c>
      <c r="B365" t="s">
        <v>872</v>
      </c>
      <c r="C365">
        <v>-32.130555999999999</v>
      </c>
      <c r="D365">
        <v>133.709722</v>
      </c>
      <c r="E365" t="str">
        <f>RIGHT(Airports[[#This Row],[ICAO]],3)</f>
        <v>CDU</v>
      </c>
      <c r="F3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t="s">
        <v>873</v>
      </c>
      <c r="B366" t="s">
        <v>874</v>
      </c>
      <c r="C366">
        <v>-25.111388999999999</v>
      </c>
      <c r="D366">
        <v>146.831389</v>
      </c>
      <c r="E366" t="str">
        <f>RIGHT(Airports[[#This Row],[ICAO]],3)</f>
        <v>CDV</v>
      </c>
      <c r="F3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t="s">
        <v>875</v>
      </c>
      <c r="B367" t="s">
        <v>876</v>
      </c>
      <c r="C367">
        <v>-18.178332999999999</v>
      </c>
      <c r="D367">
        <v>145.94999999999999</v>
      </c>
      <c r="E367" t="str">
        <f>RIGHT(Airports[[#This Row],[ICAO]],3)</f>
        <v>CDW</v>
      </c>
      <c r="F3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t="s">
        <v>877</v>
      </c>
      <c r="B368" t="s">
        <v>878</v>
      </c>
      <c r="C368">
        <v>-24.583333</v>
      </c>
      <c r="D368">
        <v>150.19972200000001</v>
      </c>
      <c r="E368" t="str">
        <f>RIGHT(Airports[[#This Row],[ICAO]],3)</f>
        <v>CED</v>
      </c>
      <c r="F3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t="s">
        <v>879</v>
      </c>
      <c r="B369" t="s">
        <v>880</v>
      </c>
      <c r="C369">
        <v>-33.709721999999999</v>
      </c>
      <c r="D369">
        <v>136.50472199999999</v>
      </c>
      <c r="E369" t="str">
        <f>RIGHT(Airports[[#This Row],[ICAO]],3)</f>
        <v>CEE</v>
      </c>
      <c r="F3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t="s">
        <v>881</v>
      </c>
      <c r="B370" t="s">
        <v>882</v>
      </c>
      <c r="C370">
        <v>-23.095278</v>
      </c>
      <c r="D370">
        <v>148.00722200000001</v>
      </c>
      <c r="E370" t="str">
        <f>RIGHT(Airports[[#This Row],[ICAO]],3)</f>
        <v>CEL</v>
      </c>
      <c r="F3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t="s">
        <v>883</v>
      </c>
      <c r="B371" t="s">
        <v>884</v>
      </c>
      <c r="C371">
        <v>-37.728332999999999</v>
      </c>
      <c r="D371">
        <v>145.40888899999999</v>
      </c>
      <c r="E371" t="str">
        <f>RIGHT(Airports[[#This Row],[ICAO]],3)</f>
        <v>CEM</v>
      </c>
      <c r="F3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t="s">
        <v>885</v>
      </c>
      <c r="B372" t="s">
        <v>886</v>
      </c>
      <c r="C372">
        <v>-38.146110999999998</v>
      </c>
      <c r="D372">
        <v>144.26166699999999</v>
      </c>
      <c r="E372" t="str">
        <f>RIGHT(Airports[[#This Row],[ICAO]],3)</f>
        <v>CES</v>
      </c>
      <c r="F3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t="s">
        <v>887</v>
      </c>
      <c r="B373" t="s">
        <v>888</v>
      </c>
      <c r="C373">
        <v>-17.021667000000001</v>
      </c>
      <c r="D373">
        <v>131.32638900000001</v>
      </c>
      <c r="E373" t="str">
        <f>RIGHT(Airports[[#This Row],[ICAO]],3)</f>
        <v>CFD</v>
      </c>
      <c r="F3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t="s">
        <v>889</v>
      </c>
      <c r="B374" t="s">
        <v>890</v>
      </c>
      <c r="C374">
        <v>-21.7</v>
      </c>
      <c r="D374">
        <v>143.399722</v>
      </c>
      <c r="E374" t="str">
        <f>RIGHT(Airports[[#This Row],[ICAO]],3)</f>
        <v>CFE</v>
      </c>
      <c r="F3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t="s">
        <v>891</v>
      </c>
      <c r="B375" t="s">
        <v>892</v>
      </c>
      <c r="C375">
        <v>-27.018332999999998</v>
      </c>
      <c r="D375">
        <v>138.89166700000001</v>
      </c>
      <c r="E375" t="str">
        <f>RIGHT(Airports[[#This Row],[ICAO]],3)</f>
        <v>CFH</v>
      </c>
      <c r="F3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t="s">
        <v>893</v>
      </c>
      <c r="B376" t="s">
        <v>894</v>
      </c>
      <c r="C376">
        <v>-14.970278</v>
      </c>
      <c r="D376">
        <v>145.310833</v>
      </c>
      <c r="E376" t="str">
        <f>RIGHT(Airports[[#This Row],[ICAO]],3)</f>
        <v>CFL</v>
      </c>
      <c r="F3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t="s">
        <v>895</v>
      </c>
      <c r="B377" t="s">
        <v>896</v>
      </c>
      <c r="C377">
        <v>-27.927778</v>
      </c>
      <c r="D377">
        <v>151.8475</v>
      </c>
      <c r="E377" t="str">
        <f>RIGHT(Airports[[#This Row],[ICAO]],3)</f>
        <v>CFN</v>
      </c>
      <c r="F3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t="s">
        <v>897</v>
      </c>
      <c r="B378" t="s">
        <v>898</v>
      </c>
      <c r="C378">
        <v>-30.320556</v>
      </c>
      <c r="D378">
        <v>153.116389</v>
      </c>
      <c r="E378" t="str">
        <f>RIGHT(Airports[[#This Row],[ICAO]],3)</f>
        <v>CFS</v>
      </c>
      <c r="F3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t="s">
        <v>899</v>
      </c>
      <c r="B379" t="s">
        <v>900</v>
      </c>
      <c r="C379">
        <v>-25.799721999999999</v>
      </c>
      <c r="D379">
        <v>122.933333</v>
      </c>
      <c r="E379" t="str">
        <f>RIGHT(Airports[[#This Row],[ICAO]],3)</f>
        <v>CGI</v>
      </c>
      <c r="F3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t="s">
        <v>901</v>
      </c>
      <c r="B380" t="s">
        <v>902</v>
      </c>
      <c r="C380">
        <v>-24.683056000000001</v>
      </c>
      <c r="D380">
        <v>147.183333</v>
      </c>
      <c r="E380" t="str">
        <f>RIGHT(Airports[[#This Row],[ICAO]],3)</f>
        <v>CGL</v>
      </c>
      <c r="F3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t="s">
        <v>903</v>
      </c>
      <c r="B381" t="s">
        <v>904</v>
      </c>
      <c r="C381">
        <v>-17.140833000000001</v>
      </c>
      <c r="D381">
        <v>144.528333</v>
      </c>
      <c r="E381" t="str">
        <f>RIGHT(Airports[[#This Row],[ICAO]],3)</f>
        <v>CGO</v>
      </c>
      <c r="F3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t="s">
        <v>905</v>
      </c>
      <c r="B382" t="s">
        <v>906</v>
      </c>
      <c r="C382">
        <v>-33.613889</v>
      </c>
      <c r="D382">
        <v>151.20416700000001</v>
      </c>
      <c r="E382" t="str">
        <f>RIGHT(Airports[[#This Row],[ICAO]],3)</f>
        <v>CGP</v>
      </c>
      <c r="F3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t="s">
        <v>907</v>
      </c>
      <c r="B383" t="s">
        <v>908</v>
      </c>
      <c r="C383">
        <v>-29.871389000000001</v>
      </c>
      <c r="D383">
        <v>133.57333299999999</v>
      </c>
      <c r="E383" t="str">
        <f>RIGHT(Airports[[#This Row],[ICAO]],3)</f>
        <v>CGR</v>
      </c>
      <c r="F3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t="s">
        <v>909</v>
      </c>
      <c r="B384" t="s">
        <v>910</v>
      </c>
      <c r="C384">
        <v>-20.399722000000001</v>
      </c>
      <c r="D384">
        <v>143.88305600000001</v>
      </c>
      <c r="E384" t="str">
        <f>RIGHT(Airports[[#This Row],[ICAO]],3)</f>
        <v>CHA</v>
      </c>
      <c r="F3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t="s">
        <v>911</v>
      </c>
      <c r="B385" t="s">
        <v>912</v>
      </c>
      <c r="C385">
        <v>-28.433056000000001</v>
      </c>
      <c r="D385">
        <v>152.09138899999999</v>
      </c>
      <c r="E385" t="str">
        <f>RIGHT(Airports[[#This Row],[ICAO]],3)</f>
        <v>CHB</v>
      </c>
      <c r="F3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t="s">
        <v>913</v>
      </c>
      <c r="B386" t="s">
        <v>914</v>
      </c>
      <c r="C386">
        <v>-31.573056000000001</v>
      </c>
      <c r="D386">
        <v>130.16888900000001</v>
      </c>
      <c r="E386" t="str">
        <f>RIGHT(Airports[[#This Row],[ICAO]],3)</f>
        <v>CHD</v>
      </c>
      <c r="F3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t="s">
        <v>915</v>
      </c>
      <c r="B387" t="s">
        <v>916</v>
      </c>
      <c r="C387">
        <v>-28.966667000000001</v>
      </c>
      <c r="D387">
        <v>119.566389</v>
      </c>
      <c r="E387" t="str">
        <f>RIGHT(Airports[[#This Row],[ICAO]],3)</f>
        <v>CHE</v>
      </c>
      <c r="F3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t="s">
        <v>917</v>
      </c>
      <c r="B388" t="s">
        <v>918</v>
      </c>
      <c r="C388">
        <v>-13.288055999999999</v>
      </c>
      <c r="D388">
        <v>136.35305600000001</v>
      </c>
      <c r="E388" t="str">
        <f>RIGHT(Airports[[#This Row],[ICAO]],3)</f>
        <v>CHI</v>
      </c>
      <c r="F3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t="s">
        <v>919</v>
      </c>
      <c r="B389" t="s">
        <v>920</v>
      </c>
      <c r="C389">
        <v>-22.355833000000001</v>
      </c>
      <c r="D389">
        <v>119.6425</v>
      </c>
      <c r="F3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t="s">
        <v>921</v>
      </c>
      <c r="B390" t="s">
        <v>922</v>
      </c>
      <c r="C390">
        <v>-36.290556000000002</v>
      </c>
      <c r="D390">
        <v>143.33111099999999</v>
      </c>
      <c r="E390" t="str">
        <f>RIGHT(Airports[[#This Row],[ICAO]],3)</f>
        <v>CHL</v>
      </c>
      <c r="F3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t="s">
        <v>923</v>
      </c>
      <c r="B391" t="s">
        <v>924</v>
      </c>
      <c r="C391">
        <v>-19.75</v>
      </c>
      <c r="D391">
        <v>115.833333</v>
      </c>
      <c r="E391" t="str">
        <f>RIGHT(Airports[[#This Row],[ICAO]],3)</f>
        <v>CHN</v>
      </c>
      <c r="F3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t="s">
        <v>925</v>
      </c>
      <c r="B392" t="s">
        <v>926</v>
      </c>
      <c r="C392">
        <v>-21.6</v>
      </c>
      <c r="D392">
        <v>147.61666700000001</v>
      </c>
      <c r="E392" t="str">
        <f>RIGHT(Airports[[#This Row],[ICAO]],3)</f>
        <v>CHQ</v>
      </c>
      <c r="F3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t="s">
        <v>927</v>
      </c>
      <c r="B393" t="s">
        <v>928</v>
      </c>
      <c r="C393">
        <v>-19.649722000000001</v>
      </c>
      <c r="D393">
        <v>144.149722</v>
      </c>
      <c r="E393" t="str">
        <f>RIGHT(Airports[[#This Row],[ICAO]],3)</f>
        <v>CHS</v>
      </c>
      <c r="F3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t="s">
        <v>929</v>
      </c>
      <c r="B394" t="s">
        <v>930</v>
      </c>
      <c r="C394">
        <v>-20.043610999999999</v>
      </c>
      <c r="D394">
        <v>146.272222</v>
      </c>
      <c r="E394" t="str">
        <f>RIGHT(Airports[[#This Row],[ICAO]],3)</f>
        <v>CHT</v>
      </c>
      <c r="F3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t="s">
        <v>931</v>
      </c>
      <c r="B395" t="s">
        <v>932</v>
      </c>
      <c r="C395">
        <v>-13.118339000000001</v>
      </c>
      <c r="D395">
        <v>143.00551400000001</v>
      </c>
      <c r="E395" t="str">
        <f>RIGHT(Airports[[#This Row],[ICAO]],3)</f>
        <v>CHU</v>
      </c>
      <c r="F3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t="s">
        <v>933</v>
      </c>
      <c r="B396" t="s">
        <v>934</v>
      </c>
      <c r="C396">
        <v>-32.338332999999999</v>
      </c>
      <c r="D396">
        <v>117.827778</v>
      </c>
      <c r="E396" t="str">
        <f>RIGHT(Airports[[#This Row],[ICAO]],3)</f>
        <v>CIG</v>
      </c>
      <c r="F3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t="s">
        <v>935</v>
      </c>
      <c r="B397" t="s">
        <v>936</v>
      </c>
      <c r="C397">
        <v>-22.25</v>
      </c>
      <c r="D397">
        <v>150.31638899999999</v>
      </c>
      <c r="E397" t="str">
        <f>RIGHT(Airports[[#This Row],[ICAO]],3)</f>
        <v>CII</v>
      </c>
      <c r="F3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t="s">
        <v>937</v>
      </c>
      <c r="B398" t="s">
        <v>938</v>
      </c>
      <c r="C398">
        <v>-15.5025</v>
      </c>
      <c r="D398">
        <v>128.535</v>
      </c>
      <c r="E398" t="str">
        <f>RIGHT(Airports[[#This Row],[ICAO]],3)</f>
        <v>CIL</v>
      </c>
      <c r="F3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t="s">
        <v>939</v>
      </c>
      <c r="B399" t="s">
        <v>940</v>
      </c>
      <c r="C399">
        <v>-17.581389000000001</v>
      </c>
      <c r="D399">
        <v>123.828333</v>
      </c>
      <c r="E399" t="str">
        <f>RIGHT(Airports[[#This Row],[ICAO]],3)</f>
        <v>CIN</v>
      </c>
      <c r="F3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t="s">
        <v>941</v>
      </c>
      <c r="B400" t="s">
        <v>942</v>
      </c>
      <c r="C400">
        <v>-18.566666999999999</v>
      </c>
      <c r="D400">
        <v>145.016389</v>
      </c>
      <c r="E400" t="str">
        <f>RIGHT(Airports[[#This Row],[ICAO]],3)</f>
        <v>CIP</v>
      </c>
      <c r="F4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t="s">
        <v>943</v>
      </c>
      <c r="B401" t="s">
        <v>944</v>
      </c>
      <c r="C401">
        <v>-18.685555999999998</v>
      </c>
      <c r="D401">
        <v>144.74777800000001</v>
      </c>
      <c r="E401" t="str">
        <f>RIGHT(Airports[[#This Row],[ICAO]],3)</f>
        <v>CJU</v>
      </c>
      <c r="F4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t="s">
        <v>945</v>
      </c>
      <c r="B402" t="s">
        <v>946</v>
      </c>
      <c r="C402">
        <v>-40.516388999999997</v>
      </c>
      <c r="D402">
        <v>148.13305600000001</v>
      </c>
      <c r="E402" t="str">
        <f>RIGHT(Airports[[#This Row],[ICAO]],3)</f>
        <v>CKD</v>
      </c>
      <c r="F4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t="s">
        <v>947</v>
      </c>
      <c r="B403" t="s">
        <v>948</v>
      </c>
      <c r="C403">
        <v>-11.165278000000001</v>
      </c>
      <c r="D403">
        <v>132.483889</v>
      </c>
      <c r="E403" t="str">
        <f>RIGHT(Airports[[#This Row],[ICAO]],3)</f>
        <v>CKI</v>
      </c>
      <c r="F4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t="s">
        <v>949</v>
      </c>
      <c r="B404" t="s">
        <v>950</v>
      </c>
      <c r="C404">
        <v>-15.444722000000001</v>
      </c>
      <c r="D404">
        <v>145.18444400000001</v>
      </c>
      <c r="E404" t="str">
        <f>RIGHT(Airports[[#This Row],[ICAO]],3)</f>
        <v>CKN</v>
      </c>
      <c r="F4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t="s">
        <v>951</v>
      </c>
      <c r="B405" t="s">
        <v>952</v>
      </c>
      <c r="C405">
        <v>-32.049722000000003</v>
      </c>
      <c r="D405">
        <v>126.099722</v>
      </c>
      <c r="E405" t="str">
        <f>RIGHT(Airports[[#This Row],[ICAO]],3)</f>
        <v>CKY</v>
      </c>
      <c r="F4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t="s">
        <v>953</v>
      </c>
      <c r="B406" t="s">
        <v>954</v>
      </c>
      <c r="C406">
        <v>-33.83</v>
      </c>
      <c r="D406">
        <v>138.61527799999999</v>
      </c>
      <c r="E406" t="str">
        <f>RIGHT(Airports[[#This Row],[ICAO]],3)</f>
        <v>CLA</v>
      </c>
      <c r="F4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t="s">
        <v>955</v>
      </c>
      <c r="B407" t="s">
        <v>956</v>
      </c>
      <c r="C407">
        <v>-34.992778000000001</v>
      </c>
      <c r="D407">
        <v>138.927222</v>
      </c>
      <c r="E407" t="str">
        <f>RIGHT(Airports[[#This Row],[ICAO]],3)</f>
        <v>CLB</v>
      </c>
      <c r="F4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t="s">
        <v>957</v>
      </c>
      <c r="B408" t="s">
        <v>958</v>
      </c>
      <c r="C408">
        <v>-17</v>
      </c>
      <c r="D408">
        <v>145.66666699999999</v>
      </c>
      <c r="E408" t="str">
        <f>RIGHT(Airports[[#This Row],[ICAO]],3)</f>
        <v>CLD</v>
      </c>
      <c r="F4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t="s">
        <v>959</v>
      </c>
      <c r="B409" t="s">
        <v>960</v>
      </c>
      <c r="C409">
        <v>-30.95</v>
      </c>
      <c r="D409">
        <v>121.15</v>
      </c>
      <c r="E409" t="str">
        <f>RIGHT(Airports[[#This Row],[ICAO]],3)</f>
        <v>CLG</v>
      </c>
      <c r="F4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t="s">
        <v>961</v>
      </c>
      <c r="B410" t="s">
        <v>962</v>
      </c>
      <c r="C410">
        <v>-19.816666999999999</v>
      </c>
      <c r="D410">
        <v>140.16666699999999</v>
      </c>
      <c r="E410" t="str">
        <f>RIGHT(Airports[[#This Row],[ICAO]],3)</f>
        <v>CLH</v>
      </c>
      <c r="F4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t="s">
        <v>963</v>
      </c>
      <c r="B411" t="s">
        <v>964</v>
      </c>
      <c r="C411">
        <v>-29.473056</v>
      </c>
      <c r="D411">
        <v>148.78555600000001</v>
      </c>
      <c r="E411" t="str">
        <f>RIGHT(Airports[[#This Row],[ICAO]],3)</f>
        <v>CLM</v>
      </c>
      <c r="F4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t="s">
        <v>965</v>
      </c>
      <c r="B412" t="s">
        <v>966</v>
      </c>
      <c r="C412">
        <v>-20.420000000000002</v>
      </c>
      <c r="D412">
        <v>117.41166699999999</v>
      </c>
      <c r="E412" t="str">
        <f>RIGHT(Airports[[#This Row],[ICAO]],3)</f>
        <v>CLN</v>
      </c>
      <c r="F4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t="s">
        <v>967</v>
      </c>
      <c r="B413" t="s">
        <v>968</v>
      </c>
      <c r="C413">
        <v>-33.605832999999997</v>
      </c>
      <c r="D413">
        <v>145.313333</v>
      </c>
      <c r="E413" t="str">
        <f>RIGHT(Airports[[#This Row],[ICAO]],3)</f>
        <v>CLO</v>
      </c>
      <c r="F4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t="s">
        <v>969</v>
      </c>
      <c r="B414" t="s">
        <v>970</v>
      </c>
      <c r="C414">
        <v>-16.400556000000002</v>
      </c>
      <c r="D414">
        <v>122.931389</v>
      </c>
      <c r="E414" t="str">
        <f>RIGHT(Airports[[#This Row],[ICAO]],3)</f>
        <v>CLQ</v>
      </c>
      <c r="F4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t="s">
        <v>971</v>
      </c>
      <c r="B415" t="s">
        <v>972</v>
      </c>
      <c r="C415">
        <v>-27.482778</v>
      </c>
      <c r="D415">
        <v>151.390278</v>
      </c>
      <c r="E415" t="str">
        <f>RIGHT(Airports[[#This Row],[ICAO]],3)</f>
        <v>CLS</v>
      </c>
      <c r="F4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t="s">
        <v>973</v>
      </c>
      <c r="B416" t="s">
        <v>974</v>
      </c>
      <c r="C416">
        <v>-14.35</v>
      </c>
      <c r="D416">
        <v>131.583056</v>
      </c>
      <c r="E416" t="str">
        <f>RIGHT(Airports[[#This Row],[ICAO]],3)</f>
        <v>CLV</v>
      </c>
      <c r="F4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t="s">
        <v>975</v>
      </c>
      <c r="B417" t="s">
        <v>976</v>
      </c>
      <c r="C417">
        <v>-34.802778000000004</v>
      </c>
      <c r="D417">
        <v>145.846667</v>
      </c>
      <c r="E417" t="str">
        <f>RIGHT(Airports[[#This Row],[ICAO]],3)</f>
        <v>CLY</v>
      </c>
      <c r="F4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t="s">
        <v>977</v>
      </c>
      <c r="B418" t="s">
        <v>978</v>
      </c>
      <c r="C418">
        <v>-27.720278</v>
      </c>
      <c r="D418">
        <v>151.87472199999999</v>
      </c>
      <c r="E418" t="str">
        <f>RIGHT(Airports[[#This Row],[ICAO]],3)</f>
        <v>CMB</v>
      </c>
      <c r="F4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t="s">
        <v>979</v>
      </c>
      <c r="B419" t="s">
        <v>980</v>
      </c>
      <c r="C419">
        <v>-23.35</v>
      </c>
      <c r="D419">
        <v>149.88305600000001</v>
      </c>
      <c r="E419" t="str">
        <f>RIGHT(Airports[[#This Row],[ICAO]],3)</f>
        <v>CMC</v>
      </c>
      <c r="F4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t="s">
        <v>981</v>
      </c>
      <c r="B420" t="s">
        <v>982</v>
      </c>
      <c r="C420">
        <v>-31.25</v>
      </c>
      <c r="D420">
        <v>138.38305600000001</v>
      </c>
      <c r="E420" t="str">
        <f>RIGHT(Airports[[#This Row],[ICAO]],3)</f>
        <v>CMD</v>
      </c>
      <c r="F4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t="s">
        <v>983</v>
      </c>
      <c r="B421" t="s">
        <v>984</v>
      </c>
      <c r="C421">
        <v>-31.664999999999999</v>
      </c>
      <c r="D421">
        <v>152.74166700000001</v>
      </c>
      <c r="E421" t="str">
        <f>RIGHT(Airports[[#This Row],[ICAO]],3)</f>
        <v>CMH</v>
      </c>
      <c r="F4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t="s">
        <v>985</v>
      </c>
      <c r="B422" t="s">
        <v>986</v>
      </c>
      <c r="C422">
        <v>-18.850000000000001</v>
      </c>
      <c r="D422">
        <v>145.46638899999999</v>
      </c>
      <c r="E422" t="str">
        <f>RIGHT(Airports[[#This Row],[ICAO]],3)</f>
        <v>CMK</v>
      </c>
      <c r="F4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t="s">
        <v>987</v>
      </c>
      <c r="B423" t="s">
        <v>988</v>
      </c>
      <c r="C423">
        <v>-34.252777999999999</v>
      </c>
      <c r="D423">
        <v>135.71333300000001</v>
      </c>
      <c r="E423" t="str">
        <f>RIGHT(Airports[[#This Row],[ICAO]],3)</f>
        <v>CMM</v>
      </c>
      <c r="F4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t="s">
        <v>989</v>
      </c>
      <c r="B424" t="s">
        <v>990</v>
      </c>
      <c r="C424">
        <v>-22.773056</v>
      </c>
      <c r="D424">
        <v>147.62055599999999</v>
      </c>
      <c r="E424" t="str">
        <f>RIGHT(Airports[[#This Row],[ICAO]],3)</f>
        <v>CMT</v>
      </c>
      <c r="F4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t="s">
        <v>991</v>
      </c>
      <c r="B425" t="s">
        <v>992</v>
      </c>
      <c r="C425">
        <v>-28.03</v>
      </c>
      <c r="D425">
        <v>145.62222199999999</v>
      </c>
      <c r="E425" t="str">
        <f>RIGHT(Airports[[#This Row],[ICAO]],3)</f>
        <v>CMU</v>
      </c>
      <c r="F4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t="s">
        <v>993</v>
      </c>
      <c r="B426" t="s">
        <v>994</v>
      </c>
      <c r="C426">
        <v>-19.911667000000001</v>
      </c>
      <c r="D426">
        <v>138.125</v>
      </c>
      <c r="E426" t="str">
        <f>RIGHT(Airports[[#This Row],[ICAO]],3)</f>
        <v>CMW</v>
      </c>
      <c r="F4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t="s">
        <v>995</v>
      </c>
      <c r="B427" t="s">
        <v>996</v>
      </c>
      <c r="C427">
        <v>-21.673611000000001</v>
      </c>
      <c r="D427">
        <v>121.594722</v>
      </c>
      <c r="E427" t="str">
        <f>RIGHT(Airports[[#This Row],[ICAO]],3)</f>
        <v>CNF</v>
      </c>
      <c r="F4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t="s">
        <v>997</v>
      </c>
      <c r="B428" t="s">
        <v>998</v>
      </c>
      <c r="C428">
        <v>-36.82</v>
      </c>
      <c r="D428">
        <v>140.27277799999999</v>
      </c>
      <c r="E428" t="str">
        <f>RIGHT(Airports[[#This Row],[ICAO]],3)</f>
        <v>CNG</v>
      </c>
      <c r="F4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t="s">
        <v>999</v>
      </c>
      <c r="B429" t="s">
        <v>1000</v>
      </c>
      <c r="C429">
        <v>-29.683889000000001</v>
      </c>
      <c r="D429">
        <v>115.893889</v>
      </c>
      <c r="E429" t="str">
        <f>RIGHT(Airports[[#This Row],[ICAO]],3)</f>
        <v>CNH</v>
      </c>
      <c r="F4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t="s">
        <v>1001</v>
      </c>
      <c r="B430" t="s">
        <v>1002</v>
      </c>
      <c r="C430">
        <v>-32.786110999999998</v>
      </c>
      <c r="D430">
        <v>151.33944399999999</v>
      </c>
      <c r="E430" t="str">
        <f>RIGHT(Airports[[#This Row],[ICAO]],3)</f>
        <v>CNK</v>
      </c>
      <c r="F4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t="s">
        <v>1003</v>
      </c>
      <c r="B431" t="s">
        <v>1004</v>
      </c>
      <c r="C431">
        <v>-30.983332999999998</v>
      </c>
      <c r="D431">
        <v>148.37555599999999</v>
      </c>
      <c r="E431" t="str">
        <f>RIGHT(Airports[[#This Row],[ICAO]],3)</f>
        <v>CNM</v>
      </c>
      <c r="F4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t="s">
        <v>1005</v>
      </c>
      <c r="B432" t="s">
        <v>1006</v>
      </c>
      <c r="C432">
        <v>-31.033332999999999</v>
      </c>
      <c r="D432">
        <v>123.158333</v>
      </c>
      <c r="E432" t="str">
        <f>RIGHT(Airports[[#This Row],[ICAO]],3)</f>
        <v>CNN</v>
      </c>
      <c r="F4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t="s">
        <v>1007</v>
      </c>
      <c r="B433" t="s">
        <v>1008</v>
      </c>
      <c r="C433">
        <v>-13.166667</v>
      </c>
      <c r="D433">
        <v>130.149722</v>
      </c>
      <c r="F4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t="s">
        <v>1009</v>
      </c>
      <c r="B434" t="s">
        <v>1010</v>
      </c>
      <c r="C434">
        <v>-37.277222000000002</v>
      </c>
      <c r="D434">
        <v>140.811667</v>
      </c>
      <c r="E434" t="str">
        <f>RIGHT(Airports[[#This Row],[ICAO]],3)</f>
        <v>CNQ</v>
      </c>
      <c r="F4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t="s">
        <v>1011</v>
      </c>
      <c r="B435" t="s">
        <v>1012</v>
      </c>
      <c r="C435">
        <v>-27.264721999999999</v>
      </c>
      <c r="D435">
        <v>152.05861100000001</v>
      </c>
      <c r="E435" t="str">
        <f>RIGHT(Airports[[#This Row],[ICAO]],3)</f>
        <v>CNT</v>
      </c>
      <c r="F4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t="s">
        <v>1013</v>
      </c>
      <c r="B436" t="s">
        <v>1014</v>
      </c>
      <c r="C436">
        <v>-18.753333000000001</v>
      </c>
      <c r="D436">
        <v>138.70666700000001</v>
      </c>
      <c r="E436" t="str">
        <f>RIGHT(Airports[[#This Row],[ICAO]],3)</f>
        <v>CNY</v>
      </c>
      <c r="F4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t="s">
        <v>1015</v>
      </c>
      <c r="B437" t="s">
        <v>1016</v>
      </c>
      <c r="C437">
        <v>-32.929219000000003</v>
      </c>
      <c r="D437">
        <v>116.90899899999999</v>
      </c>
      <c r="E437" t="str">
        <f>RIGHT(Airports[[#This Row],[ICAO]],3)</f>
        <v>COA</v>
      </c>
      <c r="F4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t="s">
        <v>1017</v>
      </c>
      <c r="B438" t="s">
        <v>1018</v>
      </c>
      <c r="C438">
        <v>-26.7425</v>
      </c>
      <c r="D438">
        <v>140.636111</v>
      </c>
      <c r="E438" t="str">
        <f>RIGHT(Airports[[#This Row],[ICAO]],3)</f>
        <v>COD</v>
      </c>
      <c r="F4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t="s">
        <v>1019</v>
      </c>
      <c r="B439" t="s">
        <v>1020</v>
      </c>
      <c r="C439">
        <v>-13.761944</v>
      </c>
      <c r="D439">
        <v>143.11666700000001</v>
      </c>
      <c r="E439" t="str">
        <f>RIGHT(Airports[[#This Row],[ICAO]],3)</f>
        <v>COE</v>
      </c>
      <c r="F4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t="s">
        <v>1021</v>
      </c>
      <c r="B440" t="s">
        <v>1022</v>
      </c>
      <c r="C440">
        <v>-34.588889000000002</v>
      </c>
      <c r="D440">
        <v>135.505</v>
      </c>
      <c r="E440" t="str">
        <f>RIGHT(Airports[[#This Row],[ICAO]],3)</f>
        <v>COF</v>
      </c>
      <c r="F4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t="s">
        <v>1023</v>
      </c>
      <c r="B441" t="s">
        <v>1024</v>
      </c>
      <c r="C441">
        <v>-35.826943999999997</v>
      </c>
      <c r="D441">
        <v>144.21388899999999</v>
      </c>
      <c r="E441" t="str">
        <f>RIGHT(Airports[[#This Row],[ICAO]],3)</f>
        <v>COH</v>
      </c>
      <c r="F4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t="s">
        <v>1025</v>
      </c>
      <c r="B442" t="s">
        <v>1026</v>
      </c>
      <c r="C442">
        <v>-33.36</v>
      </c>
      <c r="D442">
        <v>116.201111</v>
      </c>
      <c r="E442" t="str">
        <f>RIGHT(Airports[[#This Row],[ICAO]],3)</f>
        <v>COI</v>
      </c>
      <c r="F4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t="s">
        <v>1027</v>
      </c>
      <c r="B443" t="s">
        <v>1028</v>
      </c>
      <c r="C443">
        <v>-27.485734999999998</v>
      </c>
      <c r="D443">
        <v>151.755393</v>
      </c>
      <c r="E443" t="str">
        <f>RIGHT(Airports[[#This Row],[ICAO]],3)</f>
        <v>COL</v>
      </c>
      <c r="F4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t="s">
        <v>1029</v>
      </c>
      <c r="B444" t="s">
        <v>1030</v>
      </c>
      <c r="C444">
        <v>-36.300556</v>
      </c>
      <c r="D444">
        <v>148.97388900000001</v>
      </c>
      <c r="E444" t="str">
        <f>RIGHT(Airports[[#This Row],[ICAO]],3)</f>
        <v>COM</v>
      </c>
      <c r="F4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t="s">
        <v>1031</v>
      </c>
      <c r="B445" t="s">
        <v>1032</v>
      </c>
      <c r="C445">
        <v>-12.902778</v>
      </c>
      <c r="D445">
        <v>132.53222199999999</v>
      </c>
      <c r="E445" t="str">
        <f>RIGHT(Airports[[#This Row],[ICAO]],3)</f>
        <v>COO</v>
      </c>
      <c r="F4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t="s">
        <v>1033</v>
      </c>
      <c r="B446" t="s">
        <v>1034</v>
      </c>
      <c r="C446">
        <v>-34.916666999999997</v>
      </c>
      <c r="D446">
        <v>137.06638899999999</v>
      </c>
      <c r="E446" t="str">
        <f>RIGHT(Airports[[#This Row],[ICAO]],3)</f>
        <v>COP</v>
      </c>
      <c r="F4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t="s">
        <v>1035</v>
      </c>
      <c r="B447" t="s">
        <v>1036</v>
      </c>
      <c r="C447">
        <v>-35.990278000000004</v>
      </c>
      <c r="D447">
        <v>146.35138900000001</v>
      </c>
      <c r="E447" t="str">
        <f>RIGHT(Airports[[#This Row],[ICAO]],3)</f>
        <v>COR</v>
      </c>
      <c r="F4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t="s">
        <v>1037</v>
      </c>
      <c r="B448" t="s">
        <v>1038</v>
      </c>
      <c r="C448">
        <v>-27.984999999999999</v>
      </c>
      <c r="D448">
        <v>122.903333</v>
      </c>
      <c r="E448" t="str">
        <f>RIGHT(Airports[[#This Row],[ICAO]],3)</f>
        <v>COS</v>
      </c>
      <c r="F4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t="s">
        <v>1039</v>
      </c>
      <c r="B449" t="s">
        <v>1040</v>
      </c>
      <c r="C449">
        <v>-19.524999999999999</v>
      </c>
      <c r="D449">
        <v>146.34027800000001</v>
      </c>
      <c r="E449" t="str">
        <f>RIGHT(Airports[[#This Row],[ICAO]],3)</f>
        <v>COT</v>
      </c>
      <c r="F4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t="s">
        <v>1041</v>
      </c>
      <c r="B450" t="s">
        <v>1042</v>
      </c>
      <c r="C450">
        <v>-23.128889000000001</v>
      </c>
      <c r="D450">
        <v>113.780833</v>
      </c>
      <c r="E450" t="str">
        <f>RIGHT(Airports[[#This Row],[ICAO]],3)</f>
        <v>COY</v>
      </c>
      <c r="F4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t="s">
        <v>1043</v>
      </c>
      <c r="B451" t="s">
        <v>1044</v>
      </c>
      <c r="C451">
        <v>-11.298056000000001</v>
      </c>
      <c r="D451">
        <v>131.82638900000001</v>
      </c>
      <c r="E451" t="str">
        <f>RIGHT(Airports[[#This Row],[ICAO]],3)</f>
        <v>CPD</v>
      </c>
      <c r="F4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t="s">
        <v>1045</v>
      </c>
      <c r="B452" t="s">
        <v>1046</v>
      </c>
      <c r="C452">
        <v>-26.624167</v>
      </c>
      <c r="D452">
        <v>145.013611</v>
      </c>
      <c r="E452" t="str">
        <f>RIGHT(Airports[[#This Row],[ICAO]],3)</f>
        <v>CPI</v>
      </c>
      <c r="F4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t="s">
        <v>1047</v>
      </c>
      <c r="B453" t="s">
        <v>1048</v>
      </c>
      <c r="C453">
        <v>-33.628610999999999</v>
      </c>
      <c r="D453">
        <v>149.12472199999999</v>
      </c>
      <c r="E453" t="str">
        <f>RIGHT(Airports[[#This Row],[ICAO]],3)</f>
        <v>CPK</v>
      </c>
      <c r="F4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t="s">
        <v>1049</v>
      </c>
      <c r="B454" t="s">
        <v>1050</v>
      </c>
      <c r="C454">
        <v>-20.605833000000001</v>
      </c>
      <c r="D454">
        <v>117.164722</v>
      </c>
      <c r="F4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t="s">
        <v>1051</v>
      </c>
      <c r="B455" t="s">
        <v>1052</v>
      </c>
      <c r="C455">
        <v>-18.717222</v>
      </c>
      <c r="D455">
        <v>144.31222199999999</v>
      </c>
      <c r="E455" t="str">
        <f>RIGHT(Airports[[#This Row],[ICAO]],3)</f>
        <v>CPN</v>
      </c>
      <c r="F4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t="s">
        <v>1053</v>
      </c>
      <c r="B456" t="s">
        <v>1054</v>
      </c>
      <c r="C456">
        <v>-20.977222000000001</v>
      </c>
      <c r="D456">
        <v>116.27500000000001</v>
      </c>
      <c r="E456" t="str">
        <f>RIGHT(Airports[[#This Row],[ICAO]],3)</f>
        <v>CPR</v>
      </c>
      <c r="F4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t="s">
        <v>1055</v>
      </c>
      <c r="B457" t="s">
        <v>1056</v>
      </c>
      <c r="C457">
        <v>-24.299721999999999</v>
      </c>
      <c r="D457">
        <v>148.38305600000001</v>
      </c>
      <c r="E457" t="str">
        <f>RIGHT(Airports[[#This Row],[ICAO]],3)</f>
        <v>CPS</v>
      </c>
      <c r="F4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t="s">
        <v>1057</v>
      </c>
      <c r="B458" t="s">
        <v>1058</v>
      </c>
      <c r="C458">
        <v>-31.308333000000001</v>
      </c>
      <c r="D458">
        <v>137.443333</v>
      </c>
      <c r="E458" t="str">
        <f>RIGHT(Airports[[#This Row],[ICAO]],3)</f>
        <v>CPT</v>
      </c>
      <c r="F4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t="s">
        <v>1059</v>
      </c>
      <c r="B459" t="s">
        <v>1060</v>
      </c>
      <c r="C459">
        <v>-12.583055999999999</v>
      </c>
      <c r="D459">
        <v>131.31638899999999</v>
      </c>
      <c r="E459" t="str">
        <f>RIGHT(Airports[[#This Row],[ICAO]],3)</f>
        <v>CPX</v>
      </c>
      <c r="F4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t="s">
        <v>1061</v>
      </c>
      <c r="B460" t="s">
        <v>1062</v>
      </c>
      <c r="C460">
        <v>-30.458333</v>
      </c>
      <c r="D460">
        <v>147.70944399999999</v>
      </c>
      <c r="E460" t="str">
        <f>RIGHT(Airports[[#This Row],[ICAO]],3)</f>
        <v>CRA</v>
      </c>
      <c r="F4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t="s">
        <v>1063</v>
      </c>
      <c r="B461" t="s">
        <v>1064</v>
      </c>
      <c r="C461">
        <v>-31.888055999999999</v>
      </c>
      <c r="D461">
        <v>132.28472199999999</v>
      </c>
      <c r="E461" t="str">
        <f>RIGHT(Airports[[#This Row],[ICAO]],3)</f>
        <v>CRB</v>
      </c>
      <c r="F4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t="s">
        <v>1065</v>
      </c>
      <c r="B462" t="s">
        <v>1066</v>
      </c>
      <c r="C462">
        <v>-35.184443999999999</v>
      </c>
      <c r="D462">
        <v>149.48694399999999</v>
      </c>
      <c r="E462" t="str">
        <f>RIGHT(Airports[[#This Row],[ICAO]],3)</f>
        <v>CRD</v>
      </c>
      <c r="F4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t="s">
        <v>1067</v>
      </c>
      <c r="B463" t="s">
        <v>1068</v>
      </c>
      <c r="C463">
        <v>-38.04</v>
      </c>
      <c r="D463">
        <v>143.65305599999999</v>
      </c>
      <c r="E463" t="str">
        <f>RIGHT(Airports[[#This Row],[ICAO]],3)</f>
        <v>CRE</v>
      </c>
      <c r="F4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t="s">
        <v>1069</v>
      </c>
      <c r="B464" t="s">
        <v>1070</v>
      </c>
      <c r="C464">
        <v>-41.467778000000003</v>
      </c>
      <c r="D464">
        <v>146.83833300000001</v>
      </c>
      <c r="E464" t="str">
        <f>RIGHT(Airports[[#This Row],[ICAO]],3)</f>
        <v>CRF</v>
      </c>
      <c r="F4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t="s">
        <v>1071</v>
      </c>
      <c r="B465" t="s">
        <v>1072</v>
      </c>
      <c r="C465">
        <v>-36.182777999999999</v>
      </c>
      <c r="D465">
        <v>147.887778</v>
      </c>
      <c r="E465" t="str">
        <f>RIGHT(Airports[[#This Row],[ICAO]],3)</f>
        <v>CRG</v>
      </c>
      <c r="F4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t="s">
        <v>1073</v>
      </c>
      <c r="B466" t="s">
        <v>1074</v>
      </c>
      <c r="C466">
        <v>-34.5</v>
      </c>
      <c r="D466">
        <v>149.44999999999999</v>
      </c>
      <c r="E466" t="str">
        <f>RIGHT(Airports[[#This Row],[ICAO]],3)</f>
        <v>CRL</v>
      </c>
      <c r="F4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t="s">
        <v>1075</v>
      </c>
      <c r="B467" t="s">
        <v>1076</v>
      </c>
      <c r="C467">
        <v>-41.577500000000001</v>
      </c>
      <c r="D467">
        <v>145.94138899999999</v>
      </c>
      <c r="E467" t="str">
        <f>RIGHT(Airports[[#This Row],[ICAO]],3)</f>
        <v>CRM</v>
      </c>
      <c r="F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t="s">
        <v>1077</v>
      </c>
      <c r="B468" t="s">
        <v>1078</v>
      </c>
      <c r="C468">
        <v>-41.161389</v>
      </c>
      <c r="D468">
        <v>147.01472200000001</v>
      </c>
      <c r="E468" t="str">
        <f>RIGHT(Airports[[#This Row],[ICAO]],3)</f>
        <v>CRN</v>
      </c>
      <c r="F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t="s">
        <v>1079</v>
      </c>
      <c r="B469" t="s">
        <v>1080</v>
      </c>
      <c r="C469">
        <v>-31.962222000000001</v>
      </c>
      <c r="D469">
        <v>115.895</v>
      </c>
      <c r="E469" t="str">
        <f>RIGHT(Airports[[#This Row],[ICAO]],3)</f>
        <v>CRO</v>
      </c>
      <c r="F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t="s">
        <v>1081</v>
      </c>
      <c r="B470" t="s">
        <v>1082</v>
      </c>
      <c r="C470">
        <v>-20.597221999999999</v>
      </c>
      <c r="D470">
        <v>140.244167</v>
      </c>
      <c r="E470" t="str">
        <f>RIGHT(Airports[[#This Row],[ICAO]],3)</f>
        <v>CRP</v>
      </c>
      <c r="F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t="s">
        <v>1083</v>
      </c>
      <c r="B471" t="s">
        <v>1084</v>
      </c>
      <c r="C471">
        <v>-24.25</v>
      </c>
      <c r="D471">
        <v>148.48333299999999</v>
      </c>
      <c r="E471" t="str">
        <f>RIGHT(Airports[[#This Row],[ICAO]],3)</f>
        <v>CRS</v>
      </c>
      <c r="F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t="s">
        <v>1085</v>
      </c>
      <c r="B472" t="s">
        <v>1086</v>
      </c>
      <c r="C472">
        <v>-32.4</v>
      </c>
      <c r="D472">
        <v>138.51666700000001</v>
      </c>
      <c r="E472" t="str">
        <f>RIGHT(Airports[[#This Row],[ICAO]],3)</f>
        <v>CRT</v>
      </c>
      <c r="F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t="s">
        <v>1087</v>
      </c>
      <c r="B473" t="s">
        <v>1088</v>
      </c>
      <c r="C473">
        <v>-18.217500000000001</v>
      </c>
      <c r="D473">
        <v>142.25305599999999</v>
      </c>
      <c r="E473" t="str">
        <f>RIGHT(Airports[[#This Row],[ICAO]],3)</f>
        <v>CRY</v>
      </c>
      <c r="F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t="s">
        <v>1089</v>
      </c>
      <c r="B474" t="s">
        <v>1090</v>
      </c>
      <c r="C474">
        <v>-23.639721999999999</v>
      </c>
      <c r="D474">
        <v>115.13972200000001</v>
      </c>
      <c r="E474" t="str">
        <f>RIGHT(Airports[[#This Row],[ICAO]],3)</f>
        <v>CSA</v>
      </c>
      <c r="F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t="s">
        <v>1091</v>
      </c>
      <c r="B475" t="s">
        <v>1092</v>
      </c>
      <c r="C475">
        <v>-26.083333</v>
      </c>
      <c r="D475">
        <v>115.221389</v>
      </c>
      <c r="E475" t="str">
        <f>RIGHT(Airports[[#This Row],[ICAO]],3)</f>
        <v>CSB</v>
      </c>
      <c r="F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t="s">
        <v>1093</v>
      </c>
      <c r="B476" t="s">
        <v>1094</v>
      </c>
      <c r="C476">
        <v>-27.366667</v>
      </c>
      <c r="D476">
        <v>115.166389</v>
      </c>
      <c r="E476" t="str">
        <f>RIGHT(Airports[[#This Row],[ICAO]],3)</f>
        <v>CSC</v>
      </c>
      <c r="F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t="s">
        <v>1095</v>
      </c>
      <c r="B477" t="s">
        <v>1096</v>
      </c>
      <c r="C477">
        <v>-21.443888999999999</v>
      </c>
      <c r="D477">
        <v>115.946389</v>
      </c>
      <c r="E477" t="str">
        <f>RIGHT(Airports[[#This Row],[ICAO]],3)</f>
        <v>CSD</v>
      </c>
      <c r="F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t="s">
        <v>1097</v>
      </c>
      <c r="B478" t="s">
        <v>1098</v>
      </c>
      <c r="C478">
        <v>-22.468889000000001</v>
      </c>
      <c r="D478">
        <v>115.25</v>
      </c>
      <c r="E478" t="str">
        <f>RIGHT(Airports[[#This Row],[ICAO]],3)</f>
        <v>CSE</v>
      </c>
      <c r="F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t="s">
        <v>1099</v>
      </c>
      <c r="B479" t="s">
        <v>1100</v>
      </c>
      <c r="C479">
        <v>-24.841944000000002</v>
      </c>
      <c r="D479">
        <v>115.287222</v>
      </c>
      <c r="E479" t="str">
        <f>RIGHT(Airports[[#This Row],[ICAO]],3)</f>
        <v>CSF</v>
      </c>
      <c r="F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t="s">
        <v>1101</v>
      </c>
      <c r="B480" t="s">
        <v>1102</v>
      </c>
      <c r="C480">
        <v>-21.266389</v>
      </c>
      <c r="D480">
        <v>143.016389</v>
      </c>
      <c r="E480" t="str">
        <f>RIGHT(Airports[[#This Row],[ICAO]],3)</f>
        <v>CSI</v>
      </c>
      <c r="F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t="s">
        <v>1103</v>
      </c>
      <c r="B481" t="s">
        <v>1104</v>
      </c>
      <c r="C481">
        <v>-66.288888999999998</v>
      </c>
      <c r="D481">
        <v>110.764167</v>
      </c>
      <c r="E481" t="str">
        <f>RIGHT(Airports[[#This Row],[ICAO]],3)</f>
        <v>CSK</v>
      </c>
      <c r="F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t="s">
        <v>1105</v>
      </c>
      <c r="B482" t="s">
        <v>1106</v>
      </c>
      <c r="C482">
        <v>-24.633056</v>
      </c>
      <c r="D482">
        <v>148.46638899999999</v>
      </c>
      <c r="E482" t="str">
        <f>RIGHT(Airports[[#This Row],[ICAO]],3)</f>
        <v>CSL</v>
      </c>
      <c r="F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t="s">
        <v>1107</v>
      </c>
      <c r="B483" t="s">
        <v>1108</v>
      </c>
      <c r="C483">
        <v>-22.883056</v>
      </c>
      <c r="D483">
        <v>144.6</v>
      </c>
      <c r="E483" t="str">
        <f>RIGHT(Airports[[#This Row],[ICAO]],3)</f>
        <v>CSM</v>
      </c>
      <c r="F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t="s">
        <v>1109</v>
      </c>
      <c r="B484" t="s">
        <v>1110</v>
      </c>
      <c r="C484">
        <v>-25.333055999999999</v>
      </c>
      <c r="D484">
        <v>131.758611</v>
      </c>
      <c r="E484" t="str">
        <f>RIGHT(Airports[[#This Row],[ICAO]],3)</f>
        <v>CSP</v>
      </c>
      <c r="F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t="s">
        <v>1111</v>
      </c>
      <c r="B485" t="s">
        <v>1112</v>
      </c>
      <c r="C485">
        <v>-35.629443999999999</v>
      </c>
      <c r="D485">
        <v>140.208889</v>
      </c>
      <c r="E485" t="str">
        <f>RIGHT(Airports[[#This Row],[ICAO]],3)</f>
        <v>CST</v>
      </c>
      <c r="F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t="s">
        <v>1113</v>
      </c>
      <c r="B486" t="s">
        <v>1114</v>
      </c>
      <c r="C486">
        <v>-20.596111000000001</v>
      </c>
      <c r="D486">
        <v>147.86000000000001</v>
      </c>
      <c r="E486" t="str">
        <f>RIGHT(Airports[[#This Row],[ICAO]],3)</f>
        <v>CSV</v>
      </c>
      <c r="F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t="s">
        <v>1115</v>
      </c>
      <c r="B487" t="s">
        <v>1116</v>
      </c>
      <c r="C487">
        <v>-19.416944000000001</v>
      </c>
      <c r="D487">
        <v>146.54166699999999</v>
      </c>
      <c r="E487" t="str">
        <f>RIGHT(Airports[[#This Row],[ICAO]],3)</f>
        <v>CSW</v>
      </c>
      <c r="F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t="s">
        <v>1117</v>
      </c>
      <c r="B488" t="s">
        <v>1118</v>
      </c>
      <c r="C488">
        <v>-29.144166999999999</v>
      </c>
      <c r="D488">
        <v>150.72472200000001</v>
      </c>
      <c r="E488" t="str">
        <f>RIGHT(Airports[[#This Row],[ICAO]],3)</f>
        <v>CTA</v>
      </c>
      <c r="F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t="s">
        <v>1119</v>
      </c>
      <c r="B489" t="s">
        <v>1120</v>
      </c>
      <c r="C489">
        <v>-22.799721999999999</v>
      </c>
      <c r="D489">
        <v>122.583333</v>
      </c>
      <c r="E489" t="str">
        <f>RIGHT(Airports[[#This Row],[ICAO]],3)</f>
        <v>CTC</v>
      </c>
      <c r="F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t="s">
        <v>1121</v>
      </c>
      <c r="B490" t="s">
        <v>1122</v>
      </c>
      <c r="C490">
        <v>-21.955556000000001</v>
      </c>
      <c r="D490">
        <v>140.290278</v>
      </c>
      <c r="E490" t="str">
        <f>RIGHT(Airports[[#This Row],[ICAO]],3)</f>
        <v>CTH</v>
      </c>
      <c r="F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t="s">
        <v>1123</v>
      </c>
      <c r="B491" t="s">
        <v>1124</v>
      </c>
      <c r="C491">
        <v>-16.095832999999999</v>
      </c>
      <c r="D491">
        <v>123.611389</v>
      </c>
      <c r="E491" t="str">
        <f>RIGHT(Airports[[#This Row],[ICAO]],3)</f>
        <v>CTI</v>
      </c>
      <c r="F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t="s">
        <v>1125</v>
      </c>
      <c r="B492" t="s">
        <v>1126</v>
      </c>
      <c r="C492">
        <v>-34.624443999999997</v>
      </c>
      <c r="D492">
        <v>148.035833</v>
      </c>
      <c r="E492" t="str">
        <f>RIGHT(Airports[[#This Row],[ICAO]],3)</f>
        <v>CTM</v>
      </c>
      <c r="F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t="s">
        <v>1127</v>
      </c>
      <c r="B493" t="s">
        <v>1128</v>
      </c>
      <c r="C493">
        <v>-37.613332999999997</v>
      </c>
      <c r="D493">
        <v>141.36166700000001</v>
      </c>
      <c r="E493" t="str">
        <f>RIGHT(Airports[[#This Row],[ICAO]],3)</f>
        <v>CTN</v>
      </c>
      <c r="F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t="s">
        <v>1129</v>
      </c>
      <c r="B494" t="s">
        <v>1130</v>
      </c>
      <c r="C494">
        <v>-35.105832999999997</v>
      </c>
      <c r="D494">
        <v>139.054722</v>
      </c>
      <c r="E494" t="str">
        <f>RIGHT(Airports[[#This Row],[ICAO]],3)</f>
        <v>CTO</v>
      </c>
      <c r="F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t="s">
        <v>1131</v>
      </c>
      <c r="B495" t="s">
        <v>1132</v>
      </c>
      <c r="C495">
        <v>-13.966388999999999</v>
      </c>
      <c r="D495">
        <v>143.183333</v>
      </c>
      <c r="E495" t="str">
        <f>RIGHT(Airports[[#This Row],[ICAO]],3)</f>
        <v>CTP</v>
      </c>
      <c r="F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t="s">
        <v>1133</v>
      </c>
      <c r="B496" t="s">
        <v>1134</v>
      </c>
      <c r="C496">
        <v>-20.151667</v>
      </c>
      <c r="D496">
        <v>139.40805599999999</v>
      </c>
      <c r="E496" t="str">
        <f>RIGHT(Airports[[#This Row],[ICAO]],3)</f>
        <v>CTS</v>
      </c>
      <c r="F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t="s">
        <v>1135</v>
      </c>
      <c r="B497" t="s">
        <v>1136</v>
      </c>
      <c r="C497">
        <v>-28.324999999999999</v>
      </c>
      <c r="D497">
        <v>122.398056</v>
      </c>
      <c r="E497" t="str">
        <f>RIGHT(Airports[[#This Row],[ICAO]],3)</f>
        <v>CTW</v>
      </c>
      <c r="F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t="s">
        <v>1137</v>
      </c>
      <c r="B498" t="s">
        <v>1138</v>
      </c>
      <c r="C498">
        <v>-25.59</v>
      </c>
      <c r="D498">
        <v>141.50805600000001</v>
      </c>
      <c r="E498" t="str">
        <f>RIGHT(Airports[[#This Row],[ICAO]],3)</f>
        <v>CUD</v>
      </c>
      <c r="F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t="s">
        <v>1139</v>
      </c>
      <c r="B499" t="s">
        <v>1140</v>
      </c>
      <c r="C499">
        <v>-27.446667000000001</v>
      </c>
      <c r="D499">
        <v>117.918611</v>
      </c>
      <c r="E499" t="str">
        <f>RIGHT(Airports[[#This Row],[ICAO]],3)</f>
        <v>CUE</v>
      </c>
      <c r="F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t="s">
        <v>1141</v>
      </c>
      <c r="B500" t="s">
        <v>1142</v>
      </c>
      <c r="C500">
        <v>-31.622222000000001</v>
      </c>
      <c r="D500">
        <v>117.216667</v>
      </c>
      <c r="E500" t="str">
        <f>RIGHT(Airports[[#This Row],[ICAO]],3)</f>
        <v>CUN</v>
      </c>
      <c r="F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t="s">
        <v>1143</v>
      </c>
      <c r="B501" t="s">
        <v>1144</v>
      </c>
      <c r="C501">
        <v>-25.149722000000001</v>
      </c>
      <c r="D501">
        <v>141.35</v>
      </c>
      <c r="E501" t="str">
        <f>RIGHT(Airports[[#This Row],[ICAO]],3)</f>
        <v>CUW</v>
      </c>
      <c r="F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t="s">
        <v>1145</v>
      </c>
      <c r="B502" t="s">
        <v>1146</v>
      </c>
      <c r="C502">
        <v>-33.708333000000003</v>
      </c>
      <c r="D502">
        <v>138.58333300000001</v>
      </c>
      <c r="E502" t="str">
        <f>RIGHT(Airports[[#This Row],[ICAO]],3)</f>
        <v>CVA</v>
      </c>
      <c r="F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t="s">
        <v>1147</v>
      </c>
      <c r="B503" t="s">
        <v>1148</v>
      </c>
      <c r="C503">
        <v>-34.696666999999998</v>
      </c>
      <c r="D503">
        <v>138.57833299999999</v>
      </c>
      <c r="E503" t="str">
        <f>RIGHT(Airports[[#This Row],[ICAO]],3)</f>
        <v>CVG</v>
      </c>
      <c r="F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t="s">
        <v>1149</v>
      </c>
      <c r="B504" t="s">
        <v>1150</v>
      </c>
      <c r="C504">
        <v>-17.216667000000001</v>
      </c>
      <c r="D504">
        <v>137.35</v>
      </c>
      <c r="E504" t="str">
        <f>RIGHT(Airports[[#This Row],[ICAO]],3)</f>
        <v>CVH</v>
      </c>
      <c r="F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t="s">
        <v>1151</v>
      </c>
      <c r="B505" t="s">
        <v>1152</v>
      </c>
      <c r="C505">
        <v>-23.309166999999999</v>
      </c>
      <c r="D505">
        <v>138.57722200000001</v>
      </c>
      <c r="E505" t="str">
        <f>RIGHT(Airports[[#This Row],[ICAO]],3)</f>
        <v>CVK</v>
      </c>
      <c r="F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t="s">
        <v>1153</v>
      </c>
      <c r="B506" t="s">
        <v>1154</v>
      </c>
      <c r="C506">
        <v>-30.485555999999999</v>
      </c>
      <c r="D506">
        <v>115.08583299999999</v>
      </c>
      <c r="E506" t="str">
        <f>RIGHT(Airports[[#This Row],[ICAO]],3)</f>
        <v>CVS</v>
      </c>
      <c r="F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t="s">
        <v>1155</v>
      </c>
      <c r="B507" t="s">
        <v>1156</v>
      </c>
      <c r="C507">
        <v>-22.966667000000001</v>
      </c>
      <c r="D507">
        <v>118.813333</v>
      </c>
      <c r="E507" t="str">
        <f>RIGHT(Airports[[#This Row],[ICAO]],3)</f>
        <v>CWA</v>
      </c>
      <c r="F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t="s">
        <v>1157</v>
      </c>
      <c r="B508" t="s">
        <v>1158</v>
      </c>
      <c r="C508">
        <v>-12.666667</v>
      </c>
      <c r="D508">
        <v>131.69972200000001</v>
      </c>
      <c r="E508" t="str">
        <f>RIGHT(Airports[[#This Row],[ICAO]],3)</f>
        <v>CWC</v>
      </c>
      <c r="F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t="s">
        <v>1159</v>
      </c>
      <c r="B509" t="s">
        <v>1160</v>
      </c>
      <c r="C509">
        <v>-29.961389</v>
      </c>
      <c r="D509">
        <v>134.143056</v>
      </c>
      <c r="E509" t="str">
        <f>RIGHT(Airports[[#This Row],[ICAO]],3)</f>
        <v>CWH</v>
      </c>
      <c r="F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t="s">
        <v>1161</v>
      </c>
      <c r="B510" t="s">
        <v>1162</v>
      </c>
      <c r="C510">
        <v>-27.7075</v>
      </c>
      <c r="D510">
        <v>138.321944</v>
      </c>
      <c r="E510" t="str">
        <f>RIGHT(Airports[[#This Row],[ICAO]],3)</f>
        <v>CWI</v>
      </c>
      <c r="F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t="s">
        <v>1163</v>
      </c>
      <c r="B511" t="s">
        <v>1164</v>
      </c>
      <c r="C511">
        <v>-33.667222000000002</v>
      </c>
      <c r="D511">
        <v>136.89166700000001</v>
      </c>
      <c r="E511" t="str">
        <f>RIGHT(Airports[[#This Row],[ICAO]],3)</f>
        <v>CWL</v>
      </c>
      <c r="F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t="s">
        <v>1165</v>
      </c>
      <c r="B512" t="s">
        <v>1166</v>
      </c>
      <c r="C512">
        <v>-26.466667000000001</v>
      </c>
      <c r="D512">
        <v>143.35</v>
      </c>
      <c r="E512" t="str">
        <f>RIGHT(Airports[[#This Row],[ICAO]],3)</f>
        <v>CWN</v>
      </c>
      <c r="F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t="s">
        <v>1167</v>
      </c>
      <c r="B513" t="s">
        <v>1168</v>
      </c>
      <c r="C513">
        <v>-33.844721999999997</v>
      </c>
      <c r="D513">
        <v>148.648889</v>
      </c>
      <c r="E513" t="str">
        <f>RIGHT(Airports[[#This Row],[ICAO]],3)</f>
        <v>CWR</v>
      </c>
      <c r="F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t="s">
        <v>1169</v>
      </c>
      <c r="B514" t="s">
        <v>1170</v>
      </c>
      <c r="C514">
        <v>-38.450000000000003</v>
      </c>
      <c r="D514">
        <v>145.25</v>
      </c>
      <c r="E514" t="str">
        <f>RIGHT(Airports[[#This Row],[ICAO]],3)</f>
        <v>CWS</v>
      </c>
      <c r="F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t="s">
        <v>1171</v>
      </c>
      <c r="B515" t="s">
        <v>1172</v>
      </c>
      <c r="C515">
        <v>-21.833333</v>
      </c>
      <c r="D515">
        <v>117.8</v>
      </c>
      <c r="E515" t="str">
        <f>RIGHT(Airports[[#This Row],[ICAO]],3)</f>
        <v>CWY</v>
      </c>
      <c r="F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t="s">
        <v>1173</v>
      </c>
      <c r="B516" t="s">
        <v>1174</v>
      </c>
      <c r="C516">
        <v>-19.893056000000001</v>
      </c>
      <c r="D516">
        <v>128.8725</v>
      </c>
      <c r="E516" t="str">
        <f>RIGHT(Airports[[#This Row],[ICAO]],3)</f>
        <v>CYE</v>
      </c>
      <c r="F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t="s">
        <v>1175</v>
      </c>
      <c r="B517" t="s">
        <v>1176</v>
      </c>
      <c r="C517">
        <v>-16.439444000000002</v>
      </c>
      <c r="D517">
        <v>123.016389</v>
      </c>
      <c r="E517" t="str">
        <f>RIGHT(Airports[[#This Row],[ICAO]],3)</f>
        <v>CYG</v>
      </c>
      <c r="F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t="s">
        <v>1177</v>
      </c>
      <c r="B518" t="s">
        <v>1178</v>
      </c>
      <c r="C518">
        <v>-35.691943999999999</v>
      </c>
      <c r="D518">
        <v>139.85499999999999</v>
      </c>
      <c r="E518" t="str">
        <f>RIGHT(Airports[[#This Row],[ICAO]],3)</f>
        <v>CYN</v>
      </c>
      <c r="F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t="s">
        <v>1179</v>
      </c>
      <c r="B519" t="s">
        <v>1180</v>
      </c>
      <c r="C519">
        <v>-16.733332999999998</v>
      </c>
      <c r="D519">
        <v>125.439167</v>
      </c>
      <c r="E519" t="str">
        <f>RIGHT(Airports[[#This Row],[ICAO]],3)</f>
        <v>CYR</v>
      </c>
      <c r="F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t="s">
        <v>1181</v>
      </c>
      <c r="B520" t="s">
        <v>1182</v>
      </c>
      <c r="C520">
        <v>-17.383056</v>
      </c>
      <c r="D520">
        <v>144.44972200000001</v>
      </c>
      <c r="E520" t="str">
        <f>RIGHT(Airports[[#This Row],[ICAO]],3)</f>
        <v>CYT</v>
      </c>
      <c r="F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t="s">
        <v>1183</v>
      </c>
      <c r="B521" t="s">
        <v>1184</v>
      </c>
      <c r="C521">
        <v>-14.066388999999999</v>
      </c>
      <c r="D521">
        <v>142.98333299999999</v>
      </c>
      <c r="E521" t="str">
        <f>RIGHT(Airports[[#This Row],[ICAO]],3)</f>
        <v>CYV</v>
      </c>
      <c r="F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t="s">
        <v>1185</v>
      </c>
      <c r="B522" t="s">
        <v>1186</v>
      </c>
      <c r="C522">
        <v>-21.85</v>
      </c>
      <c r="D522">
        <v>142.16666699999999</v>
      </c>
      <c r="E522" t="str">
        <f>RIGHT(Airports[[#This Row],[ICAO]],3)</f>
        <v>DAG</v>
      </c>
      <c r="F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t="s">
        <v>1187</v>
      </c>
      <c r="B523" t="s">
        <v>1188</v>
      </c>
      <c r="C523">
        <v>-9.4166670000000003</v>
      </c>
      <c r="D523">
        <v>142.533333</v>
      </c>
      <c r="E523" t="str">
        <f>RIGHT(Airports[[#This Row],[ICAO]],3)</f>
        <v>DAI</v>
      </c>
      <c r="F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t="s">
        <v>1189</v>
      </c>
      <c r="B524" t="s">
        <v>1190</v>
      </c>
      <c r="C524">
        <v>-21.704443999999999</v>
      </c>
      <c r="D524">
        <v>139.540278</v>
      </c>
      <c r="E524" t="str">
        <f>RIGHT(Airports[[#This Row],[ICAO]],3)</f>
        <v>DAJ</v>
      </c>
      <c r="F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t="s">
        <v>1191</v>
      </c>
      <c r="B525" t="s">
        <v>1192</v>
      </c>
      <c r="C525">
        <v>-20.123888999999998</v>
      </c>
      <c r="D525">
        <v>141.314167</v>
      </c>
      <c r="E525" t="str">
        <f>RIGHT(Airports[[#This Row],[ICAO]],3)</f>
        <v>DAL</v>
      </c>
      <c r="F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t="s">
        <v>1193</v>
      </c>
      <c r="B526" t="s">
        <v>1194</v>
      </c>
      <c r="C526">
        <v>-18.338332999999999</v>
      </c>
      <c r="D526">
        <v>146.04833300000001</v>
      </c>
      <c r="E526" t="str">
        <f>RIGHT(Airports[[#This Row],[ICAO]],3)</f>
        <v>DAM</v>
      </c>
      <c r="F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t="s">
        <v>1195</v>
      </c>
      <c r="B527" t="s">
        <v>1196</v>
      </c>
      <c r="C527">
        <v>-42.571944000000002</v>
      </c>
      <c r="D527">
        <v>148.07138900000001</v>
      </c>
      <c r="E527" t="str">
        <f>RIGHT(Airports[[#This Row],[ICAO]],3)</f>
        <v>DAR</v>
      </c>
      <c r="F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t="s">
        <v>1197</v>
      </c>
      <c r="B528" t="s">
        <v>1198</v>
      </c>
      <c r="C528">
        <v>-68.468333000000001</v>
      </c>
      <c r="D528">
        <v>78.853888999999995</v>
      </c>
      <c r="E528" t="str">
        <f>RIGHT(Airports[[#This Row],[ICAO]],3)</f>
        <v>DAV</v>
      </c>
      <c r="F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t="s">
        <v>1199</v>
      </c>
      <c r="B529" t="s">
        <v>1200</v>
      </c>
      <c r="C529">
        <v>-27.155277999999999</v>
      </c>
      <c r="D529">
        <v>151.267222</v>
      </c>
      <c r="F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t="s">
        <v>1201</v>
      </c>
      <c r="B530" t="s">
        <v>1202</v>
      </c>
      <c r="C530">
        <v>-20.25</v>
      </c>
      <c r="D530">
        <v>147.30000000000001</v>
      </c>
      <c r="E530" t="str">
        <f>RIGHT(Airports[[#This Row],[ICAO]],3)</f>
        <v>DBG</v>
      </c>
      <c r="F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t="s">
        <v>1203</v>
      </c>
      <c r="B531" t="s">
        <v>1204</v>
      </c>
      <c r="C531">
        <v>-28.591667000000001</v>
      </c>
      <c r="D531">
        <v>148.216667</v>
      </c>
      <c r="E531" t="str">
        <f>RIGHT(Airports[[#This Row],[ICAO]],3)</f>
        <v>DBI</v>
      </c>
      <c r="F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t="s">
        <v>1205</v>
      </c>
      <c r="B532" t="s">
        <v>1206</v>
      </c>
      <c r="C532">
        <v>-32.942500000000003</v>
      </c>
      <c r="D532">
        <v>116.983333</v>
      </c>
      <c r="E532" t="str">
        <f>RIGHT(Airports[[#This Row],[ICAO]],3)</f>
        <v>DBL</v>
      </c>
      <c r="F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t="s">
        <v>1207</v>
      </c>
      <c r="B533" t="s">
        <v>1208</v>
      </c>
      <c r="C533">
        <v>-16.05</v>
      </c>
      <c r="D533">
        <v>142.4</v>
      </c>
      <c r="E533" t="str">
        <f>RIGHT(Airports[[#This Row],[ICAO]],3)</f>
        <v>DBR</v>
      </c>
      <c r="F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t="s">
        <v>1209</v>
      </c>
      <c r="B534" t="s">
        <v>1210</v>
      </c>
      <c r="C534">
        <v>-17.37</v>
      </c>
      <c r="D534">
        <v>123.660556</v>
      </c>
      <c r="E534" t="str">
        <f>RIGHT(Airports[[#This Row],[ICAO]],3)</f>
        <v>DBY</v>
      </c>
      <c r="F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t="s">
        <v>1211</v>
      </c>
      <c r="B535" t="s">
        <v>1212</v>
      </c>
      <c r="C535">
        <v>-16.051943999999999</v>
      </c>
      <c r="D535">
        <v>143.01333299999999</v>
      </c>
      <c r="E535" t="str">
        <f>RIGHT(Airports[[#This Row],[ICAO]],3)</f>
        <v>DDF</v>
      </c>
      <c r="F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t="s">
        <v>1213</v>
      </c>
      <c r="B536" t="s">
        <v>1214</v>
      </c>
      <c r="C536">
        <v>-20.262499999999999</v>
      </c>
      <c r="D536">
        <v>148.8125</v>
      </c>
      <c r="E536" t="str">
        <f>RIGHT(Airports[[#This Row],[ICAO]],3)</f>
        <v>DDI</v>
      </c>
      <c r="F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t="s">
        <v>1215</v>
      </c>
      <c r="B537" t="s">
        <v>1216</v>
      </c>
      <c r="C537">
        <v>-27.316666999999999</v>
      </c>
      <c r="D537">
        <v>147</v>
      </c>
      <c r="E537" t="str">
        <f>RIGHT(Airports[[#This Row],[ICAO]],3)</f>
        <v>DDP</v>
      </c>
      <c r="F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t="s">
        <v>1217</v>
      </c>
      <c r="B538" t="s">
        <v>1218</v>
      </c>
      <c r="C538">
        <v>-13.833055999999999</v>
      </c>
      <c r="D538">
        <v>131.19972200000001</v>
      </c>
      <c r="E538" t="str">
        <f>RIGHT(Airports[[#This Row],[ICAO]],3)</f>
        <v>DDY</v>
      </c>
      <c r="F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t="s">
        <v>1219</v>
      </c>
      <c r="B539" t="s">
        <v>1220</v>
      </c>
      <c r="C539">
        <v>-13.668611</v>
      </c>
      <c r="D539">
        <v>134.291111</v>
      </c>
      <c r="E539" t="str">
        <f>RIGHT(Airports[[#This Row],[ICAO]],3)</f>
        <v>DEA</v>
      </c>
      <c r="F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t="s">
        <v>1221</v>
      </c>
      <c r="B540" t="s">
        <v>1222</v>
      </c>
      <c r="C540">
        <v>-37.063056000000003</v>
      </c>
      <c r="D540">
        <v>148.94055599999999</v>
      </c>
      <c r="E540" t="str">
        <f>RIGHT(Airports[[#This Row],[ICAO]],3)</f>
        <v>DEG</v>
      </c>
      <c r="F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t="s">
        <v>1223</v>
      </c>
      <c r="B541" t="s">
        <v>1224</v>
      </c>
      <c r="C541">
        <v>-34.945833</v>
      </c>
      <c r="D541">
        <v>117.397222</v>
      </c>
      <c r="E541" t="str">
        <f>RIGHT(Airports[[#This Row],[ICAO]],3)</f>
        <v>DEK</v>
      </c>
      <c r="F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t="s">
        <v>1225</v>
      </c>
      <c r="B542" t="s">
        <v>1226</v>
      </c>
      <c r="C542">
        <v>-32.382221999999999</v>
      </c>
      <c r="D542">
        <v>150.62194400000001</v>
      </c>
      <c r="E542" t="str">
        <f>RIGHT(Airports[[#This Row],[ICAO]],3)</f>
        <v>DEN</v>
      </c>
      <c r="F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t="s">
        <v>1227</v>
      </c>
      <c r="B543" t="s">
        <v>1228</v>
      </c>
      <c r="C543">
        <v>-37.934167000000002</v>
      </c>
      <c r="D543">
        <v>143.22805600000001</v>
      </c>
      <c r="E543" t="str">
        <f>RIGHT(Airports[[#This Row],[ICAO]],3)</f>
        <v>DER</v>
      </c>
      <c r="F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t="s">
        <v>1229</v>
      </c>
      <c r="B544" t="s">
        <v>1230</v>
      </c>
      <c r="C544">
        <v>-21.216667000000001</v>
      </c>
      <c r="D544">
        <v>140.23333299999999</v>
      </c>
      <c r="E544" t="str">
        <f>RIGHT(Airports[[#This Row],[ICAO]],3)</f>
        <v>DEV</v>
      </c>
      <c r="F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t="s">
        <v>1231</v>
      </c>
      <c r="B545" t="s">
        <v>1232</v>
      </c>
      <c r="C545">
        <v>-31.422778000000001</v>
      </c>
      <c r="D545">
        <v>152.757778</v>
      </c>
      <c r="E545" t="str">
        <f>RIGHT(Airports[[#This Row],[ICAO]],3)</f>
        <v>DFD</v>
      </c>
      <c r="F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t="s">
        <v>1233</v>
      </c>
      <c r="B546" t="s">
        <v>1234</v>
      </c>
      <c r="C546">
        <v>-27.829722</v>
      </c>
      <c r="D546">
        <v>117.316389</v>
      </c>
      <c r="F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t="s">
        <v>1235</v>
      </c>
      <c r="B547" t="s">
        <v>1236</v>
      </c>
      <c r="C547">
        <v>-28.133056</v>
      </c>
      <c r="D547">
        <v>140.88166699999999</v>
      </c>
      <c r="E547" t="str">
        <f>RIGHT(Airports[[#This Row],[ICAO]],3)</f>
        <v>DGI</v>
      </c>
      <c r="F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t="s">
        <v>1237</v>
      </c>
      <c r="B548" t="s">
        <v>1238</v>
      </c>
      <c r="C548">
        <v>-15.386111</v>
      </c>
      <c r="D548">
        <v>126.30500000000001</v>
      </c>
      <c r="E548" t="str">
        <f>RIGHT(Airports[[#This Row],[ICAO]],3)</f>
        <v>DGN</v>
      </c>
      <c r="F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t="s">
        <v>1239</v>
      </c>
      <c r="B549" t="s">
        <v>1240</v>
      </c>
      <c r="C549">
        <v>-27.783055999999998</v>
      </c>
      <c r="D549">
        <v>116.983056</v>
      </c>
      <c r="E549" t="str">
        <f>RIGHT(Airports[[#This Row],[ICAO]],3)</f>
        <v>DGR</v>
      </c>
      <c r="F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t="s">
        <v>1241</v>
      </c>
      <c r="B550" t="s">
        <v>1242</v>
      </c>
      <c r="C550">
        <v>-25.283055999999998</v>
      </c>
      <c r="D550">
        <v>116.19972199999999</v>
      </c>
      <c r="E550" t="str">
        <f>RIGHT(Airports[[#This Row],[ICAO]],3)</f>
        <v>DGT</v>
      </c>
      <c r="F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t="s">
        <v>1243</v>
      </c>
      <c r="B551" t="s">
        <v>1244</v>
      </c>
      <c r="C551">
        <v>-25.557500000000001</v>
      </c>
      <c r="D551">
        <v>119.28749999999999</v>
      </c>
      <c r="E551" t="str">
        <f>RIGHT(Airports[[#This Row],[ICAO]],3)</f>
        <v>DGU</v>
      </c>
      <c r="F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t="s">
        <v>1245</v>
      </c>
      <c r="B552" t="s">
        <v>1246</v>
      </c>
      <c r="C552">
        <v>-20.174721999999999</v>
      </c>
      <c r="D552">
        <v>119.169167</v>
      </c>
      <c r="E552" t="str">
        <f>RIGHT(Airports[[#This Row],[ICAO]],3)</f>
        <v>DGY</v>
      </c>
      <c r="F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t="s">
        <v>1247</v>
      </c>
      <c r="B553" t="s">
        <v>1248</v>
      </c>
      <c r="C553">
        <v>-26.007280000000002</v>
      </c>
      <c r="D553">
        <v>113.159121</v>
      </c>
      <c r="E553" t="str">
        <f>RIGHT(Airports[[#This Row],[ICAO]],3)</f>
        <v>DHD</v>
      </c>
      <c r="F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t="s">
        <v>1249</v>
      </c>
      <c r="B554" t="s">
        <v>1250</v>
      </c>
      <c r="C554">
        <v>-12.25</v>
      </c>
      <c r="D554">
        <v>135.083056</v>
      </c>
      <c r="E554" t="str">
        <f>RIGHT(Airports[[#This Row],[ICAO]],3)</f>
        <v>DHI</v>
      </c>
      <c r="F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t="s">
        <v>1251</v>
      </c>
      <c r="B555" t="s">
        <v>1252</v>
      </c>
      <c r="C555">
        <v>-12.889722000000001</v>
      </c>
      <c r="D555">
        <v>135.470833</v>
      </c>
      <c r="E555" t="str">
        <f>RIGHT(Airports[[#This Row],[ICAO]],3)</f>
        <v>DHJ</v>
      </c>
      <c r="F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t="s">
        <v>1253</v>
      </c>
      <c r="B556" t="s">
        <v>1254</v>
      </c>
      <c r="C556">
        <v>-12.413333</v>
      </c>
      <c r="D556">
        <v>136.38722200000001</v>
      </c>
      <c r="E556" t="str">
        <f>RIGHT(Airports[[#This Row],[ICAO]],3)</f>
        <v>DHL</v>
      </c>
      <c r="F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t="s">
        <v>1255</v>
      </c>
      <c r="B557" t="s">
        <v>1256</v>
      </c>
      <c r="C557">
        <v>-13.053333</v>
      </c>
      <c r="D557">
        <v>136.17166700000001</v>
      </c>
      <c r="E557" t="str">
        <f>RIGHT(Airports[[#This Row],[ICAO]],3)</f>
        <v>DHP</v>
      </c>
      <c r="F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t="s">
        <v>1257</v>
      </c>
      <c r="B558" t="s">
        <v>1258</v>
      </c>
      <c r="C558">
        <v>-27.619167000000001</v>
      </c>
      <c r="D558">
        <v>141.07333299999999</v>
      </c>
      <c r="E558" t="str">
        <f>RIGHT(Airports[[#This Row],[ICAO]],3)</f>
        <v>DIG</v>
      </c>
      <c r="F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t="s">
        <v>1259</v>
      </c>
      <c r="B559" t="s">
        <v>1260</v>
      </c>
      <c r="C559">
        <v>-12.635</v>
      </c>
      <c r="D559">
        <v>130.371667</v>
      </c>
      <c r="E559" t="str">
        <f>RIGHT(Airports[[#This Row],[ICAO]],3)</f>
        <v>DII</v>
      </c>
      <c r="F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t="s">
        <v>1261</v>
      </c>
      <c r="B560" t="s">
        <v>1262</v>
      </c>
      <c r="C560">
        <v>-17.128333000000001</v>
      </c>
      <c r="D560">
        <v>145.095833</v>
      </c>
      <c r="E560" t="str">
        <f>RIGHT(Airports[[#This Row],[ICAO]],3)</f>
        <v>DIM</v>
      </c>
      <c r="F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t="s">
        <v>1263</v>
      </c>
      <c r="B561" t="s">
        <v>1264</v>
      </c>
      <c r="C561">
        <v>-16.373121000000001</v>
      </c>
      <c r="D561">
        <v>141.49332100000001</v>
      </c>
      <c r="E561" t="str">
        <f>RIGHT(Airports[[#This Row],[ICAO]],3)</f>
        <v>DIN</v>
      </c>
      <c r="F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t="s">
        <v>1265</v>
      </c>
      <c r="B562" t="s">
        <v>1266</v>
      </c>
      <c r="C562">
        <v>-15.116667</v>
      </c>
      <c r="D562">
        <v>143.31638899999999</v>
      </c>
      <c r="E562" t="str">
        <f>RIGHT(Airports[[#This Row],[ICAO]],3)</f>
        <v>DIX</v>
      </c>
      <c r="F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t="s">
        <v>1267</v>
      </c>
      <c r="B563" t="s">
        <v>1268</v>
      </c>
      <c r="C563">
        <v>-27.601944</v>
      </c>
      <c r="D563">
        <v>122.333889</v>
      </c>
      <c r="E563" t="str">
        <f>RIGHT(Airports[[#This Row],[ICAO]],3)</f>
        <v>DKG</v>
      </c>
      <c r="F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t="s">
        <v>1269</v>
      </c>
      <c r="B564" t="s">
        <v>1270</v>
      </c>
      <c r="C564">
        <v>-23.514167</v>
      </c>
      <c r="D564">
        <v>143.19027800000001</v>
      </c>
      <c r="E564" t="str">
        <f>RIGHT(Airports[[#This Row],[ICAO]],3)</f>
        <v>DKH</v>
      </c>
      <c r="F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t="s">
        <v>1271</v>
      </c>
      <c r="B565" t="s">
        <v>1272</v>
      </c>
      <c r="C565">
        <v>-17.9375</v>
      </c>
      <c r="D565">
        <v>146.140556</v>
      </c>
      <c r="E565" t="str">
        <f>RIGHT(Airports[[#This Row],[ICAO]],3)</f>
        <v>DKI</v>
      </c>
      <c r="F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t="s">
        <v>1273</v>
      </c>
      <c r="B566" t="s">
        <v>1274</v>
      </c>
      <c r="C566">
        <v>-26.583333</v>
      </c>
      <c r="D566">
        <v>149.66666699999999</v>
      </c>
      <c r="E566" t="str">
        <f>RIGHT(Airports[[#This Row],[ICAO]],3)</f>
        <v>DLC</v>
      </c>
      <c r="F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t="s">
        <v>1275</v>
      </c>
      <c r="B567" t="s">
        <v>1276</v>
      </c>
      <c r="C567">
        <v>-22.458888999999999</v>
      </c>
      <c r="D567">
        <v>134.88388900000001</v>
      </c>
      <c r="E567" t="str">
        <f>RIGHT(Airports[[#This Row],[ICAO]],3)</f>
        <v>DLD</v>
      </c>
      <c r="F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t="s">
        <v>1277</v>
      </c>
      <c r="B568" t="s">
        <v>1278</v>
      </c>
      <c r="C568">
        <v>-24.886389000000001</v>
      </c>
      <c r="D568">
        <v>147.791944</v>
      </c>
      <c r="E568" t="str">
        <f>RIGHT(Airports[[#This Row],[ICAO]],3)</f>
        <v>DLG</v>
      </c>
      <c r="F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t="s">
        <v>1279</v>
      </c>
      <c r="B569" t="s">
        <v>1280</v>
      </c>
      <c r="C569">
        <v>-26.428332999999999</v>
      </c>
      <c r="D569">
        <v>135.50666699999999</v>
      </c>
      <c r="E569" t="str">
        <f>RIGHT(Airports[[#This Row],[ICAO]],3)</f>
        <v>DLH</v>
      </c>
      <c r="F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t="s">
        <v>1281</v>
      </c>
      <c r="B570" t="s">
        <v>1282</v>
      </c>
      <c r="C570">
        <v>-29.016389</v>
      </c>
      <c r="D570">
        <v>138.47388900000001</v>
      </c>
      <c r="E570" t="str">
        <f>RIGHT(Airports[[#This Row],[ICAO]],3)</f>
        <v>DLK</v>
      </c>
      <c r="F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t="s">
        <v>1283</v>
      </c>
      <c r="B571" t="s">
        <v>1284</v>
      </c>
      <c r="C571">
        <v>-22.566666999999999</v>
      </c>
      <c r="D571">
        <v>143.66666699999999</v>
      </c>
      <c r="E571" t="str">
        <f>RIGHT(Airports[[#This Row],[ICAO]],3)</f>
        <v>DLN</v>
      </c>
      <c r="F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t="s">
        <v>1285</v>
      </c>
      <c r="B572" t="s">
        <v>1286</v>
      </c>
      <c r="C572">
        <v>-27.873611</v>
      </c>
      <c r="D572">
        <v>121.27166699999999</v>
      </c>
      <c r="E572" t="str">
        <f>RIGHT(Airports[[#This Row],[ICAO]],3)</f>
        <v>DLO</v>
      </c>
      <c r="F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t="s">
        <v>1287</v>
      </c>
      <c r="B573" t="s">
        <v>1288</v>
      </c>
      <c r="C573">
        <v>-35.559443999999999</v>
      </c>
      <c r="D573">
        <v>144.94638900000001</v>
      </c>
      <c r="E573" t="str">
        <f>RIGHT(Airports[[#This Row],[ICAO]],3)</f>
        <v>DLQ</v>
      </c>
      <c r="F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t="s">
        <v>1289</v>
      </c>
      <c r="B574" t="s">
        <v>1290</v>
      </c>
      <c r="C574">
        <v>-16.991667</v>
      </c>
      <c r="D574">
        <v>141.316667</v>
      </c>
      <c r="E574" t="str">
        <f>RIGHT(Airports[[#This Row],[ICAO]],3)</f>
        <v>DLT</v>
      </c>
      <c r="F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t="s">
        <v>1291</v>
      </c>
      <c r="B575" t="s">
        <v>1292</v>
      </c>
      <c r="C575">
        <v>-12.551111000000001</v>
      </c>
      <c r="D575">
        <v>130.686667</v>
      </c>
      <c r="E575" t="str">
        <f>RIGHT(Airports[[#This Row],[ICAO]],3)</f>
        <v>DLV</v>
      </c>
      <c r="F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t="s">
        <v>1293</v>
      </c>
      <c r="B576" t="s">
        <v>1294</v>
      </c>
      <c r="C576">
        <v>-16.266389</v>
      </c>
      <c r="D576">
        <v>133.36666700000001</v>
      </c>
      <c r="E576" t="str">
        <f>RIGHT(Airports[[#This Row],[ICAO]],3)</f>
        <v>DLW</v>
      </c>
      <c r="F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t="s">
        <v>1295</v>
      </c>
      <c r="B577" t="s">
        <v>1296</v>
      </c>
      <c r="C577">
        <v>-29.666388999999999</v>
      </c>
      <c r="D577">
        <v>119.283056</v>
      </c>
      <c r="E577" t="str">
        <f>RIGHT(Airports[[#This Row],[ICAO]],3)</f>
        <v>DMF</v>
      </c>
      <c r="F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t="s">
        <v>1297</v>
      </c>
      <c r="B578" t="s">
        <v>1298</v>
      </c>
      <c r="C578">
        <v>-17.936944</v>
      </c>
      <c r="D578">
        <v>138.81638899999999</v>
      </c>
      <c r="E578" t="str">
        <f>RIGHT(Airports[[#This Row],[ICAO]],3)</f>
        <v>DMG</v>
      </c>
      <c r="F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t="s">
        <v>1299</v>
      </c>
      <c r="B579" t="s">
        <v>1300</v>
      </c>
      <c r="C579">
        <v>-13.75</v>
      </c>
      <c r="D579">
        <v>130.69388900000001</v>
      </c>
      <c r="E579" t="str">
        <f>RIGHT(Airports[[#This Row],[ICAO]],3)</f>
        <v>DMN</v>
      </c>
      <c r="F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t="s">
        <v>1301</v>
      </c>
      <c r="B580" t="s">
        <v>1302</v>
      </c>
      <c r="C580">
        <v>-15.624444</v>
      </c>
      <c r="D580">
        <v>131.64944399999999</v>
      </c>
      <c r="E580" t="str">
        <f>RIGHT(Airports[[#This Row],[ICAO]],3)</f>
        <v>DMR</v>
      </c>
      <c r="F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t="s">
        <v>1303</v>
      </c>
      <c r="B581" t="s">
        <v>1304</v>
      </c>
      <c r="C581">
        <v>-22.066666999999999</v>
      </c>
      <c r="D581">
        <v>146.23333299999999</v>
      </c>
      <c r="E581" t="str">
        <f>RIGHT(Airports[[#This Row],[ICAO]],3)</f>
        <v>DNB</v>
      </c>
      <c r="F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t="s">
        <v>1305</v>
      </c>
      <c r="B582" t="s">
        <v>1306</v>
      </c>
      <c r="C582">
        <v>-28.616389000000002</v>
      </c>
      <c r="D582">
        <v>150.15083300000001</v>
      </c>
      <c r="E582" t="str">
        <f>RIGHT(Airports[[#This Row],[ICAO]],3)</f>
        <v>DNE</v>
      </c>
      <c r="F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t="s">
        <v>1307</v>
      </c>
      <c r="B583" t="s">
        <v>1308</v>
      </c>
      <c r="C583">
        <v>-28.865278</v>
      </c>
      <c r="D583">
        <v>148.77888899999999</v>
      </c>
      <c r="E583" t="str">
        <f>RIGHT(Airports[[#This Row],[ICAO]],3)</f>
        <v>DNG</v>
      </c>
      <c r="F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t="s">
        <v>1309</v>
      </c>
      <c r="B584" t="s">
        <v>1310</v>
      </c>
      <c r="C584">
        <v>-9.5788890000000002</v>
      </c>
      <c r="D584">
        <v>143.78027800000001</v>
      </c>
      <c r="E584" t="str">
        <f>RIGHT(Airports[[#This Row],[ICAO]],3)</f>
        <v>DNI</v>
      </c>
      <c r="F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t="s">
        <v>1311</v>
      </c>
      <c r="B585" t="s">
        <v>1312</v>
      </c>
      <c r="C585">
        <v>-28.1</v>
      </c>
      <c r="D585">
        <v>144.35</v>
      </c>
      <c r="E585" t="str">
        <f>RIGHT(Airports[[#This Row],[ICAO]],3)</f>
        <v>DNV</v>
      </c>
      <c r="F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t="s">
        <v>1313</v>
      </c>
      <c r="B586" t="s">
        <v>1314</v>
      </c>
      <c r="C586">
        <v>-32.650556000000002</v>
      </c>
      <c r="D586">
        <v>151.208056</v>
      </c>
      <c r="E586" t="str">
        <f>RIGHT(Airports[[#This Row],[ICAO]],3)</f>
        <v>DOC</v>
      </c>
      <c r="F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t="s">
        <v>1315</v>
      </c>
      <c r="B587" t="s">
        <v>1316</v>
      </c>
      <c r="C587">
        <v>-36.360278000000001</v>
      </c>
      <c r="D587">
        <v>143.00749999999999</v>
      </c>
      <c r="E587" t="str">
        <f>RIGHT(Airports[[#This Row],[ICAO]],3)</f>
        <v>DOD</v>
      </c>
      <c r="F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t="s">
        <v>1317</v>
      </c>
      <c r="B588" t="s">
        <v>1318</v>
      </c>
      <c r="C588">
        <v>-31.174721999999999</v>
      </c>
      <c r="D588">
        <v>117.041389</v>
      </c>
      <c r="E588" t="str">
        <f>RIGHT(Airports[[#This Row],[ICAO]],3)</f>
        <v>DON</v>
      </c>
      <c r="F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t="s">
        <v>1319</v>
      </c>
      <c r="B589" t="s">
        <v>1320</v>
      </c>
      <c r="C589">
        <v>-18.712222000000001</v>
      </c>
      <c r="D589">
        <v>140.55083300000001</v>
      </c>
      <c r="E589" t="str">
        <f>RIGHT(Airports[[#This Row],[ICAO]],3)</f>
        <v>DOO</v>
      </c>
      <c r="F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t="s">
        <v>1321</v>
      </c>
      <c r="B590" t="s">
        <v>1322</v>
      </c>
      <c r="C590">
        <v>-19.601666999999999</v>
      </c>
      <c r="D590">
        <v>146.841667</v>
      </c>
      <c r="E590" t="str">
        <f>RIGHT(Airports[[#This Row],[ICAO]],3)</f>
        <v>DOP</v>
      </c>
      <c r="F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t="s">
        <v>1323</v>
      </c>
      <c r="B591" t="s">
        <v>1324</v>
      </c>
      <c r="C591">
        <v>-16.554167</v>
      </c>
      <c r="D591">
        <v>141.82416699999999</v>
      </c>
      <c r="E591" t="str">
        <f>RIGHT(Airports[[#This Row],[ICAO]],3)</f>
        <v>DOR</v>
      </c>
      <c r="F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t="s">
        <v>1325</v>
      </c>
      <c r="B592" t="s">
        <v>1326</v>
      </c>
      <c r="C592">
        <v>-19.625</v>
      </c>
      <c r="D592">
        <v>146.29166699999999</v>
      </c>
      <c r="E592" t="str">
        <f>RIGHT(Airports[[#This Row],[ICAO]],3)</f>
        <v>DOT</v>
      </c>
      <c r="F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t="s">
        <v>1327</v>
      </c>
      <c r="B593" t="s">
        <v>1328</v>
      </c>
      <c r="C593">
        <v>-29.655277999999999</v>
      </c>
      <c r="D593">
        <v>149.56111100000001</v>
      </c>
      <c r="E593" t="str">
        <f>RIGHT(Airports[[#This Row],[ICAO]],3)</f>
        <v>DPA</v>
      </c>
      <c r="F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t="s">
        <v>1329</v>
      </c>
      <c r="B594" t="s">
        <v>1330</v>
      </c>
      <c r="C594">
        <v>-24.145555999999999</v>
      </c>
      <c r="D594">
        <v>141.112222</v>
      </c>
      <c r="E594" t="str">
        <f>RIGHT(Airports[[#This Row],[ICAO]],3)</f>
        <v>DPD</v>
      </c>
      <c r="F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t="s">
        <v>1331</v>
      </c>
      <c r="B595" t="s">
        <v>1332</v>
      </c>
      <c r="C595">
        <v>-41.169722</v>
      </c>
      <c r="D595">
        <v>146.43027799999999</v>
      </c>
      <c r="E595" t="str">
        <f>RIGHT(Airports[[#This Row],[ICAO]],3)</f>
        <v>DPO</v>
      </c>
      <c r="F5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t="s">
        <v>1333</v>
      </c>
      <c r="B596" t="s">
        <v>1334</v>
      </c>
      <c r="C596">
        <v>-31.571943999999998</v>
      </c>
      <c r="D596">
        <v>125.186944</v>
      </c>
      <c r="E596" t="str">
        <f>RIGHT(Airports[[#This Row],[ICAO]],3)</f>
        <v>DPT</v>
      </c>
      <c r="F5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t="s">
        <v>1335</v>
      </c>
      <c r="B597" t="s">
        <v>1336</v>
      </c>
      <c r="C597">
        <v>-24.299721999999999</v>
      </c>
      <c r="D597">
        <v>134.13305600000001</v>
      </c>
      <c r="E597" t="str">
        <f>RIGHT(Airports[[#This Row],[ICAO]],3)</f>
        <v>DPW</v>
      </c>
      <c r="F5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t="s">
        <v>1337</v>
      </c>
      <c r="B598" t="s">
        <v>1338</v>
      </c>
      <c r="C598">
        <v>-29.299721999999999</v>
      </c>
      <c r="D598">
        <v>114.916389</v>
      </c>
      <c r="E598" t="str">
        <f>RIGHT(Airports[[#This Row],[ICAO]],3)</f>
        <v>DRA</v>
      </c>
      <c r="F5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t="s">
        <v>1339</v>
      </c>
      <c r="B599" t="s">
        <v>1340</v>
      </c>
      <c r="C599">
        <v>-25.283055999999998</v>
      </c>
      <c r="D599">
        <v>115.86666700000001</v>
      </c>
      <c r="E599" t="str">
        <f>RIGHT(Airports[[#This Row],[ICAO]],3)</f>
        <v>DRC</v>
      </c>
      <c r="F5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t="s">
        <v>1341</v>
      </c>
      <c r="B600" t="s">
        <v>1342</v>
      </c>
      <c r="C600">
        <v>-15.713056</v>
      </c>
      <c r="D600">
        <v>126.381389</v>
      </c>
      <c r="E600" t="str">
        <f>RIGHT(Airports[[#This Row],[ICAO]],3)</f>
        <v>DRD</v>
      </c>
      <c r="F6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t="s">
        <v>1343</v>
      </c>
      <c r="B601" t="s">
        <v>1344</v>
      </c>
      <c r="C601">
        <v>-22.899722000000001</v>
      </c>
      <c r="D601">
        <v>143.98333299999999</v>
      </c>
      <c r="E601" t="str">
        <f>RIGHT(Airports[[#This Row],[ICAO]],3)</f>
        <v>DRE</v>
      </c>
      <c r="F6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t="s">
        <v>1345</v>
      </c>
      <c r="B602" t="s">
        <v>1346</v>
      </c>
      <c r="C602">
        <v>-23.736388999999999</v>
      </c>
      <c r="D602">
        <v>149.66305600000001</v>
      </c>
      <c r="E602" t="str">
        <f>RIGHT(Airports[[#This Row],[ICAO]],3)</f>
        <v>DRG</v>
      </c>
      <c r="F6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t="s">
        <v>1347</v>
      </c>
      <c r="B603" t="s">
        <v>1348</v>
      </c>
      <c r="C603">
        <v>-27.074999999999999</v>
      </c>
      <c r="D603">
        <v>141.9</v>
      </c>
      <c r="E603" t="str">
        <f>RIGHT(Airports[[#This Row],[ICAO]],3)</f>
        <v>DRH</v>
      </c>
      <c r="F6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t="s">
        <v>1349</v>
      </c>
      <c r="B604" t="s">
        <v>1350</v>
      </c>
      <c r="C604">
        <v>-25.684722000000001</v>
      </c>
      <c r="D604">
        <v>140.223333</v>
      </c>
      <c r="E604" t="str">
        <f>RIGHT(Airports[[#This Row],[ICAO]],3)</f>
        <v>DRI</v>
      </c>
      <c r="F6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t="s">
        <v>1351</v>
      </c>
      <c r="B605" t="s">
        <v>1352</v>
      </c>
      <c r="C605">
        <v>-26.433056000000001</v>
      </c>
      <c r="D605">
        <v>133.25805600000001</v>
      </c>
      <c r="E605" t="str">
        <f>RIGHT(Airports[[#This Row],[ICAO]],3)</f>
        <v>DRL</v>
      </c>
      <c r="F6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t="s">
        <v>1353</v>
      </c>
      <c r="B606" t="s">
        <v>1354</v>
      </c>
      <c r="C606">
        <v>-38.208888999999999</v>
      </c>
      <c r="D606">
        <v>145.829444</v>
      </c>
      <c r="E606" t="str">
        <f>RIGHT(Airports[[#This Row],[ICAO]],3)</f>
        <v>DRN</v>
      </c>
      <c r="F6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t="s">
        <v>1355</v>
      </c>
      <c r="B607" t="s">
        <v>1356</v>
      </c>
      <c r="C607">
        <v>-24.653611000000001</v>
      </c>
      <c r="D607">
        <v>150.53555600000001</v>
      </c>
      <c r="E607" t="str">
        <f>RIGHT(Airports[[#This Row],[ICAO]],3)</f>
        <v>DRU</v>
      </c>
      <c r="F6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t="s">
        <v>1357</v>
      </c>
      <c r="B608" t="s">
        <v>1358</v>
      </c>
      <c r="C608">
        <v>-18.783055999999998</v>
      </c>
      <c r="D608">
        <v>144.69972200000001</v>
      </c>
      <c r="E608" t="str">
        <f>RIGHT(Airports[[#This Row],[ICAO]],3)</f>
        <v>DRV</v>
      </c>
      <c r="F6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t="s">
        <v>1359</v>
      </c>
      <c r="B609" t="s">
        <v>1360</v>
      </c>
      <c r="C609">
        <v>-42.133333</v>
      </c>
      <c r="D609">
        <v>146.22222199999999</v>
      </c>
      <c r="E609" t="str">
        <f>RIGHT(Airports[[#This Row],[ICAO]],3)</f>
        <v>DRW</v>
      </c>
      <c r="F6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t="s">
        <v>1361</v>
      </c>
      <c r="B610" t="s">
        <v>1362</v>
      </c>
      <c r="C610">
        <v>-68.570278000000002</v>
      </c>
      <c r="D610">
        <v>77.956111000000007</v>
      </c>
      <c r="E610" t="str">
        <f>RIGHT(Airports[[#This Row],[ICAO]],3)</f>
        <v>DSI</v>
      </c>
      <c r="F6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t="s">
        <v>1363</v>
      </c>
      <c r="B611" t="s">
        <v>1364</v>
      </c>
      <c r="C611">
        <v>-68.576389000000006</v>
      </c>
      <c r="D611">
        <v>77.967500000000001</v>
      </c>
      <c r="E611" t="str">
        <f>RIGHT(Airports[[#This Row],[ICAO]],3)</f>
        <v>DSN</v>
      </c>
      <c r="F6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t="s">
        <v>1365</v>
      </c>
      <c r="B612" t="s">
        <v>1366</v>
      </c>
      <c r="C612">
        <v>-14.55</v>
      </c>
      <c r="D612">
        <v>131.283333</v>
      </c>
      <c r="E612" t="str">
        <f>RIGHT(Airports[[#This Row],[ICAO]],3)</f>
        <v>DSV</v>
      </c>
      <c r="F6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t="s">
        <v>1367</v>
      </c>
      <c r="B613" t="s">
        <v>1368</v>
      </c>
      <c r="C613">
        <v>-25.997222000000001</v>
      </c>
      <c r="D613">
        <v>146.93305599999999</v>
      </c>
      <c r="E613" t="str">
        <f>RIGHT(Airports[[#This Row],[ICAO]],3)</f>
        <v>DUG</v>
      </c>
      <c r="F6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t="s">
        <v>1369</v>
      </c>
      <c r="B614" t="s">
        <v>1370</v>
      </c>
      <c r="C614">
        <v>-27.958333</v>
      </c>
      <c r="D614">
        <v>122.308333</v>
      </c>
      <c r="E614" t="str">
        <f>RIGHT(Airports[[#This Row],[ICAO]],3)</f>
        <v>DUK</v>
      </c>
      <c r="F6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t="s">
        <v>1371</v>
      </c>
      <c r="B615" t="s">
        <v>1372</v>
      </c>
      <c r="C615">
        <v>-33.322499999999998</v>
      </c>
      <c r="D615">
        <v>117.743889</v>
      </c>
      <c r="E615" t="str">
        <f>RIGHT(Airports[[#This Row],[ICAO]],3)</f>
        <v>DUM</v>
      </c>
      <c r="F6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t="s">
        <v>1373</v>
      </c>
      <c r="B616" t="s">
        <v>1374</v>
      </c>
      <c r="C616">
        <v>-27.516667000000002</v>
      </c>
      <c r="D616">
        <v>153.42833300000001</v>
      </c>
      <c r="E616" t="str">
        <f>RIGHT(Airports[[#This Row],[ICAO]],3)</f>
        <v>DUN</v>
      </c>
      <c r="F6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t="s">
        <v>1375</v>
      </c>
      <c r="B617" t="s">
        <v>1376</v>
      </c>
      <c r="C617">
        <v>-12.649722000000001</v>
      </c>
      <c r="D617">
        <v>135.36666700000001</v>
      </c>
      <c r="E617" t="str">
        <f>RIGHT(Airports[[#This Row],[ICAO]],3)</f>
        <v>DUP</v>
      </c>
      <c r="F6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t="s">
        <v>1377</v>
      </c>
      <c r="B618" t="s">
        <v>1378</v>
      </c>
      <c r="C618">
        <v>-20.896667000000001</v>
      </c>
      <c r="D618">
        <v>116.410556</v>
      </c>
      <c r="E618" t="str">
        <f>RIGHT(Airports[[#This Row],[ICAO]],3)</f>
        <v>DVC</v>
      </c>
      <c r="F6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t="s">
        <v>1379</v>
      </c>
      <c r="B619" t="s">
        <v>1380</v>
      </c>
      <c r="C619">
        <v>-32.283056000000002</v>
      </c>
      <c r="D619">
        <v>116.55</v>
      </c>
      <c r="E619" t="str">
        <f>RIGHT(Airports[[#This Row],[ICAO]],3)</f>
        <v>DVE</v>
      </c>
      <c r="F6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t="s">
        <v>1381</v>
      </c>
      <c r="B620" t="s">
        <v>1382</v>
      </c>
      <c r="C620">
        <v>-24.858332999999998</v>
      </c>
      <c r="D620">
        <v>129.123333</v>
      </c>
      <c r="E620" t="str">
        <f>RIGHT(Airports[[#This Row],[ICAO]],3)</f>
        <v>DVR</v>
      </c>
      <c r="F6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t="s">
        <v>1383</v>
      </c>
      <c r="B621" t="s">
        <v>1384</v>
      </c>
      <c r="C621">
        <v>-15.746943999999999</v>
      </c>
      <c r="D621">
        <v>131.919444</v>
      </c>
      <c r="E621" t="str">
        <f>RIGHT(Airports[[#This Row],[ICAO]],3)</f>
        <v>DWF</v>
      </c>
      <c r="F6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t="s">
        <v>1385</v>
      </c>
      <c r="B622" t="s">
        <v>1386</v>
      </c>
      <c r="C622">
        <v>-32.683332999999998</v>
      </c>
      <c r="D622">
        <v>116.0775</v>
      </c>
      <c r="E622" t="str">
        <f>RIGHT(Airports[[#This Row],[ICAO]],3)</f>
        <v>DWG</v>
      </c>
      <c r="F6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t="s">
        <v>1387</v>
      </c>
      <c r="B623" t="s">
        <v>1388</v>
      </c>
      <c r="C623">
        <v>-17.073056000000001</v>
      </c>
      <c r="D623">
        <v>126.848056</v>
      </c>
      <c r="E623" t="str">
        <f>RIGHT(Airports[[#This Row],[ICAO]],3)</f>
        <v>DWN</v>
      </c>
      <c r="F6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t="s">
        <v>1389</v>
      </c>
      <c r="B624" t="s">
        <v>1390</v>
      </c>
      <c r="C624">
        <v>-16.683333000000001</v>
      </c>
      <c r="D624">
        <v>123.083333</v>
      </c>
      <c r="E624" t="str">
        <f>RIGHT(Airports[[#This Row],[ICAO]],3)</f>
        <v>DWP</v>
      </c>
      <c r="F6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t="s">
        <v>1391</v>
      </c>
      <c r="B625" t="s">
        <v>1392</v>
      </c>
      <c r="C625">
        <v>-30.199166999999999</v>
      </c>
      <c r="D625">
        <v>116.65472200000001</v>
      </c>
      <c r="E625" t="str">
        <f>RIGHT(Airports[[#This Row],[ICAO]],3)</f>
        <v>DWU</v>
      </c>
      <c r="F6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t="s">
        <v>1393</v>
      </c>
      <c r="B626" t="s">
        <v>1394</v>
      </c>
      <c r="C626">
        <v>-32.920833000000002</v>
      </c>
      <c r="D626">
        <v>151.774722</v>
      </c>
      <c r="E626" t="str">
        <f>RIGHT(Airports[[#This Row],[ICAO]],3)</f>
        <v>DYP</v>
      </c>
      <c r="F6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t="s">
        <v>1395</v>
      </c>
      <c r="B627" t="s">
        <v>1396</v>
      </c>
      <c r="C627">
        <v>-22.622222000000001</v>
      </c>
      <c r="D627">
        <v>148.363889</v>
      </c>
      <c r="E627" t="str">
        <f>RIGHT(Airports[[#This Row],[ICAO]],3)</f>
        <v>DYS</v>
      </c>
      <c r="F6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t="s">
        <v>1397</v>
      </c>
      <c r="B628" t="s">
        <v>1398</v>
      </c>
      <c r="C628">
        <v>-33.137222000000001</v>
      </c>
      <c r="D628">
        <v>146.424722</v>
      </c>
      <c r="E628" t="str">
        <f>RIGHT(Airports[[#This Row],[ICAO]],3)</f>
        <v>EAB</v>
      </c>
      <c r="F6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t="s">
        <v>1399</v>
      </c>
      <c r="B629" t="s">
        <v>1400</v>
      </c>
      <c r="C629">
        <v>-37.215833000000003</v>
      </c>
      <c r="D629">
        <v>145.43083300000001</v>
      </c>
      <c r="E629" t="str">
        <f>RIGHT(Airports[[#This Row],[ICAO]],3)</f>
        <v>EAT</v>
      </c>
      <c r="F6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t="s">
        <v>1401</v>
      </c>
      <c r="B630" t="s">
        <v>1402</v>
      </c>
      <c r="C630">
        <v>-26.282778</v>
      </c>
      <c r="D630">
        <v>149.70249999999999</v>
      </c>
      <c r="E630" t="str">
        <f>RIGHT(Airports[[#This Row],[ICAO]],3)</f>
        <v>EBE</v>
      </c>
      <c r="F6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t="s">
        <v>1403</v>
      </c>
      <c r="B631" t="s">
        <v>1404</v>
      </c>
      <c r="C631">
        <v>-33.9</v>
      </c>
      <c r="D631">
        <v>115.05</v>
      </c>
      <c r="E631" t="str">
        <f>RIGHT(Airports[[#This Row],[ICAO]],3)</f>
        <v>EBV</v>
      </c>
      <c r="F6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t="s">
        <v>1405</v>
      </c>
      <c r="B632" t="s">
        <v>1406</v>
      </c>
      <c r="C632">
        <v>-18.323333000000002</v>
      </c>
      <c r="D632">
        <v>122.126667</v>
      </c>
      <c r="E632" t="str">
        <f>RIGHT(Airports[[#This Row],[ICAO]],3)</f>
        <v>ECB</v>
      </c>
      <c r="F6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t="s">
        <v>1407</v>
      </c>
      <c r="B633" t="s">
        <v>1408</v>
      </c>
      <c r="C633">
        <v>-36.157221999999997</v>
      </c>
      <c r="D633">
        <v>144.761944</v>
      </c>
      <c r="E633" t="str">
        <f>RIGHT(Airports[[#This Row],[ICAO]],3)</f>
        <v>ECH</v>
      </c>
      <c r="F6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t="s">
        <v>1409</v>
      </c>
      <c r="B634" t="s">
        <v>1410</v>
      </c>
      <c r="C634">
        <v>-33.804167</v>
      </c>
      <c r="D634">
        <v>150.86750000000001</v>
      </c>
      <c r="E634" t="str">
        <f>RIGHT(Airports[[#This Row],[ICAO]],3)</f>
        <v>ECK</v>
      </c>
      <c r="F6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t="s">
        <v>1411</v>
      </c>
      <c r="B635" t="s">
        <v>1412</v>
      </c>
      <c r="C635">
        <v>-31.716667000000001</v>
      </c>
      <c r="D635">
        <v>128.88305600000001</v>
      </c>
      <c r="E635" t="str">
        <f>RIGHT(Airports[[#This Row],[ICAO]],3)</f>
        <v>ECL</v>
      </c>
      <c r="F6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t="s">
        <v>1413</v>
      </c>
      <c r="B636" t="s">
        <v>1414</v>
      </c>
      <c r="C636">
        <v>-35.102778000000001</v>
      </c>
      <c r="D636">
        <v>138.74361099999999</v>
      </c>
      <c r="E636" t="str">
        <f>RIGHT(Airports[[#This Row],[ICAO]],3)</f>
        <v>ECU</v>
      </c>
      <c r="F6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t="s">
        <v>1415</v>
      </c>
      <c r="B637" t="s">
        <v>1416</v>
      </c>
      <c r="C637">
        <v>-28.566666999999999</v>
      </c>
      <c r="D637">
        <v>138.63305600000001</v>
      </c>
      <c r="E637" t="str">
        <f>RIGHT(Airports[[#This Row],[ICAO]],3)</f>
        <v>EDA</v>
      </c>
      <c r="F6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t="s">
        <v>1417</v>
      </c>
      <c r="B638" t="s">
        <v>1418</v>
      </c>
      <c r="C638">
        <v>-35.096666999999997</v>
      </c>
      <c r="D638">
        <v>137.73500000000001</v>
      </c>
      <c r="E638" t="str">
        <f>RIGHT(Airports[[#This Row],[ICAO]],3)</f>
        <v>EDB</v>
      </c>
      <c r="F6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t="s">
        <v>1419</v>
      </c>
      <c r="B639" t="s">
        <v>1420</v>
      </c>
      <c r="C639">
        <v>-34.181111000000001</v>
      </c>
      <c r="D639">
        <v>139.089167</v>
      </c>
      <c r="E639" t="str">
        <f>RIGHT(Airports[[#This Row],[ICAO]],3)</f>
        <v>EDD</v>
      </c>
      <c r="F6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t="s">
        <v>1421</v>
      </c>
      <c r="B640" t="s">
        <v>1422</v>
      </c>
      <c r="C640">
        <v>-37.016666999999998</v>
      </c>
      <c r="D640">
        <v>141.26666700000001</v>
      </c>
      <c r="E640" t="str">
        <f>RIGHT(Airports[[#This Row],[ICAO]],3)</f>
        <v>EDE</v>
      </c>
      <c r="F6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t="s">
        <v>1423</v>
      </c>
      <c r="B641" t="s">
        <v>1424</v>
      </c>
      <c r="C641">
        <v>-23.75</v>
      </c>
      <c r="D641">
        <v>116.099722</v>
      </c>
      <c r="E641" t="str">
        <f>RIGHT(Airports[[#This Row],[ICAO]],3)</f>
        <v>EDM</v>
      </c>
      <c r="F6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t="s">
        <v>1425</v>
      </c>
      <c r="B642" t="s">
        <v>1426</v>
      </c>
      <c r="C642">
        <v>-35.898333000000001</v>
      </c>
      <c r="D642">
        <v>137.26166699999999</v>
      </c>
      <c r="E642" t="str">
        <f>RIGHT(Airports[[#This Row],[ICAO]],3)</f>
        <v>EDW</v>
      </c>
      <c r="F6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t="s">
        <v>1427</v>
      </c>
      <c r="B643" t="s">
        <v>1428</v>
      </c>
      <c r="C643">
        <v>-29.833055999999999</v>
      </c>
      <c r="D643">
        <v>115.24638899999999</v>
      </c>
      <c r="E643" t="str">
        <f>RIGHT(Airports[[#This Row],[ICAO]],3)</f>
        <v>EEB</v>
      </c>
      <c r="F6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t="s">
        <v>1429</v>
      </c>
      <c r="B644" t="s">
        <v>1430</v>
      </c>
      <c r="C644">
        <v>-32.599722</v>
      </c>
      <c r="D644">
        <v>151.34138899999999</v>
      </c>
      <c r="E644" t="str">
        <f>RIGHT(Airports[[#This Row],[ICAO]],3)</f>
        <v>EES</v>
      </c>
      <c r="F6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t="s">
        <v>1431</v>
      </c>
      <c r="B645" t="s">
        <v>1432</v>
      </c>
      <c r="C645">
        <v>-22</v>
      </c>
      <c r="D645">
        <v>146.91666699999999</v>
      </c>
      <c r="E645" t="str">
        <f>RIGHT(Airports[[#This Row],[ICAO]],3)</f>
        <v>EGS</v>
      </c>
      <c r="F6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t="s">
        <v>1433</v>
      </c>
      <c r="B646" t="s">
        <v>1434</v>
      </c>
      <c r="C646">
        <v>-33.440832999999998</v>
      </c>
      <c r="D646">
        <v>151.36861099999999</v>
      </c>
      <c r="E646" t="str">
        <f>RIGHT(Airports[[#This Row],[ICAO]],3)</f>
        <v>EHP</v>
      </c>
      <c r="F6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t="s">
        <v>1435</v>
      </c>
      <c r="B647" t="s">
        <v>1436</v>
      </c>
      <c r="C647">
        <v>-20.656110999999999</v>
      </c>
      <c r="D647">
        <v>116.681944</v>
      </c>
      <c r="E647" t="str">
        <f>RIGHT(Airports[[#This Row],[ICAO]],3)</f>
        <v>EII</v>
      </c>
      <c r="F6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t="s">
        <v>1437</v>
      </c>
      <c r="B648" t="s">
        <v>1438</v>
      </c>
      <c r="C648">
        <v>-18.504722000000001</v>
      </c>
      <c r="D648">
        <v>144.09138899999999</v>
      </c>
      <c r="E648" t="str">
        <f>RIGHT(Airports[[#This Row],[ICAO]],3)</f>
        <v>EIN</v>
      </c>
      <c r="F6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t="s">
        <v>1439</v>
      </c>
      <c r="B649" t="s">
        <v>1440</v>
      </c>
      <c r="C649">
        <v>-30.769444</v>
      </c>
      <c r="D649">
        <v>120.311944</v>
      </c>
      <c r="E649" t="str">
        <f>RIGHT(Airports[[#This Row],[ICAO]],3)</f>
        <v>EJI</v>
      </c>
      <c r="F6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t="s">
        <v>1441</v>
      </c>
      <c r="B650" t="s">
        <v>1442</v>
      </c>
      <c r="C650">
        <v>-17.916388999999999</v>
      </c>
      <c r="D650">
        <v>124.783056</v>
      </c>
      <c r="E650" t="str">
        <f>RIGHT(Airports[[#This Row],[ICAO]],3)</f>
        <v>ELA</v>
      </c>
      <c r="F6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t="s">
        <v>1443</v>
      </c>
      <c r="B651" t="s">
        <v>1444</v>
      </c>
      <c r="C651">
        <v>-12.019444</v>
      </c>
      <c r="D651">
        <v>135.57055600000001</v>
      </c>
      <c r="E651" t="str">
        <f>RIGHT(Airports[[#This Row],[ICAO]],3)</f>
        <v>ELD</v>
      </c>
      <c r="F6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t="s">
        <v>1445</v>
      </c>
      <c r="B652" t="s">
        <v>1446</v>
      </c>
      <c r="C652">
        <v>-26.366667</v>
      </c>
      <c r="D652">
        <v>118.033056</v>
      </c>
      <c r="E652" t="str">
        <f>RIGHT(Airports[[#This Row],[ICAO]],3)</f>
        <v>ELE</v>
      </c>
      <c r="F6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t="s">
        <v>1447</v>
      </c>
      <c r="B653" t="s">
        <v>1448</v>
      </c>
      <c r="C653">
        <v>-17.5625</v>
      </c>
      <c r="D653">
        <v>124.83499999999999</v>
      </c>
      <c r="E653" t="str">
        <f>RIGHT(Airports[[#This Row],[ICAO]],3)</f>
        <v>ELI</v>
      </c>
      <c r="F6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t="s">
        <v>1449</v>
      </c>
      <c r="B654" t="s">
        <v>1450</v>
      </c>
      <c r="C654">
        <v>-21.171666999999999</v>
      </c>
      <c r="D654">
        <v>135.443333</v>
      </c>
      <c r="E654" t="str">
        <f>RIGHT(Airports[[#This Row],[ICAO]],3)</f>
        <v>ELK</v>
      </c>
      <c r="F6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t="s">
        <v>1451</v>
      </c>
      <c r="B655" t="s">
        <v>1452</v>
      </c>
      <c r="C655">
        <v>-17.529167000000001</v>
      </c>
      <c r="D655">
        <v>133.52972199999999</v>
      </c>
      <c r="E655" t="str">
        <f>RIGHT(Airports[[#This Row],[ICAO]],3)</f>
        <v>ELL</v>
      </c>
      <c r="F6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t="s">
        <v>1453</v>
      </c>
      <c r="B656" t="s">
        <v>1454</v>
      </c>
      <c r="C656">
        <v>-36.493056000000003</v>
      </c>
      <c r="D656">
        <v>144.64500000000001</v>
      </c>
      <c r="E656" t="str">
        <f>RIGHT(Airports[[#This Row],[ICAO]],3)</f>
        <v>ELM</v>
      </c>
      <c r="F6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t="s">
        <v>1455</v>
      </c>
      <c r="B657" t="s">
        <v>1456</v>
      </c>
      <c r="C657">
        <v>-33.638333000000003</v>
      </c>
      <c r="D657">
        <v>134.9</v>
      </c>
      <c r="E657" t="str">
        <f>RIGHT(Airports[[#This Row],[ICAO]],3)</f>
        <v>ELN</v>
      </c>
      <c r="F6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t="s">
        <v>1457</v>
      </c>
      <c r="B658" t="s">
        <v>1458</v>
      </c>
      <c r="C658">
        <v>-13.743888999999999</v>
      </c>
      <c r="D658">
        <v>130.505</v>
      </c>
      <c r="E658" t="str">
        <f>RIGHT(Airports[[#This Row],[ICAO]],3)</f>
        <v>ELZ</v>
      </c>
      <c r="F6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t="s">
        <v>1459</v>
      </c>
      <c r="B659" t="s">
        <v>1460</v>
      </c>
      <c r="C659">
        <v>-20.95</v>
      </c>
      <c r="D659">
        <v>120.099722</v>
      </c>
      <c r="E659" t="str">
        <f>RIGHT(Airports[[#This Row],[ICAO]],3)</f>
        <v>EMC</v>
      </c>
      <c r="F6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t="s">
        <v>1461</v>
      </c>
      <c r="B660" t="s">
        <v>1462</v>
      </c>
      <c r="C660">
        <v>-26.704722</v>
      </c>
      <c r="D660">
        <v>143.261944</v>
      </c>
      <c r="E660" t="str">
        <f>RIGHT(Airports[[#This Row],[ICAO]],3)</f>
        <v>EMG</v>
      </c>
      <c r="F6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t="s">
        <v>1463</v>
      </c>
      <c r="B661" t="s">
        <v>1464</v>
      </c>
      <c r="C661">
        <v>-23.567778000000001</v>
      </c>
      <c r="D661">
        <v>148.17916700000001</v>
      </c>
      <c r="E661" t="str">
        <f>RIGHT(Airports[[#This Row],[ICAO]],3)</f>
        <v>EML</v>
      </c>
      <c r="F6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t="s">
        <v>1465</v>
      </c>
      <c r="B662" t="s">
        <v>1466</v>
      </c>
      <c r="C662">
        <v>-23.256667</v>
      </c>
      <c r="D662">
        <v>150.813333</v>
      </c>
      <c r="F6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t="s">
        <v>1467</v>
      </c>
      <c r="B663" t="s">
        <v>1468</v>
      </c>
      <c r="C663">
        <v>-13.152778</v>
      </c>
      <c r="D663">
        <v>134.84777800000001</v>
      </c>
      <c r="E663" t="str">
        <f>RIGHT(Airports[[#This Row],[ICAO]],3)</f>
        <v>EMU</v>
      </c>
      <c r="F6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t="s">
        <v>1469</v>
      </c>
      <c r="B664" t="s">
        <v>1470</v>
      </c>
      <c r="C664">
        <v>-27.426666999999998</v>
      </c>
      <c r="D664">
        <v>152.97</v>
      </c>
      <c r="E664" t="str">
        <f>RIGHT(Airports[[#This Row],[ICAO]],3)</f>
        <v>ENO</v>
      </c>
      <c r="F6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t="s">
        <v>1471</v>
      </c>
      <c r="B665" t="s">
        <v>1472</v>
      </c>
      <c r="C665">
        <v>-28.735833</v>
      </c>
      <c r="D665">
        <v>140.04</v>
      </c>
      <c r="E665" t="str">
        <f>RIGHT(Airports[[#This Row],[ICAO]],3)</f>
        <v>EPA</v>
      </c>
      <c r="F6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t="s">
        <v>1473</v>
      </c>
      <c r="B666" t="s">
        <v>1474</v>
      </c>
      <c r="C666">
        <v>-29.565277999999999</v>
      </c>
      <c r="D666">
        <v>139.94111100000001</v>
      </c>
      <c r="E666" t="str">
        <f>RIGHT(Airports[[#This Row],[ICAO]],3)</f>
        <v>EPB</v>
      </c>
      <c r="F6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t="s">
        <v>1475</v>
      </c>
      <c r="B667" t="s">
        <v>1476</v>
      </c>
      <c r="C667">
        <v>-30.351666999999999</v>
      </c>
      <c r="D667">
        <v>139.66194400000001</v>
      </c>
      <c r="E667" t="str">
        <f>RIGHT(Airports[[#This Row],[ICAO]],3)</f>
        <v>EPC</v>
      </c>
      <c r="F6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t="s">
        <v>1477</v>
      </c>
      <c r="B668" t="s">
        <v>1478</v>
      </c>
      <c r="C668">
        <v>-31.180833</v>
      </c>
      <c r="D668">
        <v>139.381111</v>
      </c>
      <c r="E668" t="str">
        <f>RIGHT(Airports[[#This Row],[ICAO]],3)</f>
        <v>EPD</v>
      </c>
      <c r="F6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t="s">
        <v>1479</v>
      </c>
      <c r="B669" t="s">
        <v>1480</v>
      </c>
      <c r="C669">
        <v>-31.970832999999999</v>
      </c>
      <c r="D669">
        <v>139.208889</v>
      </c>
      <c r="E669" t="str">
        <f>RIGHT(Airports[[#This Row],[ICAO]],3)</f>
        <v>EPE</v>
      </c>
      <c r="F6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t="s">
        <v>1481</v>
      </c>
      <c r="B670" t="s">
        <v>1482</v>
      </c>
      <c r="C670">
        <v>-28.3</v>
      </c>
      <c r="D670">
        <v>141.23333299999999</v>
      </c>
      <c r="E670" t="str">
        <f>RIGHT(Airports[[#This Row],[ICAO]],3)</f>
        <v>EPL</v>
      </c>
      <c r="F6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t="s">
        <v>1483</v>
      </c>
      <c r="B671" t="s">
        <v>1484</v>
      </c>
      <c r="C671">
        <v>-20.433056000000001</v>
      </c>
      <c r="D671">
        <v>135.266389</v>
      </c>
      <c r="E671" t="str">
        <f>RIGHT(Airports[[#This Row],[ICAO]],3)</f>
        <v>EPR</v>
      </c>
      <c r="F6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t="s">
        <v>1485</v>
      </c>
      <c r="B672" t="s">
        <v>1486</v>
      </c>
      <c r="C672">
        <v>-14.172601</v>
      </c>
      <c r="D672">
        <v>130.320098</v>
      </c>
      <c r="E672" t="str">
        <f>RIGHT(Airports[[#This Row],[ICAO]],3)</f>
        <v>EPT</v>
      </c>
      <c r="F6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t="s">
        <v>1487</v>
      </c>
      <c r="B673" t="s">
        <v>1488</v>
      </c>
      <c r="C673">
        <v>-16.004999999999999</v>
      </c>
      <c r="D673">
        <v>127.971667</v>
      </c>
      <c r="E673" t="str">
        <f>RIGHT(Airports[[#This Row],[ICAO]],3)</f>
        <v>EQO</v>
      </c>
      <c r="F6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t="s">
        <v>1489</v>
      </c>
      <c r="B674" t="s">
        <v>1490</v>
      </c>
      <c r="C674">
        <v>-31.966667000000001</v>
      </c>
      <c r="D674">
        <v>115.861667</v>
      </c>
      <c r="E674" t="str">
        <f>RIGHT(Airports[[#This Row],[ICAO]],3)</f>
        <v>EQY</v>
      </c>
      <c r="F6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t="s">
        <v>1491</v>
      </c>
      <c r="B675" t="s">
        <v>1492</v>
      </c>
      <c r="C675">
        <v>-25.5</v>
      </c>
      <c r="D675">
        <v>117.166389</v>
      </c>
      <c r="E675" t="str">
        <f>RIGHT(Airports[[#This Row],[ICAO]],3)</f>
        <v>ERA</v>
      </c>
      <c r="F6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t="s">
        <v>1493</v>
      </c>
      <c r="B676" t="s">
        <v>1494</v>
      </c>
      <c r="C676">
        <v>-25.6</v>
      </c>
      <c r="D676">
        <v>121.583333</v>
      </c>
      <c r="E676" t="str">
        <f>RIGHT(Airports[[#This Row],[ICAO]],3)</f>
        <v>ERH</v>
      </c>
      <c r="F6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t="s">
        <v>1495</v>
      </c>
      <c r="B677" t="s">
        <v>1496</v>
      </c>
      <c r="C677">
        <v>-35.061667</v>
      </c>
      <c r="D677">
        <v>147.683333</v>
      </c>
      <c r="E677" t="str">
        <f>RIGHT(Airports[[#This Row],[ICAO]],3)</f>
        <v>ERI</v>
      </c>
      <c r="F6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t="s">
        <v>1497</v>
      </c>
      <c r="B678" t="s">
        <v>1498</v>
      </c>
      <c r="C678">
        <v>-25.216667000000001</v>
      </c>
      <c r="D678">
        <v>133.25</v>
      </c>
      <c r="E678" t="str">
        <f>RIGHT(Airports[[#This Row],[ICAO]],3)</f>
        <v>ERL</v>
      </c>
      <c r="F6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t="s">
        <v>1499</v>
      </c>
      <c r="B679" t="s">
        <v>1500</v>
      </c>
      <c r="C679">
        <v>-26.262499999999999</v>
      </c>
      <c r="D679">
        <v>132.181667</v>
      </c>
      <c r="E679" t="str">
        <f>RIGHT(Airports[[#This Row],[ICAO]],3)</f>
        <v>ERN</v>
      </c>
      <c r="F6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t="s">
        <v>1501</v>
      </c>
      <c r="B680" t="s">
        <v>1502</v>
      </c>
      <c r="C680">
        <v>-25.566666999999999</v>
      </c>
      <c r="D680">
        <v>116.666389</v>
      </c>
      <c r="E680" t="str">
        <f>RIGHT(Airports[[#This Row],[ICAO]],3)</f>
        <v>ERO</v>
      </c>
      <c r="F6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t="s">
        <v>1503</v>
      </c>
      <c r="B681" t="s">
        <v>1504</v>
      </c>
      <c r="C681">
        <v>-20.583333</v>
      </c>
      <c r="D681">
        <v>141.083056</v>
      </c>
      <c r="E681" t="str">
        <f>RIGHT(Airports[[#This Row],[ICAO]],3)</f>
        <v>ERS</v>
      </c>
      <c r="F6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t="s">
        <v>1505</v>
      </c>
      <c r="B682" t="s">
        <v>1506</v>
      </c>
      <c r="C682">
        <v>-31.433056000000001</v>
      </c>
      <c r="D682">
        <v>139.38166699999999</v>
      </c>
      <c r="E682" t="str">
        <f>RIGHT(Airports[[#This Row],[ICAO]],3)</f>
        <v>ERU</v>
      </c>
      <c r="F6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t="s">
        <v>1507</v>
      </c>
      <c r="B683" t="s">
        <v>1508</v>
      </c>
      <c r="C683">
        <v>-25.364999999999998</v>
      </c>
      <c r="D683">
        <v>151.10833299999999</v>
      </c>
      <c r="E683" t="str">
        <f>RIGHT(Airports[[#This Row],[ICAO]],3)</f>
        <v>ESD</v>
      </c>
      <c r="F6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t="s">
        <v>1509</v>
      </c>
      <c r="B684" t="s">
        <v>1510</v>
      </c>
      <c r="C684">
        <v>-20.977222000000001</v>
      </c>
      <c r="D684">
        <v>141.00722200000001</v>
      </c>
      <c r="E684" t="str">
        <f>RIGHT(Airports[[#This Row],[ICAO]],3)</f>
        <v>ESE</v>
      </c>
      <c r="F6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t="s">
        <v>1511</v>
      </c>
      <c r="B685" t="s">
        <v>1512</v>
      </c>
      <c r="C685">
        <v>-13.516389</v>
      </c>
      <c r="D685">
        <v>132.516389</v>
      </c>
      <c r="E685" t="str">
        <f>RIGHT(Airports[[#This Row],[ICAO]],3)</f>
        <v>ESH</v>
      </c>
      <c r="F6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t="s">
        <v>1513</v>
      </c>
      <c r="B686" t="s">
        <v>1514</v>
      </c>
      <c r="C686">
        <v>-31.806944000000001</v>
      </c>
      <c r="D686">
        <v>151.29944399999999</v>
      </c>
      <c r="E686" t="str">
        <f>RIGHT(Airports[[#This Row],[ICAO]],3)</f>
        <v>ESN</v>
      </c>
      <c r="F6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t="s">
        <v>1515</v>
      </c>
      <c r="B687" t="s">
        <v>1516</v>
      </c>
      <c r="C687">
        <v>-33.684443999999999</v>
      </c>
      <c r="D687">
        <v>121.822778</v>
      </c>
      <c r="E687" t="str">
        <f>RIGHT(Airports[[#This Row],[ICAO]],3)</f>
        <v>ESP</v>
      </c>
      <c r="F6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t="s">
        <v>1517</v>
      </c>
      <c r="B688" t="s">
        <v>1518</v>
      </c>
      <c r="C688">
        <v>-25.050277999999999</v>
      </c>
      <c r="D688">
        <v>152.22111100000001</v>
      </c>
      <c r="E688" t="str">
        <f>RIGHT(Airports[[#This Row],[ICAO]],3)</f>
        <v>ETT</v>
      </c>
      <c r="F6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t="s">
        <v>1519</v>
      </c>
      <c r="B689" t="s">
        <v>1520</v>
      </c>
      <c r="C689">
        <v>-36.744722000000003</v>
      </c>
      <c r="D689">
        <v>145.51333299999999</v>
      </c>
      <c r="E689" t="str">
        <f>RIGHT(Airports[[#This Row],[ICAO]],3)</f>
        <v>EUA</v>
      </c>
      <c r="F6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t="s">
        <v>1521</v>
      </c>
      <c r="B690" t="s">
        <v>1522</v>
      </c>
      <c r="C690">
        <v>-32.928955999999999</v>
      </c>
      <c r="D690">
        <v>149.105064</v>
      </c>
      <c r="E690" t="str">
        <f>RIGHT(Airports[[#This Row],[ICAO]],3)</f>
        <v>EUC</v>
      </c>
      <c r="F6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t="s">
        <v>1523</v>
      </c>
      <c r="B691" t="s">
        <v>1524</v>
      </c>
      <c r="C691">
        <v>-24.45</v>
      </c>
      <c r="D691">
        <v>115.599722</v>
      </c>
      <c r="E691" t="str">
        <f>RIGHT(Airports[[#This Row],[ICAO]],3)</f>
        <v>EUD</v>
      </c>
      <c r="F6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t="s">
        <v>1525</v>
      </c>
      <c r="B692" t="s">
        <v>1526</v>
      </c>
      <c r="C692">
        <v>-19.883056</v>
      </c>
      <c r="D692">
        <v>141.48333299999999</v>
      </c>
      <c r="E692" t="str">
        <f>RIGHT(Airports[[#This Row],[ICAO]],3)</f>
        <v>EUK</v>
      </c>
      <c r="F6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t="s">
        <v>1527</v>
      </c>
      <c r="B693" t="s">
        <v>1528</v>
      </c>
      <c r="C693">
        <v>-26.618888999999999</v>
      </c>
      <c r="D693">
        <v>148.23583300000001</v>
      </c>
      <c r="E693" t="str">
        <f>RIGHT(Airports[[#This Row],[ICAO]],3)</f>
        <v>EUL</v>
      </c>
      <c r="F6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t="s">
        <v>1529</v>
      </c>
      <c r="B694" t="s">
        <v>1530</v>
      </c>
      <c r="C694">
        <v>-28.169167000000002</v>
      </c>
      <c r="D694">
        <v>145.04166699999999</v>
      </c>
      <c r="E694" t="str">
        <f>RIGHT(Airports[[#This Row],[ICAO]],3)</f>
        <v>EUO</v>
      </c>
      <c r="F6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t="s">
        <v>1531</v>
      </c>
      <c r="B695" t="s">
        <v>1532</v>
      </c>
      <c r="C695">
        <v>-18.008056</v>
      </c>
      <c r="D695">
        <v>134.85833299999999</v>
      </c>
      <c r="E695" t="str">
        <f>RIGHT(Airports[[#This Row],[ICAO]],3)</f>
        <v>EVA</v>
      </c>
      <c r="F6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t="s">
        <v>1533</v>
      </c>
      <c r="B696" t="s">
        <v>1534</v>
      </c>
      <c r="C696">
        <v>-29.093333000000001</v>
      </c>
      <c r="D696">
        <v>153.420278</v>
      </c>
      <c r="E696" t="str">
        <f>RIGHT(Airports[[#This Row],[ICAO]],3)</f>
        <v>EVD</v>
      </c>
      <c r="F6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t="s">
        <v>1535</v>
      </c>
      <c r="B697" t="s">
        <v>1536</v>
      </c>
      <c r="C697">
        <v>-23.033055999999998</v>
      </c>
      <c r="D697">
        <v>143.71638899999999</v>
      </c>
      <c r="E697" t="str">
        <f>RIGHT(Airports[[#This Row],[ICAO]],3)</f>
        <v>EVM</v>
      </c>
      <c r="F6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t="s">
        <v>1537</v>
      </c>
      <c r="B698" t="s">
        <v>1538</v>
      </c>
      <c r="C698">
        <v>-27.036667000000001</v>
      </c>
      <c r="D698">
        <v>132.681667</v>
      </c>
      <c r="E698" t="str">
        <f>RIGHT(Airports[[#This Row],[ICAO]],3)</f>
        <v>EVP</v>
      </c>
      <c r="F6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t="s">
        <v>1539</v>
      </c>
      <c r="B699" t="s">
        <v>1540</v>
      </c>
      <c r="C699">
        <v>-14.266389</v>
      </c>
      <c r="D699">
        <v>132.831389</v>
      </c>
      <c r="E699" t="str">
        <f>RIGHT(Airports[[#This Row],[ICAO]],3)</f>
        <v>EVV</v>
      </c>
      <c r="F6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t="s">
        <v>1541</v>
      </c>
      <c r="B700" t="s">
        <v>1542</v>
      </c>
      <c r="C700">
        <v>-41.676369000000001</v>
      </c>
      <c r="D700">
        <v>146.97104200000001</v>
      </c>
      <c r="E700" t="str">
        <f>RIGHT(Airports[[#This Row],[ICAO]],3)</f>
        <v>EVW</v>
      </c>
      <c r="F7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t="s">
        <v>1543</v>
      </c>
      <c r="B701" t="s">
        <v>1544</v>
      </c>
      <c r="C701">
        <v>-22.428889000000002</v>
      </c>
      <c r="D701">
        <v>116.88722199999999</v>
      </c>
      <c r="E701" t="str">
        <f>RIGHT(Airports[[#This Row],[ICAO]],3)</f>
        <v>EWA</v>
      </c>
      <c r="F7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t="s">
        <v>1545</v>
      </c>
      <c r="B702" t="s">
        <v>1546</v>
      </c>
      <c r="C702">
        <v>-28.436944</v>
      </c>
      <c r="D702">
        <v>113.735556</v>
      </c>
      <c r="E702" t="str">
        <f>RIGHT(Airports[[#This Row],[ICAO]],3)</f>
        <v>EWI</v>
      </c>
      <c r="F7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t="s">
        <v>1547</v>
      </c>
      <c r="B703" t="s">
        <v>1548</v>
      </c>
      <c r="C703">
        <v>-30.241944</v>
      </c>
      <c r="D703">
        <v>147.53055599999999</v>
      </c>
      <c r="E703" t="str">
        <f>RIGHT(Airports[[#This Row],[ICAO]],3)</f>
        <v>EWO</v>
      </c>
      <c r="F7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t="s">
        <v>1549</v>
      </c>
      <c r="B704" t="s">
        <v>1550</v>
      </c>
      <c r="C704">
        <v>-22.041388999999999</v>
      </c>
      <c r="D704">
        <v>114.102222</v>
      </c>
      <c r="E704" t="str">
        <f>RIGHT(Airports[[#This Row],[ICAO]],3)</f>
        <v>EXM</v>
      </c>
      <c r="F7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t="s">
        <v>1551</v>
      </c>
      <c r="B705" t="s">
        <v>1552</v>
      </c>
      <c r="C705">
        <v>-28.204167000000002</v>
      </c>
      <c r="D705">
        <v>134.489722</v>
      </c>
      <c r="E705" t="str">
        <f>RIGHT(Airports[[#This Row],[ICAO]],3)</f>
        <v>EYD</v>
      </c>
      <c r="F7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t="s">
        <v>1553</v>
      </c>
      <c r="B706" t="s">
        <v>1554</v>
      </c>
      <c r="C706">
        <v>-25.116667</v>
      </c>
      <c r="D706">
        <v>152.29416699999999</v>
      </c>
      <c r="E706" t="str">
        <f>RIGHT(Airports[[#This Row],[ICAO]],3)</f>
        <v>FAR</v>
      </c>
      <c r="F7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t="s">
        <v>1555</v>
      </c>
      <c r="B707" t="s">
        <v>1556</v>
      </c>
      <c r="C707">
        <v>-30.882777999999998</v>
      </c>
      <c r="D707">
        <v>148.24638899999999</v>
      </c>
      <c r="E707" t="str">
        <f>RIGHT(Airports[[#This Row],[ICAO]],3)</f>
        <v>FBR</v>
      </c>
      <c r="F7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t="s">
        <v>1557</v>
      </c>
      <c r="B708" t="s">
        <v>1558</v>
      </c>
      <c r="C708">
        <v>-33.363610999999999</v>
      </c>
      <c r="D708">
        <v>147.935</v>
      </c>
      <c r="E708" t="str">
        <f>RIGHT(Airports[[#This Row],[ICAO]],3)</f>
        <v>FBS</v>
      </c>
      <c r="F7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t="s">
        <v>1559</v>
      </c>
      <c r="B709" t="s">
        <v>1560</v>
      </c>
      <c r="C709">
        <v>-20.481943999999999</v>
      </c>
      <c r="D709">
        <v>140.579444</v>
      </c>
      <c r="E709" t="str">
        <f>RIGHT(Airports[[#This Row],[ICAO]],3)</f>
        <v>FCN</v>
      </c>
      <c r="F7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t="s">
        <v>1561</v>
      </c>
      <c r="B710" t="s">
        <v>1562</v>
      </c>
      <c r="C710">
        <v>-22.291944000000001</v>
      </c>
      <c r="D710">
        <v>119.43722200000001</v>
      </c>
      <c r="E710" t="str">
        <f>RIGHT(Airports[[#This Row],[ICAO]],3)</f>
        <v>FDF</v>
      </c>
      <c r="F7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t="s">
        <v>1563</v>
      </c>
      <c r="B711" t="s">
        <v>1564</v>
      </c>
      <c r="C711">
        <v>-35.012777999999997</v>
      </c>
      <c r="D711">
        <v>147.37361100000001</v>
      </c>
      <c r="E711" t="str">
        <f>RIGHT(Airports[[#This Row],[ICAO]],3)</f>
        <v>FDN</v>
      </c>
      <c r="F7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t="s">
        <v>1565</v>
      </c>
      <c r="B712" t="s">
        <v>1566</v>
      </c>
      <c r="C712">
        <v>-32.534166999999997</v>
      </c>
      <c r="D712">
        <v>137.858056</v>
      </c>
      <c r="E712" t="str">
        <f>RIGHT(Airports[[#This Row],[ICAO]],3)</f>
        <v>FFD</v>
      </c>
      <c r="F7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t="s">
        <v>1567</v>
      </c>
      <c r="B713" t="s">
        <v>1568</v>
      </c>
      <c r="C713">
        <v>-36.763008999999997</v>
      </c>
      <c r="D713">
        <v>149.803515</v>
      </c>
      <c r="E713" t="str">
        <f>RIGHT(Airports[[#This Row],[ICAO]],3)</f>
        <v>FGS</v>
      </c>
      <c r="F7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t="s">
        <v>1569</v>
      </c>
      <c r="B714" t="s">
        <v>1570</v>
      </c>
      <c r="C714">
        <v>-21.140833000000001</v>
      </c>
      <c r="D714">
        <v>148.64861099999999</v>
      </c>
      <c r="E714" t="str">
        <f>RIGHT(Airports[[#This Row],[ICAO]],3)</f>
        <v>FHA</v>
      </c>
      <c r="F7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t="s">
        <v>1571</v>
      </c>
      <c r="B715" t="s">
        <v>1572</v>
      </c>
      <c r="C715">
        <v>-27.635833000000002</v>
      </c>
      <c r="D715">
        <v>151.512778</v>
      </c>
      <c r="E715" t="str">
        <f>RIGHT(Airports[[#This Row],[ICAO]],3)</f>
        <v>FIG</v>
      </c>
      <c r="F7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t="s">
        <v>1573</v>
      </c>
      <c r="B716" t="s">
        <v>1574</v>
      </c>
      <c r="C716">
        <v>-23.89</v>
      </c>
      <c r="D716">
        <v>151.566667</v>
      </c>
      <c r="E716" t="str">
        <f>RIGHT(Airports[[#This Row],[ICAO]],3)</f>
        <v>FLD</v>
      </c>
      <c r="F7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t="s">
        <v>1575</v>
      </c>
      <c r="B717" t="s">
        <v>1576</v>
      </c>
      <c r="C717">
        <v>-40.091388999999999</v>
      </c>
      <c r="D717">
        <v>147.99277799999999</v>
      </c>
      <c r="E717" t="str">
        <f>RIGHT(Airports[[#This Row],[ICAO]],3)</f>
        <v>FLI</v>
      </c>
      <c r="F7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t="s">
        <v>1577</v>
      </c>
      <c r="B718" t="s">
        <v>1578</v>
      </c>
      <c r="C718">
        <v>-36.866667</v>
      </c>
      <c r="D718">
        <v>147.283333</v>
      </c>
      <c r="E718" t="str">
        <f>RIGHT(Airports[[#This Row],[ICAO]],3)</f>
        <v>FLK</v>
      </c>
      <c r="F7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t="s">
        <v>1579</v>
      </c>
      <c r="B719" t="s">
        <v>1580</v>
      </c>
      <c r="C719">
        <v>-18.283055999999998</v>
      </c>
      <c r="D719">
        <v>128.41666699999999</v>
      </c>
      <c r="E719" t="str">
        <f>RIGHT(Airports[[#This Row],[ICAO]],3)</f>
        <v>FLO</v>
      </c>
      <c r="F7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t="s">
        <v>1581</v>
      </c>
      <c r="B720" t="s">
        <v>1576</v>
      </c>
      <c r="C720">
        <v>-33.729444000000001</v>
      </c>
      <c r="D720">
        <v>134.50138899999999</v>
      </c>
      <c r="E720" t="str">
        <f>RIGHT(Airports[[#This Row],[ICAO]],3)</f>
        <v>FLS</v>
      </c>
      <c r="F7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t="s">
        <v>1582</v>
      </c>
      <c r="B721" t="s">
        <v>1583</v>
      </c>
      <c r="C721">
        <v>-15.766389</v>
      </c>
      <c r="D721">
        <v>144.05000000000001</v>
      </c>
      <c r="E721" t="str">
        <f>RIGHT(Airports[[#This Row],[ICAO]],3)</f>
        <v>FLT</v>
      </c>
      <c r="F7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t="s">
        <v>1584</v>
      </c>
      <c r="B722" t="s">
        <v>1585</v>
      </c>
      <c r="C722">
        <v>-19.884694</v>
      </c>
      <c r="D722">
        <v>146.205015</v>
      </c>
      <c r="E722" t="str">
        <f>RIGHT(Airports[[#This Row],[ICAO]],3)</f>
        <v>FLV</v>
      </c>
      <c r="F7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t="s">
        <v>1586</v>
      </c>
      <c r="B723" t="s">
        <v>1587</v>
      </c>
      <c r="C723">
        <v>-38.366943999999997</v>
      </c>
      <c r="D723">
        <v>145.185833</v>
      </c>
      <c r="E723" t="str">
        <f>RIGHT(Airports[[#This Row],[ICAO]],3)</f>
        <v>FND</v>
      </c>
      <c r="F7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t="s">
        <v>1588</v>
      </c>
      <c r="B724" t="s">
        <v>1589</v>
      </c>
      <c r="C724">
        <v>-25.593056000000001</v>
      </c>
      <c r="D724">
        <v>134.58277799999999</v>
      </c>
      <c r="E724" t="str">
        <f>RIGHT(Airports[[#This Row],[ICAO]],3)</f>
        <v>FNE</v>
      </c>
      <c r="F7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t="s">
        <v>1590</v>
      </c>
      <c r="B725" t="s">
        <v>1591</v>
      </c>
      <c r="C725">
        <v>-25.336389</v>
      </c>
      <c r="D725">
        <v>118.382778</v>
      </c>
      <c r="E725" t="str">
        <f>RIGHT(Airports[[#This Row],[ICAO]],3)</f>
        <v>FOR</v>
      </c>
      <c r="F7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t="s">
        <v>1592</v>
      </c>
      <c r="B726" t="s">
        <v>1593</v>
      </c>
      <c r="C726">
        <v>-18.149722000000001</v>
      </c>
      <c r="D726">
        <v>125.783056</v>
      </c>
      <c r="E726" t="str">
        <f>RIGHT(Airports[[#This Row],[ICAO]],3)</f>
        <v>FOS</v>
      </c>
      <c r="F7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t="s">
        <v>1594</v>
      </c>
      <c r="B727" t="s">
        <v>1595</v>
      </c>
      <c r="C727">
        <v>-31.220278</v>
      </c>
      <c r="D727">
        <v>139.82666699999999</v>
      </c>
      <c r="E727" t="str">
        <f>RIGHT(Airports[[#This Row],[ICAO]],3)</f>
        <v>FRD</v>
      </c>
      <c r="F7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t="s">
        <v>1596</v>
      </c>
      <c r="B728" t="s">
        <v>1597</v>
      </c>
      <c r="C728">
        <v>-26.775832999999999</v>
      </c>
      <c r="D728">
        <v>132.01750000000001</v>
      </c>
      <c r="E728" t="str">
        <f>RIGHT(Airports[[#This Row],[ICAO]],3)</f>
        <v>FRG</v>
      </c>
      <c r="F7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t="s">
        <v>1598</v>
      </c>
      <c r="B729" t="s">
        <v>1599</v>
      </c>
      <c r="C729">
        <v>-41.999443999999997</v>
      </c>
      <c r="D729">
        <v>148.257778</v>
      </c>
      <c r="E729" t="str">
        <f>RIGHT(Airports[[#This Row],[ICAO]],3)</f>
        <v>FRI</v>
      </c>
      <c r="F7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t="s">
        <v>1600</v>
      </c>
      <c r="B730" t="s">
        <v>1601</v>
      </c>
      <c r="C730">
        <v>-34.347499999999997</v>
      </c>
      <c r="D730">
        <v>116.947222</v>
      </c>
      <c r="E730" t="str">
        <f>RIGHT(Airports[[#This Row],[ICAO]],3)</f>
        <v>FRK</v>
      </c>
      <c r="F7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t="s">
        <v>1602</v>
      </c>
      <c r="B731" t="s">
        <v>1603</v>
      </c>
      <c r="C731">
        <v>-25.933056000000001</v>
      </c>
      <c r="D731">
        <v>147.86666700000001</v>
      </c>
      <c r="E731" t="str">
        <f>RIGHT(Airports[[#This Row],[ICAO]],3)</f>
        <v>FRS</v>
      </c>
      <c r="F7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t="s">
        <v>1604</v>
      </c>
      <c r="B732" t="s">
        <v>1605</v>
      </c>
      <c r="C732">
        <v>-30.838056000000002</v>
      </c>
      <c r="D732">
        <v>128.11500000000001</v>
      </c>
      <c r="E732" t="str">
        <f>RIGHT(Airports[[#This Row],[ICAO]],3)</f>
        <v>FRT</v>
      </c>
      <c r="F7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t="s">
        <v>1606</v>
      </c>
      <c r="B733" t="s">
        <v>1607</v>
      </c>
      <c r="C733">
        <v>-15.166667</v>
      </c>
      <c r="D733">
        <v>127.833333</v>
      </c>
      <c r="E733" t="str">
        <f>RIGHT(Airports[[#This Row],[ICAO]],3)</f>
        <v>FRV</v>
      </c>
      <c r="F7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t="s">
        <v>1608</v>
      </c>
      <c r="B734" t="s">
        <v>1609</v>
      </c>
      <c r="C734">
        <v>-18.583333</v>
      </c>
      <c r="D734">
        <v>143.56638899999999</v>
      </c>
      <c r="E734" t="str">
        <f>RIGHT(Airports[[#This Row],[ICAO]],3)</f>
        <v>FSA</v>
      </c>
      <c r="F7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t="s">
        <v>1610</v>
      </c>
      <c r="B735" t="s">
        <v>1611</v>
      </c>
      <c r="C735">
        <v>-13.558332999999999</v>
      </c>
      <c r="D735">
        <v>132.625</v>
      </c>
      <c r="E735" t="str">
        <f>RIGHT(Airports[[#This Row],[ICAO]],3)</f>
        <v>FSR</v>
      </c>
      <c r="F7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t="s">
        <v>1612</v>
      </c>
      <c r="B736" t="s">
        <v>1613</v>
      </c>
      <c r="C736">
        <v>-32.578333000000001</v>
      </c>
      <c r="D736">
        <v>119.706667</v>
      </c>
      <c r="E736" t="str">
        <f>RIGHT(Airports[[#This Row],[ICAO]],3)</f>
        <v>FTA</v>
      </c>
      <c r="F7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t="s">
        <v>1614</v>
      </c>
      <c r="B737" t="s">
        <v>1615</v>
      </c>
      <c r="C737">
        <v>-21.566666999999999</v>
      </c>
      <c r="D737">
        <v>148.44972200000001</v>
      </c>
      <c r="E737" t="str">
        <f>RIGHT(Airports[[#This Row],[ICAO]],3)</f>
        <v>FTC</v>
      </c>
      <c r="F7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t="s">
        <v>1616</v>
      </c>
      <c r="B738" t="s">
        <v>1617</v>
      </c>
      <c r="C738">
        <v>-32.045278000000003</v>
      </c>
      <c r="D738">
        <v>115.733056</v>
      </c>
      <c r="E738" t="str">
        <f>RIGHT(Airports[[#This Row],[ICAO]],3)</f>
        <v>FTL</v>
      </c>
      <c r="F7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t="s">
        <v>1618</v>
      </c>
      <c r="B739" t="s">
        <v>1619</v>
      </c>
      <c r="C739">
        <v>-38.656388999999997</v>
      </c>
      <c r="D739">
        <v>146.20500000000001</v>
      </c>
      <c r="E739" t="str">
        <f>RIGHT(Airports[[#This Row],[ICAO]],3)</f>
        <v>FTR</v>
      </c>
      <c r="F7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t="s">
        <v>1620</v>
      </c>
      <c r="B740" t="s">
        <v>1621</v>
      </c>
      <c r="C740">
        <v>-18.181944000000001</v>
      </c>
      <c r="D740">
        <v>125.558611</v>
      </c>
      <c r="E740" t="str">
        <f>RIGHT(Airports[[#This Row],[ICAO]],3)</f>
        <v>FTZ</v>
      </c>
      <c r="F7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t="s">
        <v>1622</v>
      </c>
      <c r="B741" t="s">
        <v>1623</v>
      </c>
      <c r="C741">
        <v>-16.914166999999999</v>
      </c>
      <c r="D741">
        <v>145.703611</v>
      </c>
      <c r="E741" t="str">
        <f>RIGHT(Airports[[#This Row],[ICAO]],3)</f>
        <v>FWV</v>
      </c>
      <c r="F7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t="s">
        <v>1624</v>
      </c>
      <c r="B742" t="s">
        <v>1625</v>
      </c>
      <c r="C742">
        <v>-13.980556</v>
      </c>
      <c r="D742">
        <v>127.180556</v>
      </c>
      <c r="E742" t="str">
        <f>RIGHT(Airports[[#This Row],[ICAO]],3)</f>
        <v>FWY</v>
      </c>
      <c r="F7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t="s">
        <v>1626</v>
      </c>
      <c r="B743" t="s">
        <v>1627</v>
      </c>
      <c r="C743">
        <v>-11.771965</v>
      </c>
      <c r="D743">
        <v>135.902106</v>
      </c>
      <c r="E743" t="str">
        <f>RIGHT(Airports[[#This Row],[ICAO]],3)</f>
        <v>GAA</v>
      </c>
      <c r="F7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t="s">
        <v>1628</v>
      </c>
      <c r="B744" t="s">
        <v>1629</v>
      </c>
      <c r="C744">
        <v>-32.241667</v>
      </c>
      <c r="D744">
        <v>115.68388899999999</v>
      </c>
      <c r="E744" t="str">
        <f>RIGHT(Airports[[#This Row],[ICAO]],3)</f>
        <v>GAD</v>
      </c>
      <c r="F7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t="s">
        <v>1630</v>
      </c>
      <c r="B745" t="s">
        <v>1631</v>
      </c>
      <c r="C745">
        <v>-12.285833</v>
      </c>
      <c r="D745">
        <v>134.707222</v>
      </c>
      <c r="E745" t="str">
        <f>RIGHT(Airports[[#This Row],[ICAO]],3)</f>
        <v>GAI</v>
      </c>
      <c r="F7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t="s">
        <v>1632</v>
      </c>
      <c r="B746" t="s">
        <v>1633</v>
      </c>
      <c r="C746">
        <v>-16.543333000000001</v>
      </c>
      <c r="D746">
        <v>143.66999999999999</v>
      </c>
      <c r="E746" t="str">
        <f>RIGHT(Airports[[#This Row],[ICAO]],3)</f>
        <v>GAM</v>
      </c>
      <c r="F7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t="s">
        <v>1634</v>
      </c>
      <c r="B747" t="s">
        <v>1635</v>
      </c>
      <c r="C747">
        <v>-13.046389</v>
      </c>
      <c r="D747">
        <v>135.94999999999999</v>
      </c>
      <c r="E747" t="str">
        <f>RIGHT(Airports[[#This Row],[ICAO]],3)</f>
        <v>GAN</v>
      </c>
      <c r="F7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t="s">
        <v>1636</v>
      </c>
      <c r="B748" t="s">
        <v>1637</v>
      </c>
      <c r="C748">
        <v>-23.791111000000001</v>
      </c>
      <c r="D748">
        <v>113.530278</v>
      </c>
      <c r="E748" t="str">
        <f>RIGHT(Airports[[#This Row],[ICAO]],3)</f>
        <v>GAR</v>
      </c>
      <c r="F7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t="s">
        <v>1638</v>
      </c>
      <c r="B749" t="s">
        <v>1639</v>
      </c>
      <c r="C749">
        <v>-27.59</v>
      </c>
      <c r="D749">
        <v>152.25666699999999</v>
      </c>
      <c r="E749" t="str">
        <f>RIGHT(Airports[[#This Row],[ICAO]],3)</f>
        <v>GAS</v>
      </c>
      <c r="F7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t="s">
        <v>1640</v>
      </c>
      <c r="B750" t="s">
        <v>1641</v>
      </c>
      <c r="C750">
        <v>-34.598610999999998</v>
      </c>
      <c r="D750">
        <v>138.72138899999999</v>
      </c>
      <c r="E750" t="str">
        <f>RIGHT(Airports[[#This Row],[ICAO]],3)</f>
        <v>GAW</v>
      </c>
      <c r="F7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t="s">
        <v>1642</v>
      </c>
      <c r="B751" t="s">
        <v>1643</v>
      </c>
      <c r="C751">
        <v>-25.615278</v>
      </c>
      <c r="D751">
        <v>151.620833</v>
      </c>
      <c r="E751" t="str">
        <f>RIGHT(Airports[[#This Row],[ICAO]],3)</f>
        <v>GAY</v>
      </c>
      <c r="F7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t="s">
        <v>1644</v>
      </c>
      <c r="B752" t="s">
        <v>1645</v>
      </c>
      <c r="C752">
        <v>-41.426667000000002</v>
      </c>
      <c r="D752">
        <v>147.144722</v>
      </c>
      <c r="E752" t="str">
        <f>RIGHT(Airports[[#This Row],[ICAO]],3)</f>
        <v>GBE</v>
      </c>
      <c r="F7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t="s">
        <v>1646</v>
      </c>
      <c r="B753" t="s">
        <v>1647</v>
      </c>
      <c r="C753">
        <v>-38.146943999999998</v>
      </c>
      <c r="D753">
        <v>144.17250000000001</v>
      </c>
      <c r="E753" t="str">
        <f>RIGHT(Airports[[#This Row],[ICAO]],3)</f>
        <v>GBF</v>
      </c>
      <c r="F7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t="s">
        <v>1648</v>
      </c>
      <c r="B754" t="s">
        <v>1649</v>
      </c>
      <c r="C754">
        <v>-11.650556</v>
      </c>
      <c r="D754">
        <v>133.381944</v>
      </c>
      <c r="E754" t="str">
        <f>RIGHT(Airports[[#This Row],[ICAO]],3)</f>
        <v>GBI</v>
      </c>
      <c r="F7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t="s">
        <v>1650</v>
      </c>
      <c r="B755" t="s">
        <v>1651</v>
      </c>
      <c r="C755">
        <v>-33.761667000000003</v>
      </c>
      <c r="D755">
        <v>150.636111</v>
      </c>
      <c r="E755" t="str">
        <f>RIGHT(Airports[[#This Row],[ICAO]],3)</f>
        <v>GBK</v>
      </c>
      <c r="F7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t="s">
        <v>1652</v>
      </c>
      <c r="B756" t="s">
        <v>1653</v>
      </c>
      <c r="C756">
        <v>-37.566110999999999</v>
      </c>
      <c r="D756">
        <v>149.91138900000001</v>
      </c>
      <c r="E756" t="str">
        <f>RIGHT(Airports[[#This Row],[ICAO]],3)</f>
        <v>GBO</v>
      </c>
      <c r="F7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t="s">
        <v>1654</v>
      </c>
      <c r="B757" t="s">
        <v>1655</v>
      </c>
      <c r="C757">
        <v>-19.209444000000001</v>
      </c>
      <c r="D757">
        <v>143.66333299999999</v>
      </c>
      <c r="E757" t="str">
        <f>RIGHT(Airports[[#This Row],[ICAO]],3)</f>
        <v>GBS</v>
      </c>
      <c r="F7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t="s">
        <v>1656</v>
      </c>
      <c r="B758" t="s">
        <v>1657</v>
      </c>
      <c r="C758">
        <v>-35.966388999999999</v>
      </c>
      <c r="D758">
        <v>144.381111</v>
      </c>
      <c r="E758" t="str">
        <f>RIGHT(Airports[[#This Row],[ICAO]],3)</f>
        <v>GBW</v>
      </c>
      <c r="F7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t="s">
        <v>1658</v>
      </c>
      <c r="B759" t="s">
        <v>1659</v>
      </c>
      <c r="C759">
        <v>-32.051667000000002</v>
      </c>
      <c r="D759">
        <v>151.97666699999999</v>
      </c>
      <c r="E759" t="str">
        <f>RIGHT(Airports[[#This Row],[ICAO]],3)</f>
        <v>GCR</v>
      </c>
      <c r="F7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t="s">
        <v>1660</v>
      </c>
      <c r="B760" t="s">
        <v>1661</v>
      </c>
      <c r="C760">
        <v>-29.073333000000002</v>
      </c>
      <c r="D760">
        <v>147.37611100000001</v>
      </c>
      <c r="E760" t="str">
        <f>RIGHT(Airports[[#This Row],[ICAO]],3)</f>
        <v>GDA</v>
      </c>
      <c r="F7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t="s">
        <v>1662</v>
      </c>
      <c r="B761" t="s">
        <v>1663</v>
      </c>
      <c r="C761">
        <v>-30.961110999999999</v>
      </c>
      <c r="D761">
        <v>150.25055599999999</v>
      </c>
      <c r="E761" t="str">
        <f>RIGHT(Airports[[#This Row],[ICAO]],3)</f>
        <v>GDH</v>
      </c>
      <c r="F7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t="s">
        <v>1664</v>
      </c>
      <c r="B762" t="s">
        <v>1665</v>
      </c>
      <c r="C762">
        <v>-28.521388999999999</v>
      </c>
      <c r="D762">
        <v>150.320278</v>
      </c>
      <c r="E762" t="str">
        <f>RIGHT(Airports[[#This Row],[ICAO]],3)</f>
        <v>GDI</v>
      </c>
      <c r="F7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t="s">
        <v>1666</v>
      </c>
      <c r="B763" t="s">
        <v>1667</v>
      </c>
      <c r="C763">
        <v>-30.299721999999999</v>
      </c>
      <c r="D763">
        <v>121.783056</v>
      </c>
      <c r="E763" t="str">
        <f>RIGHT(Airports[[#This Row],[ICAO]],3)</f>
        <v>GDL</v>
      </c>
      <c r="F7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t="s">
        <v>1668</v>
      </c>
      <c r="B764" t="s">
        <v>1669</v>
      </c>
      <c r="C764">
        <v>-18.678056000000002</v>
      </c>
      <c r="D764">
        <v>128.59138899999999</v>
      </c>
      <c r="E764" t="str">
        <f>RIGHT(Airports[[#This Row],[ICAO]],3)</f>
        <v>GDN</v>
      </c>
      <c r="F7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t="s">
        <v>1670</v>
      </c>
      <c r="B765" t="s">
        <v>1671</v>
      </c>
      <c r="C765">
        <v>-35.045000000000002</v>
      </c>
      <c r="D765">
        <v>149.25833299999999</v>
      </c>
      <c r="E765" t="str">
        <f>RIGHT(Airports[[#This Row],[ICAO]],3)</f>
        <v>GDO</v>
      </c>
      <c r="F7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t="s">
        <v>1672</v>
      </c>
      <c r="B766" t="s">
        <v>1673</v>
      </c>
      <c r="C766">
        <v>-23.286667000000001</v>
      </c>
      <c r="D766">
        <v>134.44</v>
      </c>
      <c r="E766" t="str">
        <f>RIGHT(Airports[[#This Row],[ICAO]],3)</f>
        <v>GDR</v>
      </c>
      <c r="F7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t="s">
        <v>1674</v>
      </c>
      <c r="B767" t="s">
        <v>1675</v>
      </c>
      <c r="C767">
        <v>-18.625556</v>
      </c>
      <c r="D767">
        <v>139.233611</v>
      </c>
      <c r="E767" t="str">
        <f>RIGHT(Airports[[#This Row],[ICAO]],3)</f>
        <v>GDS</v>
      </c>
      <c r="F7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t="s">
        <v>1676</v>
      </c>
      <c r="B768" t="s">
        <v>1677</v>
      </c>
      <c r="C768">
        <v>-20.25</v>
      </c>
      <c r="D768">
        <v>142.44</v>
      </c>
      <c r="E768" t="str">
        <f>RIGHT(Airports[[#This Row],[ICAO]],3)</f>
        <v>GDV</v>
      </c>
      <c r="F7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t="s">
        <v>1678</v>
      </c>
      <c r="B769" t="s">
        <v>1679</v>
      </c>
      <c r="C769">
        <v>-14.206666999999999</v>
      </c>
      <c r="D769">
        <v>127.349722</v>
      </c>
      <c r="E769" t="str">
        <f>RIGHT(Airports[[#This Row],[ICAO]],3)</f>
        <v>GEE</v>
      </c>
      <c r="F7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t="s">
        <v>1680</v>
      </c>
      <c r="B770" t="s">
        <v>1681</v>
      </c>
      <c r="C770">
        <v>-38.151111</v>
      </c>
      <c r="D770">
        <v>144.363889</v>
      </c>
      <c r="E770" t="str">
        <f>RIGHT(Airports[[#This Row],[ICAO]],3)</f>
        <v>GEH</v>
      </c>
      <c r="F7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t="s">
        <v>1682</v>
      </c>
      <c r="B771" t="s">
        <v>1683</v>
      </c>
      <c r="C771">
        <v>-28.796111</v>
      </c>
      <c r="D771">
        <v>114.7075</v>
      </c>
      <c r="E771" t="str">
        <f>RIGHT(Airports[[#This Row],[ICAO]],3)</f>
        <v>GEL</v>
      </c>
      <c r="F7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t="s">
        <v>1684</v>
      </c>
      <c r="B772" t="s">
        <v>1685</v>
      </c>
      <c r="C772">
        <v>-22.822500000000002</v>
      </c>
      <c r="D772">
        <v>150.332222</v>
      </c>
      <c r="E772" t="str">
        <f>RIGHT(Airports[[#This Row],[ICAO]],3)</f>
        <v>GEN</v>
      </c>
      <c r="F7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t="s">
        <v>1686</v>
      </c>
      <c r="B773" t="s">
        <v>1687</v>
      </c>
      <c r="C773">
        <v>-29.759443999999998</v>
      </c>
      <c r="D773">
        <v>153.03</v>
      </c>
      <c r="E773" t="str">
        <f>RIGHT(Airports[[#This Row],[ICAO]],3)</f>
        <v>GFN</v>
      </c>
      <c r="F7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t="s">
        <v>1688</v>
      </c>
      <c r="B774" t="s">
        <v>1689</v>
      </c>
      <c r="C774">
        <v>-28.765000000000001</v>
      </c>
      <c r="D774">
        <v>116.971667</v>
      </c>
      <c r="E774" t="str">
        <f>RIGHT(Airports[[#This Row],[ICAO]],3)</f>
        <v>GGE</v>
      </c>
      <c r="F7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t="s">
        <v>1690</v>
      </c>
      <c r="B775" t="s">
        <v>1691</v>
      </c>
      <c r="C775">
        <v>-32.298333</v>
      </c>
      <c r="D775">
        <v>149.561667</v>
      </c>
      <c r="E775" t="str">
        <f>RIGHT(Airports[[#This Row],[ICAO]],3)</f>
        <v>GGG</v>
      </c>
      <c r="F7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t="s">
        <v>1692</v>
      </c>
      <c r="B776" t="s">
        <v>1693</v>
      </c>
      <c r="C776">
        <v>-33.991943999999997</v>
      </c>
      <c r="D776">
        <v>145.719167</v>
      </c>
      <c r="E776" t="str">
        <f>RIGHT(Airports[[#This Row],[ICAO]],3)</f>
        <v>GGI</v>
      </c>
      <c r="F7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t="s">
        <v>1694</v>
      </c>
      <c r="B777" t="s">
        <v>1695</v>
      </c>
      <c r="C777">
        <v>-14.851388999999999</v>
      </c>
      <c r="D777">
        <v>143.27361099999999</v>
      </c>
      <c r="E777" t="str">
        <f>RIGHT(Airports[[#This Row],[ICAO]],3)</f>
        <v>GGL</v>
      </c>
      <c r="F7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t="s">
        <v>1696</v>
      </c>
      <c r="B778" t="s">
        <v>1697</v>
      </c>
      <c r="C778">
        <v>-31.299167000000001</v>
      </c>
      <c r="D778">
        <v>150.920278</v>
      </c>
      <c r="E778" t="str">
        <f>RIGHT(Airports[[#This Row],[ICAO]],3)</f>
        <v>GGO</v>
      </c>
      <c r="F7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t="s">
        <v>1698</v>
      </c>
      <c r="B779" t="s">
        <v>1699</v>
      </c>
      <c r="C779">
        <v>-19.716667000000001</v>
      </c>
      <c r="D779">
        <v>144.36666700000001</v>
      </c>
      <c r="E779" t="str">
        <f>RIGHT(Airports[[#This Row],[ICAO]],3)</f>
        <v>GGS</v>
      </c>
      <c r="F7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t="s">
        <v>1700</v>
      </c>
      <c r="B780" t="s">
        <v>1701</v>
      </c>
      <c r="C780">
        <v>-18.251944000000002</v>
      </c>
      <c r="D780">
        <v>145.125833</v>
      </c>
      <c r="E780" t="str">
        <f>RIGHT(Airports[[#This Row],[ICAO]],3)</f>
        <v>GHG</v>
      </c>
      <c r="F7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t="s">
        <v>1702</v>
      </c>
      <c r="B781" t="s">
        <v>1703</v>
      </c>
      <c r="C781">
        <v>-38.660277999999998</v>
      </c>
      <c r="D781">
        <v>143.106111</v>
      </c>
      <c r="E781" t="str">
        <f>RIGHT(Airports[[#This Row],[ICAO]],3)</f>
        <v>GHP</v>
      </c>
      <c r="F7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t="s">
        <v>1704</v>
      </c>
      <c r="B782" t="s">
        <v>1705</v>
      </c>
      <c r="C782">
        <v>-23.824999999999999</v>
      </c>
      <c r="D782">
        <v>113.53</v>
      </c>
      <c r="E782" t="str">
        <f>RIGHT(Airports[[#This Row],[ICAO]],3)</f>
        <v>GHS</v>
      </c>
      <c r="F7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t="s">
        <v>1706</v>
      </c>
      <c r="B783" t="s">
        <v>1707</v>
      </c>
      <c r="C783">
        <v>-27.969567000000001</v>
      </c>
      <c r="D783">
        <v>153.42347599999999</v>
      </c>
      <c r="E783" t="str">
        <f>RIGHT(Airports[[#This Row],[ICAO]],3)</f>
        <v>GHT</v>
      </c>
      <c r="F7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t="s">
        <v>1708</v>
      </c>
      <c r="B784" t="s">
        <v>1709</v>
      </c>
      <c r="C784">
        <v>-22.581111</v>
      </c>
      <c r="D784">
        <v>120.035556</v>
      </c>
      <c r="E784" t="str">
        <f>RIGHT(Airports[[#This Row],[ICAO]],3)</f>
        <v>GIA</v>
      </c>
      <c r="F7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t="s">
        <v>1710</v>
      </c>
      <c r="B785" t="s">
        <v>1711</v>
      </c>
      <c r="C785">
        <v>-16.418610999999999</v>
      </c>
      <c r="D785">
        <v>126.446111</v>
      </c>
      <c r="E785" t="str">
        <f>RIGHT(Airports[[#This Row],[ICAO]],3)</f>
        <v>GIB</v>
      </c>
      <c r="F7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t="s">
        <v>1712</v>
      </c>
      <c r="B786" t="s">
        <v>1713</v>
      </c>
      <c r="C786">
        <v>-27.27</v>
      </c>
      <c r="D786">
        <v>119.40472200000001</v>
      </c>
      <c r="E786" t="str">
        <f>RIGHT(Airports[[#This Row],[ICAO]],3)</f>
        <v>GID</v>
      </c>
      <c r="F7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t="s">
        <v>1714</v>
      </c>
      <c r="B787" t="s">
        <v>1715</v>
      </c>
      <c r="C787">
        <v>-24.049721999999999</v>
      </c>
      <c r="D787">
        <v>116.216667</v>
      </c>
      <c r="E787" t="str">
        <f>RIGHT(Airports[[#This Row],[ICAO]],3)</f>
        <v>GIF</v>
      </c>
      <c r="F7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t="s">
        <v>1716</v>
      </c>
      <c r="B788" t="s">
        <v>1717</v>
      </c>
      <c r="C788">
        <v>-31.465278000000001</v>
      </c>
      <c r="D788">
        <v>115.863333</v>
      </c>
      <c r="E788" t="str">
        <f>RIGHT(Airports[[#This Row],[ICAO]],3)</f>
        <v>GIG</v>
      </c>
      <c r="F7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t="s">
        <v>1718</v>
      </c>
      <c r="B789" t="s">
        <v>1719</v>
      </c>
      <c r="C789">
        <v>-31.696943999999998</v>
      </c>
      <c r="D789">
        <v>148.636111</v>
      </c>
      <c r="E789" t="str">
        <f>RIGHT(Airports[[#This Row],[ICAO]],3)</f>
        <v>GIL</v>
      </c>
      <c r="F7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t="s">
        <v>1720</v>
      </c>
      <c r="B790" t="s">
        <v>1721</v>
      </c>
      <c r="C790">
        <v>-22.683056000000001</v>
      </c>
      <c r="D790">
        <v>114.36666700000001</v>
      </c>
      <c r="E790" t="str">
        <f>RIGHT(Airports[[#This Row],[ICAO]],3)</f>
        <v>GIR</v>
      </c>
      <c r="F7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t="s">
        <v>1722</v>
      </c>
      <c r="B791" t="s">
        <v>1723</v>
      </c>
      <c r="C791">
        <v>-37.5</v>
      </c>
      <c r="D791">
        <v>144.583056</v>
      </c>
      <c r="E791" t="str">
        <f>RIGHT(Airports[[#This Row],[ICAO]],3)</f>
        <v>GIS</v>
      </c>
      <c r="F7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t="s">
        <v>1724</v>
      </c>
      <c r="B792" t="s">
        <v>1725</v>
      </c>
      <c r="C792">
        <v>-23.183056000000001</v>
      </c>
      <c r="D792">
        <v>150.94138899999999</v>
      </c>
      <c r="E792" t="str">
        <f>RIGHT(Airports[[#This Row],[ICAO]],3)</f>
        <v>GKL</v>
      </c>
      <c r="F7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t="s">
        <v>1726</v>
      </c>
      <c r="B793" t="s">
        <v>1727</v>
      </c>
      <c r="C793">
        <v>-23.869721999999999</v>
      </c>
      <c r="D793">
        <v>151.22277800000001</v>
      </c>
      <c r="E793" t="str">
        <f>RIGHT(Airports[[#This Row],[ICAO]],3)</f>
        <v>GLA</v>
      </c>
      <c r="F7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t="s">
        <v>1728</v>
      </c>
      <c r="B794" t="s">
        <v>1729</v>
      </c>
      <c r="C794">
        <v>-34.810277999999997</v>
      </c>
      <c r="D794">
        <v>149.72638900000001</v>
      </c>
      <c r="E794" t="str">
        <f>RIGHT(Airports[[#This Row],[ICAO]],3)</f>
        <v>GLB</v>
      </c>
      <c r="F7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t="s">
        <v>1730</v>
      </c>
      <c r="B795" t="s">
        <v>1731</v>
      </c>
      <c r="C795">
        <v>-31.616667</v>
      </c>
      <c r="D795">
        <v>148.19972200000001</v>
      </c>
      <c r="E795" t="str">
        <f>RIGHT(Airports[[#This Row],[ICAO]],3)</f>
        <v>GLC</v>
      </c>
      <c r="F7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t="s">
        <v>1732</v>
      </c>
      <c r="B796" t="s">
        <v>1733</v>
      </c>
      <c r="C796">
        <v>-30.966667000000001</v>
      </c>
      <c r="D796">
        <v>135.774722</v>
      </c>
      <c r="E796" t="str">
        <f>RIGHT(Airports[[#This Row],[ICAO]],3)</f>
        <v>GLD</v>
      </c>
      <c r="F7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t="s">
        <v>1734</v>
      </c>
      <c r="B797" t="s">
        <v>1735</v>
      </c>
      <c r="C797">
        <v>-24.798888999999999</v>
      </c>
      <c r="D797">
        <v>139.596667</v>
      </c>
      <c r="E797" t="str">
        <f>RIGHT(Airports[[#This Row],[ICAO]],3)</f>
        <v>GLE</v>
      </c>
      <c r="F7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t="s">
        <v>1736</v>
      </c>
      <c r="B798" t="s">
        <v>1737</v>
      </c>
      <c r="C798">
        <v>-23.416388999999999</v>
      </c>
      <c r="D798">
        <v>132.283333</v>
      </c>
      <c r="E798" t="str">
        <f>RIGHT(Airports[[#This Row],[ICAO]],3)</f>
        <v>GLH</v>
      </c>
      <c r="F7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t="s">
        <v>1738</v>
      </c>
      <c r="B799" t="s">
        <v>1739</v>
      </c>
      <c r="C799">
        <v>-29.675000000000001</v>
      </c>
      <c r="D799">
        <v>151.68944400000001</v>
      </c>
      <c r="E799" t="str">
        <f>RIGHT(Airports[[#This Row],[ICAO]],3)</f>
        <v>GLI</v>
      </c>
      <c r="F7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t="s">
        <v>1740</v>
      </c>
      <c r="B800" t="s">
        <v>1741</v>
      </c>
      <c r="C800">
        <v>-33.787500000000001</v>
      </c>
      <c r="D800">
        <v>150.608611</v>
      </c>
      <c r="E800" t="str">
        <f>RIGHT(Airports[[#This Row],[ICAO]],3)</f>
        <v>GLK</v>
      </c>
      <c r="F8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t="s">
        <v>1742</v>
      </c>
      <c r="B801" t="s">
        <v>1743</v>
      </c>
      <c r="C801">
        <v>-32.261111</v>
      </c>
      <c r="D801">
        <v>138.64416700000001</v>
      </c>
      <c r="E801" t="str">
        <f>RIGHT(Airports[[#This Row],[ICAO]],3)</f>
        <v>GLN</v>
      </c>
      <c r="F8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t="s">
        <v>1744</v>
      </c>
      <c r="B802" t="s">
        <v>1745</v>
      </c>
      <c r="C802">
        <v>-22.888888999999999</v>
      </c>
      <c r="D802">
        <v>138.82416699999999</v>
      </c>
      <c r="E802" t="str">
        <f>RIGHT(Airports[[#This Row],[ICAO]],3)</f>
        <v>GLO</v>
      </c>
      <c r="F8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t="s">
        <v>1746</v>
      </c>
      <c r="B803" t="s">
        <v>1747</v>
      </c>
      <c r="C803">
        <v>-19.116667</v>
      </c>
      <c r="D803">
        <v>137.91666699999999</v>
      </c>
      <c r="E803" t="str">
        <f>RIGHT(Airports[[#This Row],[ICAO]],3)</f>
        <v>GLP</v>
      </c>
      <c r="F8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t="s">
        <v>1748</v>
      </c>
      <c r="B804" t="s">
        <v>1749</v>
      </c>
      <c r="C804">
        <v>-17.316666999999999</v>
      </c>
      <c r="D804">
        <v>126.066389</v>
      </c>
      <c r="E804" t="str">
        <f>RIGHT(Airports[[#This Row],[ICAO]],3)</f>
        <v>GLR</v>
      </c>
      <c r="F8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t="s">
        <v>1750</v>
      </c>
      <c r="B805" t="s">
        <v>1751</v>
      </c>
      <c r="C805">
        <v>-25.05</v>
      </c>
      <c r="D805">
        <v>128.30000000000001</v>
      </c>
      <c r="E805" t="str">
        <f>RIGHT(Airports[[#This Row],[ICAO]],3)</f>
        <v>GLS</v>
      </c>
      <c r="F8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t="s">
        <v>1752</v>
      </c>
      <c r="B806" t="s">
        <v>1753</v>
      </c>
      <c r="C806">
        <v>-12.056111</v>
      </c>
      <c r="D806">
        <v>134.76222200000001</v>
      </c>
      <c r="E806" t="str">
        <f>RIGHT(Airports[[#This Row],[ICAO]],3)</f>
        <v>GMG</v>
      </c>
      <c r="F8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t="s">
        <v>1754</v>
      </c>
      <c r="B807" t="s">
        <v>1755</v>
      </c>
      <c r="C807">
        <v>-37.049722000000003</v>
      </c>
      <c r="D807">
        <v>142.283333</v>
      </c>
      <c r="E807" t="str">
        <f>RIGHT(Airports[[#This Row],[ICAO]],3)</f>
        <v>GMP</v>
      </c>
      <c r="F8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t="s">
        <v>1756</v>
      </c>
      <c r="B808" t="s">
        <v>1757</v>
      </c>
      <c r="C808">
        <v>-28.203333000000001</v>
      </c>
      <c r="D808">
        <v>151.77166700000001</v>
      </c>
      <c r="E808" t="str">
        <f>RIGHT(Airports[[#This Row],[ICAO]],3)</f>
        <v>GMS</v>
      </c>
      <c r="F8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t="s">
        <v>1758</v>
      </c>
      <c r="B809" t="s">
        <v>1759</v>
      </c>
      <c r="C809">
        <v>-27.763611000000001</v>
      </c>
      <c r="D809">
        <v>151.92500000000001</v>
      </c>
      <c r="E809" t="str">
        <f>RIGHT(Airports[[#This Row],[ICAO]],3)</f>
        <v>GMT</v>
      </c>
      <c r="F8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t="s">
        <v>1760</v>
      </c>
      <c r="B810" t="s">
        <v>1761</v>
      </c>
      <c r="C810">
        <v>-12.647221999999999</v>
      </c>
      <c r="D810">
        <v>134.07416699999999</v>
      </c>
      <c r="E810" t="str">
        <f>RIGHT(Airports[[#This Row],[ICAO]],3)</f>
        <v>GMW</v>
      </c>
      <c r="F8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t="s">
        <v>1762</v>
      </c>
      <c r="B811" t="s">
        <v>1763</v>
      </c>
      <c r="C811">
        <v>-20.097778000000002</v>
      </c>
      <c r="D811">
        <v>140.368889</v>
      </c>
      <c r="E811" t="str">
        <f>RIGHT(Airports[[#This Row],[ICAO]],3)</f>
        <v>GNA</v>
      </c>
      <c r="F8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t="s">
        <v>1764</v>
      </c>
      <c r="B812" t="s">
        <v>1765</v>
      </c>
      <c r="C812">
        <v>-38.164999999999999</v>
      </c>
      <c r="D812">
        <v>144.10749999999999</v>
      </c>
      <c r="E812" t="str">
        <f>RIGHT(Airports[[#This Row],[ICAO]],3)</f>
        <v>GNE</v>
      </c>
      <c r="F8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t="s">
        <v>1766</v>
      </c>
      <c r="B813" t="s">
        <v>1767</v>
      </c>
      <c r="C813">
        <v>-16.758333</v>
      </c>
      <c r="D813">
        <v>145.97499999999999</v>
      </c>
      <c r="E813" t="str">
        <f>RIGHT(Airports[[#This Row],[ICAO]],3)</f>
        <v>GNI</v>
      </c>
      <c r="F8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t="s">
        <v>1768</v>
      </c>
      <c r="B814" t="s">
        <v>1769</v>
      </c>
      <c r="C814">
        <v>-23.754956</v>
      </c>
      <c r="D814">
        <v>148.538455</v>
      </c>
      <c r="E814" t="str">
        <f>RIGHT(Airports[[#This Row],[ICAO]],3)</f>
        <v>GNO</v>
      </c>
      <c r="F8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t="s">
        <v>1770</v>
      </c>
      <c r="B815" t="s">
        <v>1771</v>
      </c>
      <c r="C815">
        <v>-18.476944</v>
      </c>
      <c r="D815">
        <v>141.12138899999999</v>
      </c>
      <c r="E815" t="str">
        <f>RIGHT(Airports[[#This Row],[ICAO]],3)</f>
        <v>GNR</v>
      </c>
      <c r="F8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t="s">
        <v>1772</v>
      </c>
      <c r="B816" t="s">
        <v>1773</v>
      </c>
      <c r="C816">
        <v>-19</v>
      </c>
      <c r="D816">
        <v>145.01666700000001</v>
      </c>
      <c r="E816" t="str">
        <f>RIGHT(Airports[[#This Row],[ICAO]],3)</f>
        <v>GNV</v>
      </c>
      <c r="F8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t="s">
        <v>1774</v>
      </c>
      <c r="B817" t="s">
        <v>1775</v>
      </c>
      <c r="C817">
        <v>-33.976944000000003</v>
      </c>
      <c r="D817">
        <v>118.011111</v>
      </c>
      <c r="E817" t="str">
        <f>RIGHT(Airports[[#This Row],[ICAO]],3)</f>
        <v>GNW</v>
      </c>
      <c r="F8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t="s">
        <v>1776</v>
      </c>
      <c r="B818" t="s">
        <v>1777</v>
      </c>
      <c r="C818">
        <v>-31.366667</v>
      </c>
      <c r="D818">
        <v>116.883056</v>
      </c>
      <c r="E818" t="str">
        <f>RIGHT(Airports[[#This Row],[ICAO]],3)</f>
        <v>GOM</v>
      </c>
      <c r="F8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t="s">
        <v>1778</v>
      </c>
      <c r="B819" t="s">
        <v>1779</v>
      </c>
      <c r="C819">
        <v>-19.771944000000001</v>
      </c>
      <c r="D819">
        <v>139.40111099999999</v>
      </c>
      <c r="E819" t="str">
        <f>RIGHT(Airports[[#This Row],[ICAO]],3)</f>
        <v>GON</v>
      </c>
      <c r="F8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t="s">
        <v>1780</v>
      </c>
      <c r="B820" t="s">
        <v>1781</v>
      </c>
      <c r="C820">
        <v>-15.466388999999999</v>
      </c>
      <c r="D820">
        <v>133.183333</v>
      </c>
      <c r="E820" t="str">
        <f>RIGHT(Airports[[#This Row],[ICAO]],3)</f>
        <v>GOR</v>
      </c>
      <c r="F8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t="s">
        <v>1782</v>
      </c>
      <c r="B821" t="s">
        <v>1783</v>
      </c>
      <c r="C821">
        <v>-16.933056000000001</v>
      </c>
      <c r="D821">
        <v>145.852778</v>
      </c>
      <c r="E821" t="str">
        <f>RIGHT(Airports[[#This Row],[ICAO]],3)</f>
        <v>GOT</v>
      </c>
      <c r="F8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t="s">
        <v>1784</v>
      </c>
      <c r="B822" t="s">
        <v>1785</v>
      </c>
      <c r="C822">
        <v>-22.616667</v>
      </c>
      <c r="D822">
        <v>149.94972200000001</v>
      </c>
      <c r="E822" t="str">
        <f>RIGHT(Airports[[#This Row],[ICAO]],3)</f>
        <v>GPE</v>
      </c>
      <c r="F8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t="s">
        <v>1786</v>
      </c>
      <c r="B823" t="s">
        <v>1787</v>
      </c>
      <c r="C823">
        <v>-11.399167</v>
      </c>
      <c r="D823">
        <v>130.42527799999999</v>
      </c>
      <c r="E823" t="str">
        <f>RIGHT(Airports[[#This Row],[ICAO]],3)</f>
        <v>GPT</v>
      </c>
      <c r="F8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t="s">
        <v>1788</v>
      </c>
      <c r="B824" t="s">
        <v>1789</v>
      </c>
      <c r="C824">
        <v>-12.147500000000001</v>
      </c>
      <c r="D824">
        <v>135.5625</v>
      </c>
      <c r="E824" t="str">
        <f>RIGHT(Airports[[#This Row],[ICAO]],3)</f>
        <v>GRK</v>
      </c>
      <c r="F8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t="s">
        <v>1790</v>
      </c>
      <c r="B825" t="s">
        <v>1791</v>
      </c>
      <c r="C825">
        <v>-37.842500000000001</v>
      </c>
      <c r="D825">
        <v>148.00027800000001</v>
      </c>
      <c r="E825" t="str">
        <f>RIGHT(Airports[[#This Row],[ICAO]],3)</f>
        <v>GRL</v>
      </c>
      <c r="F8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t="s">
        <v>1792</v>
      </c>
      <c r="B826" t="s">
        <v>1793</v>
      </c>
      <c r="C826">
        <v>-28.034167</v>
      </c>
      <c r="D826">
        <v>123.814167</v>
      </c>
      <c r="E826" t="str">
        <f>RIGHT(Airports[[#This Row],[ICAO]],3)</f>
        <v>GRM</v>
      </c>
      <c r="F8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t="s">
        <v>1794</v>
      </c>
      <c r="B827" t="s">
        <v>1795</v>
      </c>
      <c r="C827">
        <v>-22.966667000000001</v>
      </c>
      <c r="D827">
        <v>149.35</v>
      </c>
      <c r="E827" t="str">
        <f>RIGHT(Airports[[#This Row],[ICAO]],3)</f>
        <v>GRN</v>
      </c>
      <c r="F8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t="s">
        <v>1796</v>
      </c>
      <c r="B828" t="s">
        <v>1797</v>
      </c>
      <c r="C828">
        <v>-28.313333</v>
      </c>
      <c r="D828">
        <v>151.44833299999999</v>
      </c>
      <c r="E828" t="str">
        <f>RIGHT(Airports[[#This Row],[ICAO]],3)</f>
        <v>GRO</v>
      </c>
      <c r="F8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t="s">
        <v>1798</v>
      </c>
      <c r="B829" t="s">
        <v>1799</v>
      </c>
      <c r="C829">
        <v>-25.674721999999999</v>
      </c>
      <c r="D829">
        <v>121.358056</v>
      </c>
      <c r="E829" t="str">
        <f>RIGHT(Airports[[#This Row],[ICAO]],3)</f>
        <v>GRP</v>
      </c>
      <c r="F8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t="s">
        <v>1800</v>
      </c>
      <c r="B830" t="s">
        <v>1801</v>
      </c>
      <c r="C830">
        <v>-18.078333000000001</v>
      </c>
      <c r="D830">
        <v>145.40638899999999</v>
      </c>
      <c r="E830" t="str">
        <f>RIGHT(Airports[[#This Row],[ICAO]],3)</f>
        <v>GRU</v>
      </c>
      <c r="F8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t="s">
        <v>1802</v>
      </c>
      <c r="B831" t="s">
        <v>1803</v>
      </c>
      <c r="C831">
        <v>-25.049721999999999</v>
      </c>
      <c r="D831">
        <v>115.19972199999999</v>
      </c>
      <c r="E831" t="str">
        <f>RIGHT(Airports[[#This Row],[ICAO]],3)</f>
        <v>GSC</v>
      </c>
      <c r="F8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t="s">
        <v>1804</v>
      </c>
      <c r="B832" t="s">
        <v>1805</v>
      </c>
      <c r="C832">
        <v>-31.523889</v>
      </c>
      <c r="D832">
        <v>115.946389</v>
      </c>
      <c r="E832" t="str">
        <f>RIGHT(Airports[[#This Row],[ICAO]],3)</f>
        <v>GSD</v>
      </c>
      <c r="F8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t="s">
        <v>1806</v>
      </c>
      <c r="B833" t="s">
        <v>1807</v>
      </c>
      <c r="C833">
        <v>-29.607222</v>
      </c>
      <c r="D833">
        <v>117.40305600000001</v>
      </c>
      <c r="E833" t="str">
        <f>RIGHT(Airports[[#This Row],[ICAO]],3)</f>
        <v>GSN</v>
      </c>
      <c r="F8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t="s">
        <v>1808</v>
      </c>
      <c r="B834" t="s">
        <v>1809</v>
      </c>
      <c r="C834">
        <v>-16.960833000000001</v>
      </c>
      <c r="D834">
        <v>145.74972199999999</v>
      </c>
      <c r="E834" t="str">
        <f>RIGHT(Airports[[#This Row],[ICAO]],3)</f>
        <v>GST</v>
      </c>
      <c r="F8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t="s">
        <v>1810</v>
      </c>
      <c r="B835" t="s">
        <v>1811</v>
      </c>
      <c r="C835">
        <v>-12.763889000000001</v>
      </c>
      <c r="D835">
        <v>136.567778</v>
      </c>
      <c r="E835" t="str">
        <f>RIGHT(Airports[[#This Row],[ICAO]],3)</f>
        <v>GTA</v>
      </c>
      <c r="F8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t="s">
        <v>1812</v>
      </c>
      <c r="B836" t="s">
        <v>1813</v>
      </c>
      <c r="C836">
        <v>-22.97</v>
      </c>
      <c r="D836">
        <v>134.2475</v>
      </c>
      <c r="E836" t="str">
        <f>RIGHT(Airports[[#This Row],[ICAO]],3)</f>
        <v>GTC</v>
      </c>
      <c r="F8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t="s">
        <v>1814</v>
      </c>
      <c r="B837" t="s">
        <v>1815</v>
      </c>
      <c r="C837">
        <v>-13.973333</v>
      </c>
      <c r="D837">
        <v>136.46083300000001</v>
      </c>
      <c r="E837" t="str">
        <f>RIGHT(Airports[[#This Row],[ICAO]],3)</f>
        <v>GTE</v>
      </c>
      <c r="F8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t="s">
        <v>1816</v>
      </c>
      <c r="B838" t="s">
        <v>1817</v>
      </c>
      <c r="C838">
        <v>-34.250833</v>
      </c>
      <c r="D838">
        <v>146.06722199999999</v>
      </c>
      <c r="E838" t="str">
        <f>RIGHT(Airports[[#This Row],[ICAO]],3)</f>
        <v>GTH</v>
      </c>
      <c r="F8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t="s">
        <v>1818</v>
      </c>
      <c r="B839" t="s">
        <v>1819</v>
      </c>
      <c r="C839">
        <v>-12.239722</v>
      </c>
      <c r="D839">
        <v>133.806667</v>
      </c>
      <c r="E839" t="str">
        <f>RIGHT(Airports[[#This Row],[ICAO]],3)</f>
        <v>GTJ</v>
      </c>
      <c r="F8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t="s">
        <v>1820</v>
      </c>
      <c r="B840" t="s">
        <v>1821</v>
      </c>
      <c r="C840">
        <v>-22.989166999999998</v>
      </c>
      <c r="D840">
        <v>148.57749999999999</v>
      </c>
      <c r="E840" t="str">
        <f>RIGHT(Airports[[#This Row],[ICAO]],3)</f>
        <v>GTM</v>
      </c>
      <c r="F8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t="s">
        <v>1822</v>
      </c>
      <c r="B841" t="s">
        <v>1823</v>
      </c>
      <c r="C841">
        <v>-18.303332999999999</v>
      </c>
      <c r="D841">
        <v>143.530833</v>
      </c>
      <c r="E841" t="str">
        <f>RIGHT(Airports[[#This Row],[ICAO]],3)</f>
        <v>GTN</v>
      </c>
      <c r="F8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t="s">
        <v>1824</v>
      </c>
      <c r="B842" t="s">
        <v>1825</v>
      </c>
      <c r="C842">
        <v>-41.08</v>
      </c>
      <c r="D842">
        <v>146.84</v>
      </c>
      <c r="E842" t="str">
        <f>RIGHT(Airports[[#This Row],[ICAO]],3)</f>
        <v>GTO</v>
      </c>
      <c r="F8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t="s">
        <v>1826</v>
      </c>
      <c r="B843" t="s">
        <v>1827</v>
      </c>
      <c r="C843">
        <v>-12.326667</v>
      </c>
      <c r="D843">
        <v>133.99333300000001</v>
      </c>
      <c r="E843" t="str">
        <f>RIGHT(Airports[[#This Row],[ICAO]],3)</f>
        <v>GUB</v>
      </c>
      <c r="F8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t="s">
        <v>1828</v>
      </c>
      <c r="B844" t="s">
        <v>1829</v>
      </c>
      <c r="C844">
        <v>-28.633056</v>
      </c>
      <c r="D844">
        <v>116.283056</v>
      </c>
      <c r="E844" t="str">
        <f>RIGHT(Airports[[#This Row],[ICAO]],3)</f>
        <v>GUL</v>
      </c>
      <c r="F8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t="s">
        <v>1830</v>
      </c>
      <c r="B845" t="s">
        <v>1831</v>
      </c>
      <c r="C845">
        <v>-12.594443999999999</v>
      </c>
      <c r="D845">
        <v>136.230278</v>
      </c>
      <c r="E845" t="str">
        <f>RIGHT(Airports[[#This Row],[ICAO]],3)</f>
        <v>GUM</v>
      </c>
      <c r="F8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t="s">
        <v>1832</v>
      </c>
      <c r="B846" t="s">
        <v>1833</v>
      </c>
      <c r="C846">
        <v>-17.953056</v>
      </c>
      <c r="D846">
        <v>145.153333</v>
      </c>
      <c r="E846" t="str">
        <f>RIGHT(Airports[[#This Row],[ICAO]],3)</f>
        <v>GUW</v>
      </c>
      <c r="F8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t="s">
        <v>1834</v>
      </c>
      <c r="B847" t="s">
        <v>1835</v>
      </c>
      <c r="C847">
        <v>-43.231667000000002</v>
      </c>
      <c r="D847">
        <v>147.00027800000001</v>
      </c>
      <c r="E847" t="str">
        <f>RIGHT(Airports[[#This Row],[ICAO]],3)</f>
        <v>GVE</v>
      </c>
      <c r="F8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t="s">
        <v>1836</v>
      </c>
      <c r="B848" t="s">
        <v>1837</v>
      </c>
      <c r="C848">
        <v>-35.481943999999999</v>
      </c>
      <c r="D848">
        <v>138.75138899999999</v>
      </c>
      <c r="E848" t="str">
        <f>RIGHT(Airports[[#This Row],[ICAO]],3)</f>
        <v>GWA</v>
      </c>
      <c r="F8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t="s">
        <v>1838</v>
      </c>
      <c r="B849" t="s">
        <v>1839</v>
      </c>
      <c r="C849">
        <v>-25.184443999999999</v>
      </c>
      <c r="D849">
        <v>142.68888899999999</v>
      </c>
      <c r="E849" t="str">
        <f>RIGHT(Airports[[#This Row],[ICAO]],3)</f>
        <v>GWD</v>
      </c>
      <c r="F8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t="s">
        <v>1840</v>
      </c>
      <c r="B850" t="s">
        <v>1841</v>
      </c>
      <c r="C850">
        <v>-19.651944</v>
      </c>
      <c r="D850">
        <v>115.929722</v>
      </c>
      <c r="E850" t="str">
        <f>RIGHT(Airports[[#This Row],[ICAO]],3)</f>
        <v>GWN</v>
      </c>
      <c r="F8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t="s">
        <v>1842</v>
      </c>
      <c r="B851" t="s">
        <v>1843</v>
      </c>
      <c r="C851">
        <v>-26.282778</v>
      </c>
      <c r="D851">
        <v>152.701944</v>
      </c>
      <c r="E851" t="str">
        <f>RIGHT(Airports[[#This Row],[ICAO]],3)</f>
        <v>GYM</v>
      </c>
      <c r="F8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t="s">
        <v>1844</v>
      </c>
      <c r="B852" t="s">
        <v>1845</v>
      </c>
      <c r="C852">
        <v>-23.450555999999999</v>
      </c>
      <c r="D852">
        <v>131.85138900000001</v>
      </c>
      <c r="E852" t="str">
        <f>RIGHT(Airports[[#This Row],[ICAO]],3)</f>
        <v>HAA</v>
      </c>
      <c r="F8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t="s">
        <v>1846</v>
      </c>
      <c r="B853" t="s">
        <v>1847</v>
      </c>
      <c r="C853">
        <v>-20.116667</v>
      </c>
      <c r="D853">
        <v>148.433333</v>
      </c>
      <c r="E853" t="str">
        <f>RIGHT(Airports[[#This Row],[ICAO]],3)</f>
        <v>HAB</v>
      </c>
      <c r="F8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t="s">
        <v>1848</v>
      </c>
      <c r="B854" t="s">
        <v>1849</v>
      </c>
      <c r="C854">
        <v>-13.6</v>
      </c>
      <c r="D854">
        <v>131.46638899999999</v>
      </c>
      <c r="E854" t="str">
        <f>RIGHT(Airports[[#This Row],[ICAO]],3)</f>
        <v>HAC</v>
      </c>
      <c r="F8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t="s">
        <v>1850</v>
      </c>
      <c r="B855" t="s">
        <v>1851</v>
      </c>
      <c r="C855">
        <v>-34.5625</v>
      </c>
      <c r="D855">
        <v>148.39166700000001</v>
      </c>
      <c r="E855" t="str">
        <f>RIGHT(Airports[[#This Row],[ICAO]],3)</f>
        <v>HAE</v>
      </c>
      <c r="F8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t="s">
        <v>1852</v>
      </c>
      <c r="B856" t="s">
        <v>1853</v>
      </c>
      <c r="C856">
        <v>-31</v>
      </c>
      <c r="D856">
        <v>126.083333</v>
      </c>
      <c r="E856" t="str">
        <f>RIGHT(Airports[[#This Row],[ICAO]],3)</f>
        <v>HAG</v>
      </c>
      <c r="F8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t="s">
        <v>1854</v>
      </c>
      <c r="B857" t="s">
        <v>1855</v>
      </c>
      <c r="C857">
        <v>-35.144444</v>
      </c>
      <c r="D857">
        <v>149.042778</v>
      </c>
      <c r="E857" t="str">
        <f>RIGHT(Airports[[#This Row],[ICAO]],3)</f>
        <v>HAL</v>
      </c>
      <c r="F8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t="s">
        <v>1856</v>
      </c>
      <c r="B858" t="s">
        <v>1857</v>
      </c>
      <c r="C858">
        <v>-32.941389000000001</v>
      </c>
      <c r="D858">
        <v>117.864722</v>
      </c>
      <c r="E858" t="str">
        <f>RIGHT(Airports[[#This Row],[ICAO]],3)</f>
        <v>HAR</v>
      </c>
      <c r="F8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t="s">
        <v>1858</v>
      </c>
      <c r="B859" t="s">
        <v>1859</v>
      </c>
      <c r="C859">
        <v>-31.854721999999999</v>
      </c>
      <c r="D859">
        <v>138.468333</v>
      </c>
      <c r="E859" t="str">
        <f>RIGHT(Airports[[#This Row],[ICAO]],3)</f>
        <v>HAW</v>
      </c>
      <c r="F8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t="s">
        <v>1860</v>
      </c>
      <c r="B860" t="s">
        <v>1861</v>
      </c>
      <c r="C860">
        <v>-34.531388999999997</v>
      </c>
      <c r="D860">
        <v>144.829722</v>
      </c>
      <c r="E860" t="str">
        <f>RIGHT(Airports[[#This Row],[ICAO]],3)</f>
        <v>HAY</v>
      </c>
      <c r="F8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t="s">
        <v>1862</v>
      </c>
      <c r="B861" t="s">
        <v>1863</v>
      </c>
      <c r="C861">
        <v>-27.049721999999999</v>
      </c>
      <c r="D861">
        <v>153.05000000000001</v>
      </c>
      <c r="E861" t="str">
        <f>RIGHT(Airports[[#This Row],[ICAO]],3)</f>
        <v>HAZ</v>
      </c>
      <c r="F8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t="s">
        <v>1864</v>
      </c>
      <c r="B862" t="s">
        <v>1865</v>
      </c>
      <c r="C862">
        <v>-25.318888999999999</v>
      </c>
      <c r="D862">
        <v>152.880278</v>
      </c>
      <c r="E862" t="str">
        <f>RIGHT(Airports[[#This Row],[ICAO]],3)</f>
        <v>HBA</v>
      </c>
      <c r="F8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t="s">
        <v>1866</v>
      </c>
      <c r="B863" t="s">
        <v>1867</v>
      </c>
      <c r="C863">
        <v>-23.033055999999998</v>
      </c>
      <c r="D863">
        <v>139.23333299999999</v>
      </c>
      <c r="E863" t="str">
        <f>RIGHT(Airports[[#This Row],[ICAO]],3)</f>
        <v>HBD</v>
      </c>
      <c r="F8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t="s">
        <v>1868</v>
      </c>
      <c r="B864" t="s">
        <v>1869</v>
      </c>
      <c r="C864">
        <v>-37.748333000000002</v>
      </c>
      <c r="D864">
        <v>145.03611100000001</v>
      </c>
      <c r="E864" t="str">
        <f>RIGHT(Airports[[#This Row],[ICAO]],3)</f>
        <v>HBH</v>
      </c>
      <c r="F8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t="s">
        <v>1870</v>
      </c>
      <c r="B865" t="s">
        <v>1871</v>
      </c>
      <c r="C865">
        <v>-35.683332999999998</v>
      </c>
      <c r="D865">
        <v>147.316667</v>
      </c>
      <c r="E865" t="str">
        <f>RIGHT(Airports[[#This Row],[ICAO]],3)</f>
        <v>HBK</v>
      </c>
      <c r="F8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t="s">
        <v>1872</v>
      </c>
      <c r="B866" t="s">
        <v>1873</v>
      </c>
      <c r="C866">
        <v>-14.660594</v>
      </c>
      <c r="D866">
        <v>132.645341</v>
      </c>
      <c r="E866" t="str">
        <f>RIGHT(Airports[[#This Row],[ICAO]],3)</f>
        <v>HBP</v>
      </c>
      <c r="F8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t="s">
        <v>1874</v>
      </c>
      <c r="B867" t="s">
        <v>1875</v>
      </c>
      <c r="C867">
        <v>-16.491667</v>
      </c>
      <c r="D867">
        <v>130.62805599999999</v>
      </c>
      <c r="E867" t="str">
        <f>RIGHT(Airports[[#This Row],[ICAO]],3)</f>
        <v>HBR</v>
      </c>
      <c r="F8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t="s">
        <v>1876</v>
      </c>
      <c r="B868" t="s">
        <v>1877</v>
      </c>
      <c r="C868">
        <v>-24.549721999999999</v>
      </c>
      <c r="D868">
        <v>133.21638899999999</v>
      </c>
      <c r="E868" t="str">
        <f>RIGHT(Airports[[#This Row],[ICAO]],3)</f>
        <v>HBY</v>
      </c>
      <c r="F8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t="s">
        <v>1878</v>
      </c>
      <c r="B869" t="s">
        <v>1879</v>
      </c>
      <c r="C869">
        <v>-18.958611000000001</v>
      </c>
      <c r="D869">
        <v>138.06222199999999</v>
      </c>
      <c r="E869" t="str">
        <f>RIGHT(Airports[[#This Row],[ICAO]],3)</f>
        <v>HCS</v>
      </c>
      <c r="F8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t="s">
        <v>1880</v>
      </c>
      <c r="B870" t="s">
        <v>1881</v>
      </c>
      <c r="C870">
        <v>-15.221389</v>
      </c>
      <c r="D870">
        <v>134.07555600000001</v>
      </c>
      <c r="E870" t="str">
        <f>RIGHT(Airports[[#This Row],[ICAO]],3)</f>
        <v>HDD</v>
      </c>
      <c r="F8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t="s">
        <v>1882</v>
      </c>
      <c r="B871" t="s">
        <v>1883</v>
      </c>
      <c r="C871">
        <v>-21.321110999999998</v>
      </c>
      <c r="D871">
        <v>138.29499999999999</v>
      </c>
      <c r="E871" t="str">
        <f>RIGHT(Airports[[#This Row],[ICAO]],3)</f>
        <v>HDY</v>
      </c>
      <c r="F8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t="s">
        <v>1884</v>
      </c>
      <c r="B872" t="s">
        <v>1885</v>
      </c>
      <c r="C872">
        <v>-27.767499999999998</v>
      </c>
      <c r="D872">
        <v>153.33944399999999</v>
      </c>
      <c r="E872" t="str">
        <f>RIGHT(Airports[[#This Row],[ICAO]],3)</f>
        <v>HEC</v>
      </c>
      <c r="F8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t="s">
        <v>1886</v>
      </c>
      <c r="B873" t="s">
        <v>1887</v>
      </c>
      <c r="C873">
        <v>-17.466667000000001</v>
      </c>
      <c r="D873">
        <v>138.36666700000001</v>
      </c>
      <c r="E873" t="str">
        <f>RIGHT(Airports[[#This Row],[ICAO]],3)</f>
        <v>HEG</v>
      </c>
      <c r="F8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t="s">
        <v>1888</v>
      </c>
      <c r="B874" t="s">
        <v>1889</v>
      </c>
      <c r="C874">
        <v>-32.826428</v>
      </c>
      <c r="D874">
        <v>151.68593000000001</v>
      </c>
      <c r="E874" t="str">
        <f>RIGHT(Airports[[#This Row],[ICAO]],3)</f>
        <v>HEH</v>
      </c>
      <c r="F8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t="s">
        <v>1890</v>
      </c>
      <c r="B875" t="s">
        <v>1891</v>
      </c>
      <c r="C875">
        <v>-15.683332999999999</v>
      </c>
      <c r="D875">
        <v>145.21638899999999</v>
      </c>
      <c r="E875" t="str">
        <f>RIGHT(Airports[[#This Row],[ICAO]],3)</f>
        <v>HEL</v>
      </c>
      <c r="F8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t="s">
        <v>1892</v>
      </c>
      <c r="B876" t="s">
        <v>1893</v>
      </c>
      <c r="C876">
        <v>-19.381667</v>
      </c>
      <c r="D876">
        <v>146.464167</v>
      </c>
      <c r="E876" t="str">
        <f>RIGHT(Airports[[#This Row],[ICAO]],3)</f>
        <v>HER</v>
      </c>
      <c r="F8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t="s">
        <v>1894</v>
      </c>
      <c r="B877" t="s">
        <v>1895</v>
      </c>
      <c r="C877">
        <v>-23.225277999999999</v>
      </c>
      <c r="D877">
        <v>150.60333299999999</v>
      </c>
      <c r="E877" t="str">
        <f>RIGHT(Airports[[#This Row],[ICAO]],3)</f>
        <v>HEW</v>
      </c>
      <c r="F8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t="s">
        <v>1896</v>
      </c>
      <c r="B878" t="s">
        <v>1897</v>
      </c>
      <c r="C878">
        <v>-16.75</v>
      </c>
      <c r="D878">
        <v>133.5</v>
      </c>
      <c r="E878" t="str">
        <f>RIGHT(Airports[[#This Row],[ICAO]],3)</f>
        <v>HFD</v>
      </c>
      <c r="F8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t="s">
        <v>1898</v>
      </c>
      <c r="B879" t="s">
        <v>1899</v>
      </c>
      <c r="C879">
        <v>-35.695</v>
      </c>
      <c r="D879">
        <v>142.259444</v>
      </c>
      <c r="E879" t="str">
        <f>RIGHT(Airports[[#This Row],[ICAO]],3)</f>
        <v>HGN</v>
      </c>
      <c r="F8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t="s">
        <v>1900</v>
      </c>
      <c r="B880" t="s">
        <v>1901</v>
      </c>
      <c r="C880">
        <v>-24.416388999999999</v>
      </c>
      <c r="D880">
        <v>133.69972200000001</v>
      </c>
      <c r="E880" t="str">
        <f>RIGHT(Airports[[#This Row],[ICAO]],3)</f>
        <v>HGR</v>
      </c>
      <c r="F8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t="s">
        <v>1902</v>
      </c>
      <c r="B881" t="s">
        <v>1903</v>
      </c>
      <c r="C881">
        <v>-30.716667000000001</v>
      </c>
      <c r="D881">
        <v>129.51499999999999</v>
      </c>
      <c r="E881" t="str">
        <f>RIGHT(Airports[[#This Row],[ICAO]],3)</f>
        <v>HGS</v>
      </c>
      <c r="F8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t="s">
        <v>1904</v>
      </c>
      <c r="B882" t="s">
        <v>1905</v>
      </c>
      <c r="C882">
        <v>-19.725332999999999</v>
      </c>
      <c r="D882">
        <v>147.34819400000001</v>
      </c>
      <c r="E882" t="str">
        <f>RIGHT(Airports[[#This Row],[ICAO]],3)</f>
        <v>HHL</v>
      </c>
      <c r="F8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t="s">
        <v>1906</v>
      </c>
      <c r="B883" t="s">
        <v>1907</v>
      </c>
      <c r="C883">
        <v>-35.055</v>
      </c>
      <c r="D883">
        <v>138.79833300000001</v>
      </c>
      <c r="E883" t="str">
        <f>RIGHT(Airports[[#This Row],[ICAO]],3)</f>
        <v>HHN</v>
      </c>
      <c r="F8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t="s">
        <v>1908</v>
      </c>
      <c r="B884" t="s">
        <v>1909</v>
      </c>
      <c r="C884">
        <v>-16.424444000000001</v>
      </c>
      <c r="D884">
        <v>143.145556</v>
      </c>
      <c r="E884" t="str">
        <f>RIGHT(Airports[[#This Row],[ICAO]],3)</f>
        <v>HHY</v>
      </c>
      <c r="F8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t="s">
        <v>1910</v>
      </c>
      <c r="B885" t="s">
        <v>1911</v>
      </c>
      <c r="C885">
        <v>-10.586389</v>
      </c>
      <c r="D885">
        <v>142.29</v>
      </c>
      <c r="E885" t="str">
        <f>RIGHT(Airports[[#This Row],[ICAO]],3)</f>
        <v>HID</v>
      </c>
      <c r="F8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t="s">
        <v>1912</v>
      </c>
      <c r="B886" t="s">
        <v>1913</v>
      </c>
      <c r="C886">
        <v>-21.75</v>
      </c>
      <c r="D886">
        <v>119.416389</v>
      </c>
      <c r="E886" t="str">
        <f>RIGHT(Airports[[#This Row],[ICAO]],3)</f>
        <v>HIL</v>
      </c>
      <c r="F8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t="s">
        <v>1914</v>
      </c>
      <c r="B887" t="s">
        <v>1915</v>
      </c>
      <c r="C887">
        <v>-20.315000000000001</v>
      </c>
      <c r="D887">
        <v>118.57555600000001</v>
      </c>
      <c r="E887" t="str">
        <f>RIGHT(Airports[[#This Row],[ICAO]],3)</f>
        <v>HIP</v>
      </c>
      <c r="F8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t="s">
        <v>1916</v>
      </c>
      <c r="B888" t="s">
        <v>1917</v>
      </c>
      <c r="C888">
        <v>-16.55</v>
      </c>
      <c r="D888">
        <v>132.9</v>
      </c>
      <c r="E888" t="str">
        <f>RIGHT(Airports[[#This Row],[ICAO]],3)</f>
        <v>HIV</v>
      </c>
      <c r="F8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t="s">
        <v>1918</v>
      </c>
      <c r="B889" t="s">
        <v>1919</v>
      </c>
      <c r="C889">
        <v>-11.983333</v>
      </c>
      <c r="D889">
        <v>143.266389</v>
      </c>
      <c r="E889" t="str">
        <f>RIGHT(Airports[[#This Row],[ICAO]],3)</f>
        <v>HKI</v>
      </c>
      <c r="F8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t="s">
        <v>1920</v>
      </c>
      <c r="B890" t="s">
        <v>1921</v>
      </c>
      <c r="C890">
        <v>-22.943888999999999</v>
      </c>
      <c r="D890">
        <v>135.446944</v>
      </c>
      <c r="E890" t="str">
        <f>RIGHT(Airports[[#This Row],[ICAO]],3)</f>
        <v>HKT</v>
      </c>
      <c r="F8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t="s">
        <v>1922</v>
      </c>
      <c r="B891" t="s">
        <v>1923</v>
      </c>
      <c r="C891">
        <v>-31.806388999999999</v>
      </c>
      <c r="D891">
        <v>116.01055599999999</v>
      </c>
      <c r="E891" t="str">
        <f>RIGHT(Airports[[#This Row],[ICAO]],3)</f>
        <v>HLB</v>
      </c>
      <c r="F8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t="s">
        <v>1924</v>
      </c>
      <c r="B892" t="s">
        <v>1925</v>
      </c>
      <c r="C892">
        <v>-18.233889000000001</v>
      </c>
      <c r="D892">
        <v>127.66972199999999</v>
      </c>
      <c r="E892" t="str">
        <f>RIGHT(Airports[[#This Row],[ICAO]],3)</f>
        <v>HLC</v>
      </c>
      <c r="F8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t="s">
        <v>1926</v>
      </c>
      <c r="B893" t="s">
        <v>1913</v>
      </c>
      <c r="C893">
        <v>-20.5</v>
      </c>
      <c r="D893">
        <v>140.23333299999999</v>
      </c>
      <c r="E893" t="str">
        <f>RIGHT(Airports[[#This Row],[ICAO]],3)</f>
        <v>HLD</v>
      </c>
      <c r="F8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t="s">
        <v>1927</v>
      </c>
      <c r="B894" t="s">
        <v>1928</v>
      </c>
      <c r="C894">
        <v>-34.610278000000001</v>
      </c>
      <c r="D894">
        <v>150.09638899999999</v>
      </c>
      <c r="E894" t="str">
        <f>RIGHT(Airports[[#This Row],[ICAO]],3)</f>
        <v>HLF</v>
      </c>
      <c r="F8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t="s">
        <v>1929</v>
      </c>
      <c r="B895" t="s">
        <v>1930</v>
      </c>
      <c r="C895">
        <v>-33.263888999999999</v>
      </c>
      <c r="D895">
        <v>116.815</v>
      </c>
      <c r="E895" t="str">
        <f>RIGHT(Airports[[#This Row],[ICAO]],3)</f>
        <v>HLM</v>
      </c>
      <c r="F8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t="s">
        <v>1931</v>
      </c>
      <c r="B896" t="s">
        <v>1932</v>
      </c>
      <c r="C896">
        <v>-18.416667</v>
      </c>
      <c r="D896">
        <v>133.88333299999999</v>
      </c>
      <c r="E896" t="str">
        <f>RIGHT(Airports[[#This Row],[ICAO]],3)</f>
        <v>HLN</v>
      </c>
      <c r="F8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t="s">
        <v>1933</v>
      </c>
      <c r="B897" t="s">
        <v>1934</v>
      </c>
      <c r="C897">
        <v>-33.493611000000001</v>
      </c>
      <c r="D897">
        <v>145.52361099999999</v>
      </c>
      <c r="E897" t="str">
        <f>RIGHT(Airports[[#This Row],[ICAO]],3)</f>
        <v>HLS</v>
      </c>
      <c r="F8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t="s">
        <v>1935</v>
      </c>
      <c r="B898" t="s">
        <v>1936</v>
      </c>
      <c r="C898">
        <v>-27.9</v>
      </c>
      <c r="D898">
        <v>153.41666699999999</v>
      </c>
      <c r="E898" t="str">
        <f>RIGHT(Airports[[#This Row],[ICAO]],3)</f>
        <v>HLW</v>
      </c>
      <c r="F8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t="s">
        <v>1937</v>
      </c>
      <c r="B899" t="s">
        <v>1938</v>
      </c>
      <c r="C899">
        <v>-23.927778</v>
      </c>
      <c r="D899">
        <v>132.8125</v>
      </c>
      <c r="E899" t="str">
        <f>RIGHT(Airports[[#This Row],[ICAO]],3)</f>
        <v>HMB</v>
      </c>
      <c r="F8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t="s">
        <v>1939</v>
      </c>
      <c r="B900" t="s">
        <v>1940</v>
      </c>
      <c r="C900">
        <v>-31.824722000000001</v>
      </c>
      <c r="D900">
        <v>115.734444</v>
      </c>
      <c r="E900" t="str">
        <f>RIGHT(Airports[[#This Row],[ICAO]],3)</f>
        <v>HMH</v>
      </c>
      <c r="F9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t="s">
        <v>1941</v>
      </c>
      <c r="B901" t="s">
        <v>1942</v>
      </c>
      <c r="C901">
        <v>-37.648888999999997</v>
      </c>
      <c r="D901">
        <v>142.06527800000001</v>
      </c>
      <c r="E901" t="str">
        <f>RIGHT(Airports[[#This Row],[ICAO]],3)</f>
        <v>HML</v>
      </c>
      <c r="F9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t="s">
        <v>1943</v>
      </c>
      <c r="B902" t="s">
        <v>1942</v>
      </c>
      <c r="C902">
        <v>-26.719722000000001</v>
      </c>
      <c r="D902">
        <v>135.07333299999999</v>
      </c>
      <c r="E902" t="str">
        <f>RIGHT(Airports[[#This Row],[ICAO]],3)</f>
        <v>HMT</v>
      </c>
      <c r="F9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t="s">
        <v>1944</v>
      </c>
      <c r="B903" t="s">
        <v>1945</v>
      </c>
      <c r="C903">
        <v>-22.283055999999998</v>
      </c>
      <c r="D903">
        <v>117.666389</v>
      </c>
      <c r="E903" t="str">
        <f>RIGHT(Airports[[#This Row],[ICAO]],3)</f>
        <v>HMY</v>
      </c>
      <c r="F9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t="s">
        <v>1946</v>
      </c>
      <c r="B904" t="s">
        <v>1947</v>
      </c>
      <c r="C904">
        <v>-12.095000000000001</v>
      </c>
      <c r="D904">
        <v>135.361389</v>
      </c>
      <c r="E904" t="str">
        <f>RIGHT(Airports[[#This Row],[ICAO]],3)</f>
        <v>HOA</v>
      </c>
      <c r="F9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t="s">
        <v>1948</v>
      </c>
      <c r="B905" t="s">
        <v>1949</v>
      </c>
      <c r="C905">
        <v>-14.149722000000001</v>
      </c>
      <c r="D905">
        <v>142.676389</v>
      </c>
      <c r="E905" t="str">
        <f>RIGHT(Airports[[#This Row],[ICAO]],3)</f>
        <v>HOL</v>
      </c>
      <c r="F9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t="s">
        <v>1950</v>
      </c>
      <c r="B906" t="s">
        <v>1951</v>
      </c>
      <c r="C906">
        <v>-31.753333000000001</v>
      </c>
      <c r="D906">
        <v>140.66499999999999</v>
      </c>
      <c r="E906" t="str">
        <f>RIGHT(Airports[[#This Row],[ICAO]],3)</f>
        <v>HON</v>
      </c>
      <c r="F9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t="s">
        <v>1952</v>
      </c>
      <c r="B907" t="s">
        <v>1953</v>
      </c>
      <c r="C907">
        <v>-18.328333000000001</v>
      </c>
      <c r="D907">
        <v>130.64666700000001</v>
      </c>
      <c r="E907" t="str">
        <f>RIGHT(Airports[[#This Row],[ICAO]],3)</f>
        <v>HOO</v>
      </c>
      <c r="F9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t="s">
        <v>1954</v>
      </c>
      <c r="B908" t="s">
        <v>1955</v>
      </c>
      <c r="C908">
        <v>-37.048333</v>
      </c>
      <c r="D908">
        <v>147.33416700000001</v>
      </c>
      <c r="E908" t="str">
        <f>RIGHT(Airports[[#This Row],[ICAO]],3)</f>
        <v>HOT</v>
      </c>
      <c r="F9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t="s">
        <v>1956</v>
      </c>
      <c r="B909" t="s">
        <v>1957</v>
      </c>
      <c r="C909">
        <v>-15.574722</v>
      </c>
      <c r="D909">
        <v>134.09555599999999</v>
      </c>
      <c r="E909" t="str">
        <f>RIGHT(Airports[[#This Row],[ICAO]],3)</f>
        <v>HOV</v>
      </c>
      <c r="F9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t="s">
        <v>1958</v>
      </c>
      <c r="B910" t="s">
        <v>1959</v>
      </c>
      <c r="C910">
        <v>-22.266389</v>
      </c>
      <c r="D910">
        <v>150.033333</v>
      </c>
      <c r="E910" t="str">
        <f>RIGHT(Airports[[#This Row],[ICAO]],3)</f>
        <v>HOY</v>
      </c>
      <c r="F9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t="s">
        <v>1960</v>
      </c>
      <c r="B911" t="s">
        <v>1961</v>
      </c>
      <c r="C911">
        <v>-33.826943999999997</v>
      </c>
      <c r="D911">
        <v>151.261944</v>
      </c>
      <c r="E911" t="str">
        <f>RIGHT(Airports[[#This Row],[ICAO]],3)</f>
        <v>HPG</v>
      </c>
      <c r="F9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t="s">
        <v>1962</v>
      </c>
      <c r="B912" t="s">
        <v>1963</v>
      </c>
      <c r="C912">
        <v>-35.715277999999998</v>
      </c>
      <c r="D912">
        <v>142.359722</v>
      </c>
      <c r="E912" t="str">
        <f>RIGHT(Airports[[#This Row],[ICAO]],3)</f>
        <v>HPN</v>
      </c>
      <c r="F9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t="s">
        <v>1964</v>
      </c>
      <c r="B913" t="s">
        <v>1965</v>
      </c>
      <c r="C913">
        <v>-21.285910000000001</v>
      </c>
      <c r="D913">
        <v>149.277683</v>
      </c>
      <c r="E913" t="str">
        <f>RIGHT(Airports[[#This Row],[ICAO]],3)</f>
        <v>HPT</v>
      </c>
      <c r="F9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t="s">
        <v>1966</v>
      </c>
      <c r="B914" t="s">
        <v>1967</v>
      </c>
      <c r="C914">
        <v>-15.283333000000001</v>
      </c>
      <c r="D914">
        <v>145.11666700000001</v>
      </c>
      <c r="E914" t="str">
        <f>RIGHT(Airports[[#This Row],[ICAO]],3)</f>
        <v>HPV</v>
      </c>
      <c r="F9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t="s">
        <v>1968</v>
      </c>
      <c r="B915" t="s">
        <v>1969</v>
      </c>
      <c r="C915">
        <v>-25.25</v>
      </c>
      <c r="D915">
        <v>153.16666699999999</v>
      </c>
      <c r="E915" t="str">
        <f>RIGHT(Airports[[#This Row],[ICAO]],3)</f>
        <v>HPY</v>
      </c>
      <c r="F9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t="s">
        <v>1970</v>
      </c>
      <c r="B916" t="s">
        <v>1971</v>
      </c>
      <c r="C916">
        <v>-28.996110999999999</v>
      </c>
      <c r="D916">
        <v>144.453056</v>
      </c>
      <c r="E916" t="str">
        <f>RIGHT(Airports[[#This Row],[ICAO]],3)</f>
        <v>HRD</v>
      </c>
      <c r="F9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t="s">
        <v>1972</v>
      </c>
      <c r="B917" t="s">
        <v>1973</v>
      </c>
      <c r="C917">
        <v>-31.468889000000001</v>
      </c>
      <c r="D917">
        <v>147.894722</v>
      </c>
      <c r="E917" t="str">
        <f>RIGHT(Airports[[#This Row],[ICAO]],3)</f>
        <v>HRG</v>
      </c>
      <c r="F9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t="s">
        <v>1974</v>
      </c>
      <c r="B918" t="s">
        <v>1975</v>
      </c>
      <c r="C918">
        <v>-23.441666999999999</v>
      </c>
      <c r="D918">
        <v>151.91138900000001</v>
      </c>
      <c r="E918" t="str">
        <f>RIGHT(Airports[[#This Row],[ICAO]],3)</f>
        <v>HRN</v>
      </c>
      <c r="F9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t="s">
        <v>1976</v>
      </c>
      <c r="B919" t="s">
        <v>1977</v>
      </c>
      <c r="C919">
        <v>-22.895</v>
      </c>
      <c r="D919">
        <v>143.46638899999999</v>
      </c>
      <c r="E919" t="str">
        <f>RIGHT(Airports[[#This Row],[ICAO]],3)</f>
        <v>HRT</v>
      </c>
      <c r="F9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t="s">
        <v>1978</v>
      </c>
      <c r="B920" t="s">
        <v>1979</v>
      </c>
      <c r="C920">
        <v>-13.766389</v>
      </c>
      <c r="D920">
        <v>135.80527799999999</v>
      </c>
      <c r="E920" t="str">
        <f>RIGHT(Airports[[#This Row],[ICAO]],3)</f>
        <v>HSC</v>
      </c>
      <c r="F9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t="s">
        <v>1980</v>
      </c>
      <c r="B921" t="s">
        <v>1981</v>
      </c>
      <c r="C921">
        <v>-27.439722</v>
      </c>
      <c r="D921">
        <v>153.10749999999999</v>
      </c>
      <c r="E921" t="str">
        <f>RIGHT(Airports[[#This Row],[ICAO]],3)</f>
        <v>HSJ</v>
      </c>
      <c r="F9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t="s">
        <v>1982</v>
      </c>
      <c r="B922" t="s">
        <v>1983</v>
      </c>
      <c r="C922">
        <v>-25.348333</v>
      </c>
      <c r="D922">
        <v>118.613333</v>
      </c>
      <c r="E922" t="str">
        <f>RIGHT(Airports[[#This Row],[ICAO]],3)</f>
        <v>HSL</v>
      </c>
      <c r="F9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t="s">
        <v>1984</v>
      </c>
      <c r="B923" t="s">
        <v>1985</v>
      </c>
      <c r="C923">
        <v>-36.669722</v>
      </c>
      <c r="D923">
        <v>142.17277799999999</v>
      </c>
      <c r="E923" t="str">
        <f>RIGHT(Airports[[#This Row],[ICAO]],3)</f>
        <v>HSM</v>
      </c>
      <c r="F9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t="s">
        <v>1986</v>
      </c>
      <c r="B924" t="s">
        <v>1987</v>
      </c>
      <c r="C924">
        <v>-16.516389</v>
      </c>
      <c r="D924">
        <v>146.016389</v>
      </c>
      <c r="E924" t="str">
        <f>RIGHT(Airports[[#This Row],[ICAO]],3)</f>
        <v>HSR</v>
      </c>
      <c r="F9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t="s">
        <v>1988</v>
      </c>
      <c r="B925" t="s">
        <v>1989</v>
      </c>
      <c r="C925">
        <v>-32.142499999999998</v>
      </c>
      <c r="D925">
        <v>135.09944400000001</v>
      </c>
      <c r="E925" t="str">
        <f>RIGHT(Airports[[#This Row],[ICAO]],3)</f>
        <v>HTA</v>
      </c>
      <c r="F9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t="s">
        <v>1990</v>
      </c>
      <c r="B926" t="s">
        <v>1991</v>
      </c>
      <c r="C926">
        <v>-35.171666999999999</v>
      </c>
      <c r="D926">
        <v>138.49166700000001</v>
      </c>
      <c r="E926" t="str">
        <f>RIGHT(Airports[[#This Row],[ICAO]],3)</f>
        <v>HTF</v>
      </c>
      <c r="F9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t="s">
        <v>1992</v>
      </c>
      <c r="B927" t="s">
        <v>1993</v>
      </c>
      <c r="C927">
        <v>-11.75</v>
      </c>
      <c r="D927">
        <v>142.583056</v>
      </c>
      <c r="E927" t="str">
        <f>RIGHT(Airports[[#This Row],[ICAO]],3)</f>
        <v>HTL</v>
      </c>
      <c r="F9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t="s">
        <v>1994</v>
      </c>
      <c r="B928" t="s">
        <v>1995</v>
      </c>
      <c r="C928">
        <v>-17.433333000000001</v>
      </c>
      <c r="D928">
        <v>145.39666700000001</v>
      </c>
      <c r="E928" t="str">
        <f>RIGHT(Airports[[#This Row],[ICAO]],3)</f>
        <v>HTN</v>
      </c>
      <c r="F9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t="s">
        <v>1996</v>
      </c>
      <c r="B929" t="s">
        <v>1997</v>
      </c>
      <c r="C929">
        <v>-22.984999999999999</v>
      </c>
      <c r="D929">
        <v>134.91833299999999</v>
      </c>
      <c r="E929" t="str">
        <f>RIGHT(Airports[[#This Row],[ICAO]],3)</f>
        <v>HTS</v>
      </c>
      <c r="F9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t="s">
        <v>1998</v>
      </c>
      <c r="B930" t="s">
        <v>1999</v>
      </c>
      <c r="C930">
        <v>-20.815000000000001</v>
      </c>
      <c r="D930">
        <v>144.225278</v>
      </c>
      <c r="E930" t="str">
        <f>RIGHT(Airports[[#This Row],[ICAO]],3)</f>
        <v>HUG</v>
      </c>
      <c r="F9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t="s">
        <v>2000</v>
      </c>
      <c r="B931" t="s">
        <v>2001</v>
      </c>
      <c r="C931">
        <v>-34.516666999999998</v>
      </c>
      <c r="D931">
        <v>139.10499999999999</v>
      </c>
      <c r="E931" t="str">
        <f>RIGHT(Airports[[#This Row],[ICAO]],3)</f>
        <v>HVF</v>
      </c>
      <c r="F9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t="s">
        <v>2002</v>
      </c>
      <c r="B932" t="s">
        <v>2003</v>
      </c>
      <c r="C932">
        <v>-34.029167000000001</v>
      </c>
      <c r="D932">
        <v>138.52416700000001</v>
      </c>
      <c r="E932" t="str">
        <f>RIGHT(Airports[[#This Row],[ICAO]],3)</f>
        <v>HYL</v>
      </c>
      <c r="F9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t="s">
        <v>2004</v>
      </c>
      <c r="B933" t="s">
        <v>2005</v>
      </c>
      <c r="C933">
        <v>-20.060555999999998</v>
      </c>
      <c r="D933">
        <v>148.88166699999999</v>
      </c>
      <c r="E933" t="str">
        <f>RIGHT(Airports[[#This Row],[ICAO]],3)</f>
        <v>HYN</v>
      </c>
      <c r="F9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t="s">
        <v>2006</v>
      </c>
      <c r="B934" t="s">
        <v>2007</v>
      </c>
      <c r="C934">
        <v>-21.735555999999999</v>
      </c>
      <c r="D934">
        <v>148.16416699999999</v>
      </c>
      <c r="E934" t="str">
        <f>RIGHT(Airports[[#This Row],[ICAO]],3)</f>
        <v>IBM</v>
      </c>
      <c r="F9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t="s">
        <v>2008</v>
      </c>
      <c r="B935" t="s">
        <v>2009</v>
      </c>
      <c r="C935">
        <v>-21.286667000000001</v>
      </c>
      <c r="D935">
        <v>118.883056</v>
      </c>
      <c r="E935" t="str">
        <f>RIGHT(Airports[[#This Row],[ICAO]],3)</f>
        <v>IBO</v>
      </c>
      <c r="F9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t="s">
        <v>2010</v>
      </c>
      <c r="B936" t="s">
        <v>2011</v>
      </c>
      <c r="C936">
        <v>-29.211666999999998</v>
      </c>
      <c r="D936">
        <v>120.453333</v>
      </c>
      <c r="E936" t="str">
        <f>RIGHT(Airports[[#This Row],[ICAO]],3)</f>
        <v>IDA</v>
      </c>
      <c r="F9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t="s">
        <v>2012</v>
      </c>
      <c r="B937" t="s">
        <v>2013</v>
      </c>
      <c r="C937">
        <v>-25.066666999999999</v>
      </c>
      <c r="D937">
        <v>133.73333299999999</v>
      </c>
      <c r="E937" t="str">
        <f>RIGHT(Airports[[#This Row],[ICAO]],3)</f>
        <v>IDR</v>
      </c>
      <c r="F9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t="s">
        <v>2014</v>
      </c>
      <c r="B938" t="s">
        <v>2015</v>
      </c>
      <c r="C938">
        <v>-22.236667000000001</v>
      </c>
      <c r="D938">
        <v>148.43305599999999</v>
      </c>
      <c r="E938" t="str">
        <f>RIGHT(Airports[[#This Row],[ICAO]],3)</f>
        <v>IFF</v>
      </c>
      <c r="F9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t="s">
        <v>2016</v>
      </c>
      <c r="B939" t="s">
        <v>2017</v>
      </c>
      <c r="C939">
        <v>-17.558610999999999</v>
      </c>
      <c r="D939">
        <v>146.01166699999999</v>
      </c>
      <c r="E939" t="str">
        <f>RIGHT(Airports[[#This Row],[ICAO]],3)</f>
        <v>IFL</v>
      </c>
      <c r="F9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t="s">
        <v>2018</v>
      </c>
      <c r="B940" t="s">
        <v>2019</v>
      </c>
      <c r="C940">
        <v>-18.899999999999999</v>
      </c>
      <c r="D940">
        <v>141.216667</v>
      </c>
      <c r="E940" t="str">
        <f>RIGHT(Airports[[#This Row],[ICAO]],3)</f>
        <v>IFY</v>
      </c>
      <c r="F9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t="s">
        <v>2020</v>
      </c>
      <c r="B941" t="s">
        <v>2021</v>
      </c>
      <c r="C941">
        <v>-18.660556</v>
      </c>
      <c r="D941">
        <v>146.151667</v>
      </c>
      <c r="E941" t="str">
        <f>RIGHT(Airports[[#This Row],[ICAO]],3)</f>
        <v>IGM</v>
      </c>
      <c r="F9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t="s">
        <v>2022</v>
      </c>
      <c r="B942" t="s">
        <v>2023</v>
      </c>
      <c r="C942">
        <v>-29.628056000000001</v>
      </c>
      <c r="D942">
        <v>134.78833299999999</v>
      </c>
      <c r="E942" t="str">
        <f>RIGHT(Airports[[#This Row],[ICAO]],3)</f>
        <v>IGR</v>
      </c>
      <c r="F9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t="s">
        <v>2024</v>
      </c>
      <c r="B943" t="s">
        <v>2025</v>
      </c>
      <c r="C943">
        <v>-22.763332999999999</v>
      </c>
      <c r="D943">
        <v>136.16305600000001</v>
      </c>
      <c r="E943" t="str">
        <f>RIGHT(Airports[[#This Row],[ICAO]],3)</f>
        <v>IKL</v>
      </c>
      <c r="F9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t="s">
        <v>2026</v>
      </c>
      <c r="B944" t="s">
        <v>2027</v>
      </c>
      <c r="C944">
        <v>-16.229167</v>
      </c>
      <c r="D944">
        <v>141.43388899999999</v>
      </c>
      <c r="E944" t="str">
        <f>RIGHT(Airports[[#This Row],[ICAO]],3)</f>
        <v>IKM</v>
      </c>
      <c r="F9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t="s">
        <v>2028</v>
      </c>
      <c r="B945" t="s">
        <v>2029</v>
      </c>
      <c r="C945">
        <v>-36.456111</v>
      </c>
      <c r="D945">
        <v>146.43305599999999</v>
      </c>
      <c r="E945" t="str">
        <f>RIGHT(Airports[[#This Row],[ICAO]],3)</f>
        <v>ILA</v>
      </c>
      <c r="F9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t="s">
        <v>2030</v>
      </c>
      <c r="B946" t="s">
        <v>2031</v>
      </c>
      <c r="C946">
        <v>-23.471667</v>
      </c>
      <c r="D946">
        <v>144.534167</v>
      </c>
      <c r="E946" t="str">
        <f>RIGHT(Airports[[#This Row],[ICAO]],3)</f>
        <v>ILF</v>
      </c>
      <c r="F9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t="s">
        <v>2032</v>
      </c>
      <c r="B947" t="s">
        <v>2033</v>
      </c>
      <c r="C947">
        <v>-28.367778000000001</v>
      </c>
      <c r="D947">
        <v>127.52333299999999</v>
      </c>
      <c r="E947" t="str">
        <f>RIGHT(Airports[[#This Row],[ICAO]],3)</f>
        <v>ILK</v>
      </c>
      <c r="F9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t="s">
        <v>2034</v>
      </c>
      <c r="B948" t="s">
        <v>2035</v>
      </c>
      <c r="C948">
        <v>-28.416388999999999</v>
      </c>
      <c r="D948">
        <v>151.09138899999999</v>
      </c>
      <c r="E948" t="str">
        <f>RIGHT(Airports[[#This Row],[ICAO]],3)</f>
        <v>ILW</v>
      </c>
      <c r="F9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t="s">
        <v>2036</v>
      </c>
      <c r="B949" t="s">
        <v>2037</v>
      </c>
      <c r="C949">
        <v>-33.090555999999999</v>
      </c>
      <c r="D949">
        <v>136.46444399999999</v>
      </c>
      <c r="E949" t="str">
        <f>RIGHT(Airports[[#This Row],[ICAO]],3)</f>
        <v>IMB</v>
      </c>
      <c r="F9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t="s">
        <v>2038</v>
      </c>
      <c r="B950" t="s">
        <v>2039</v>
      </c>
      <c r="C950">
        <v>-25.149722000000001</v>
      </c>
      <c r="D950">
        <v>133.583056</v>
      </c>
      <c r="E950" t="str">
        <f>RIGHT(Airports[[#This Row],[ICAO]],3)</f>
        <v>IMP</v>
      </c>
      <c r="F9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t="s">
        <v>2040</v>
      </c>
      <c r="B951" t="s">
        <v>2041</v>
      </c>
      <c r="C951">
        <v>-27.741667</v>
      </c>
      <c r="D951">
        <v>140.745</v>
      </c>
      <c r="E951" t="str">
        <f>RIGHT(Airports[[#This Row],[ICAO]],3)</f>
        <v>IMT</v>
      </c>
      <c r="F9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t="s">
        <v>2042</v>
      </c>
      <c r="B952" t="s">
        <v>2043</v>
      </c>
      <c r="C952">
        <v>-15.466388999999999</v>
      </c>
      <c r="D952">
        <v>143.30000000000001</v>
      </c>
      <c r="E952" t="str">
        <f>RIGHT(Airports[[#This Row],[ICAO]],3)</f>
        <v>IMY</v>
      </c>
      <c r="F9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t="s">
        <v>2044</v>
      </c>
      <c r="B953" t="s">
        <v>2045</v>
      </c>
      <c r="C953">
        <v>-25</v>
      </c>
      <c r="D953">
        <v>148.331389</v>
      </c>
      <c r="E953" t="str">
        <f>RIGHT(Airports[[#This Row],[ICAO]],3)</f>
        <v>ING</v>
      </c>
      <c r="F9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t="s">
        <v>2046</v>
      </c>
      <c r="B954" t="s">
        <v>2047</v>
      </c>
      <c r="C954">
        <v>-25.85</v>
      </c>
      <c r="D954">
        <v>148.55000000000001</v>
      </c>
      <c r="E954" t="str">
        <f>RIGHT(Airports[[#This Row],[ICAO]],3)</f>
        <v>INJ</v>
      </c>
      <c r="F9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t="s">
        <v>2048</v>
      </c>
      <c r="B955" t="s">
        <v>2049</v>
      </c>
      <c r="C955">
        <v>-27.7</v>
      </c>
      <c r="D955">
        <v>140.73333299999999</v>
      </c>
      <c r="E955" t="str">
        <f>RIGHT(Airports[[#This Row],[ICAO]],3)</f>
        <v>INN</v>
      </c>
      <c r="F9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t="s">
        <v>2050</v>
      </c>
      <c r="B956" t="s">
        <v>2051</v>
      </c>
      <c r="C956">
        <v>-29.773610999999999</v>
      </c>
      <c r="D956">
        <v>151.16555600000001</v>
      </c>
      <c r="E956" t="str">
        <f>RIGHT(Airports[[#This Row],[ICAO]],3)</f>
        <v>INO</v>
      </c>
      <c r="F9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t="s">
        <v>2052</v>
      </c>
      <c r="B957" t="s">
        <v>2053</v>
      </c>
      <c r="C957">
        <v>-32.465000000000003</v>
      </c>
      <c r="D957">
        <v>151.13166699999999</v>
      </c>
      <c r="E957" t="str">
        <f>RIGHT(Airports[[#This Row],[ICAO]],3)</f>
        <v>INT</v>
      </c>
      <c r="F9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t="s">
        <v>2054</v>
      </c>
      <c r="B958" t="s">
        <v>2055</v>
      </c>
      <c r="C958">
        <v>-18.005278000000001</v>
      </c>
      <c r="D958">
        <v>140.53527800000001</v>
      </c>
      <c r="E958" t="str">
        <f>RIGHT(Airports[[#This Row],[ICAO]],3)</f>
        <v>INV</v>
      </c>
      <c r="F9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t="s">
        <v>2056</v>
      </c>
      <c r="B959" t="s">
        <v>2057</v>
      </c>
      <c r="C959">
        <v>-17.838889000000002</v>
      </c>
      <c r="D959">
        <v>129.63805600000001</v>
      </c>
      <c r="E959" t="str">
        <f>RIGHT(Airports[[#This Row],[ICAO]],3)</f>
        <v>INW</v>
      </c>
      <c r="F9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t="s">
        <v>2058</v>
      </c>
      <c r="B960" t="s">
        <v>2059</v>
      </c>
      <c r="C960">
        <v>-24.22</v>
      </c>
      <c r="D960">
        <v>144.62861100000001</v>
      </c>
      <c r="E960" t="str">
        <f>RIGHT(Airports[[#This Row],[ICAO]],3)</f>
        <v>ISD</v>
      </c>
      <c r="F9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t="s">
        <v>2060</v>
      </c>
      <c r="B961" t="s">
        <v>2061</v>
      </c>
      <c r="C961">
        <v>-24.259167000000001</v>
      </c>
      <c r="D961">
        <v>144.42416700000001</v>
      </c>
      <c r="E961" t="str">
        <f>RIGHT(Airports[[#This Row],[ICAO]],3)</f>
        <v>ISF</v>
      </c>
      <c r="F9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t="s">
        <v>2062</v>
      </c>
      <c r="B962" t="s">
        <v>2063</v>
      </c>
      <c r="C962">
        <v>-36.512222000000001</v>
      </c>
      <c r="D962">
        <v>147.356111</v>
      </c>
      <c r="E962" t="str">
        <f>RIGHT(Airports[[#This Row],[ICAO]],3)</f>
        <v>ITT</v>
      </c>
      <c r="F9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t="s">
        <v>2064</v>
      </c>
      <c r="B963" t="s">
        <v>2065</v>
      </c>
      <c r="C963">
        <v>-15.699722</v>
      </c>
      <c r="D963">
        <v>128.683333</v>
      </c>
      <c r="E963" t="str">
        <f>RIGHT(Airports[[#This Row],[ICAO]],3)</f>
        <v>IVA</v>
      </c>
      <c r="F9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t="s">
        <v>2066</v>
      </c>
      <c r="B964" t="s">
        <v>2067</v>
      </c>
      <c r="C964">
        <v>-38.612499999999997</v>
      </c>
      <c r="D964">
        <v>145.73333299999999</v>
      </c>
      <c r="E964" t="str">
        <f>RIGHT(Airports[[#This Row],[ICAO]],3)</f>
        <v>IVE</v>
      </c>
      <c r="F9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t="s">
        <v>2068</v>
      </c>
      <c r="B965" t="s">
        <v>2069</v>
      </c>
      <c r="C965">
        <v>-24.065556000000001</v>
      </c>
      <c r="D965">
        <v>151.394722</v>
      </c>
      <c r="E965" t="str">
        <f>RIGHT(Airports[[#This Row],[ICAO]],3)</f>
        <v>IVG</v>
      </c>
      <c r="F9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t="s">
        <v>2070</v>
      </c>
      <c r="B966" t="s">
        <v>2071</v>
      </c>
      <c r="C966">
        <v>-29.888332999999999</v>
      </c>
      <c r="D966">
        <v>151.14416700000001</v>
      </c>
      <c r="E966" t="str">
        <f>RIGHT(Airports[[#This Row],[ICAO]],3)</f>
        <v>IVL</v>
      </c>
      <c r="F9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t="s">
        <v>2072</v>
      </c>
      <c r="B967" t="s">
        <v>2073</v>
      </c>
      <c r="C967">
        <v>-32.884721999999996</v>
      </c>
      <c r="D967">
        <v>144.311667</v>
      </c>
      <c r="E967" t="str">
        <f>RIGHT(Airports[[#This Row],[ICAO]],3)</f>
        <v>IVO</v>
      </c>
      <c r="F9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t="s">
        <v>2074</v>
      </c>
      <c r="B968" t="s">
        <v>2075</v>
      </c>
      <c r="C968">
        <v>-12.658333000000001</v>
      </c>
      <c r="D968">
        <v>132.893056</v>
      </c>
      <c r="E968" t="str">
        <f>RIGHT(Airports[[#This Row],[ICAO]],3)</f>
        <v>JAB</v>
      </c>
      <c r="F9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t="s">
        <v>2076</v>
      </c>
      <c r="B969" t="s">
        <v>2077</v>
      </c>
      <c r="C969">
        <v>-30.901111</v>
      </c>
      <c r="D969">
        <v>132.18361100000001</v>
      </c>
      <c r="E969" t="str">
        <f>RIGHT(Airports[[#This Row],[ICAO]],3)</f>
        <v>JAC</v>
      </c>
      <c r="F9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t="s">
        <v>2078</v>
      </c>
      <c r="B970" t="s">
        <v>2079</v>
      </c>
      <c r="C970">
        <v>-16.850000000000001</v>
      </c>
      <c r="D970">
        <v>145.583056</v>
      </c>
      <c r="E970" t="str">
        <f>RIGHT(Airports[[#This Row],[ICAO]],3)</f>
        <v>JAF</v>
      </c>
      <c r="F9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t="s">
        <v>2080</v>
      </c>
      <c r="B971" t="s">
        <v>2081</v>
      </c>
      <c r="C971">
        <v>-25.863056</v>
      </c>
      <c r="D971">
        <v>127.67833299999999</v>
      </c>
      <c r="E971" t="str">
        <f>RIGHT(Airports[[#This Row],[ICAO]],3)</f>
        <v>JAM</v>
      </c>
      <c r="F9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t="s">
        <v>2082</v>
      </c>
      <c r="B972" t="s">
        <v>2083</v>
      </c>
      <c r="C972">
        <v>-37.858333000000002</v>
      </c>
      <c r="D972">
        <v>146.91666699999999</v>
      </c>
      <c r="E972" t="str">
        <f>RIGHT(Airports[[#This Row],[ICAO]],3)</f>
        <v>JBO</v>
      </c>
      <c r="F9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t="s">
        <v>2084</v>
      </c>
      <c r="B973" t="s">
        <v>2085</v>
      </c>
      <c r="C973">
        <v>-26.956666999999999</v>
      </c>
      <c r="D973">
        <v>151.22972200000001</v>
      </c>
      <c r="E973" t="str">
        <f>RIGHT(Airports[[#This Row],[ICAO]],3)</f>
        <v>JBR</v>
      </c>
      <c r="F9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t="s">
        <v>2086</v>
      </c>
      <c r="B974" t="s">
        <v>2087</v>
      </c>
      <c r="C974">
        <v>-35.147500000000001</v>
      </c>
      <c r="D974">
        <v>150.698611</v>
      </c>
      <c r="E974" t="str">
        <f>RIGHT(Airports[[#This Row],[ICAO]],3)</f>
        <v>JBY</v>
      </c>
      <c r="F9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t="s">
        <v>2088</v>
      </c>
      <c r="B975" t="s">
        <v>2089</v>
      </c>
      <c r="C975">
        <v>-42.368056000000003</v>
      </c>
      <c r="D975">
        <v>147.336389</v>
      </c>
      <c r="E975" t="str">
        <f>RIGHT(Airports[[#This Row],[ICAO]],3)</f>
        <v>JCO</v>
      </c>
      <c r="F9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t="s">
        <v>2090</v>
      </c>
      <c r="B976" t="s">
        <v>2091</v>
      </c>
      <c r="C976">
        <v>-24.831389000000001</v>
      </c>
      <c r="D976">
        <v>143.06555599999999</v>
      </c>
      <c r="E976" t="str">
        <f>RIGHT(Airports[[#This Row],[ICAO]],3)</f>
        <v>JDA</v>
      </c>
      <c r="F9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t="s">
        <v>2092</v>
      </c>
      <c r="B977" t="s">
        <v>2093</v>
      </c>
      <c r="C977">
        <v>-34.826943999999997</v>
      </c>
      <c r="D977">
        <v>148.79138900000001</v>
      </c>
      <c r="E977" t="str">
        <f>RIGHT(Airports[[#This Row],[ICAO]],3)</f>
        <v>JDL</v>
      </c>
      <c r="F9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t="s">
        <v>2094</v>
      </c>
      <c r="B978" t="s">
        <v>2095</v>
      </c>
      <c r="C978">
        <v>-25.09</v>
      </c>
      <c r="D978">
        <v>143.55000000000001</v>
      </c>
      <c r="E978" t="str">
        <f>RIGHT(Airports[[#This Row],[ICAO]],3)</f>
        <v>JED</v>
      </c>
      <c r="F9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t="s">
        <v>2096</v>
      </c>
      <c r="B979" t="s">
        <v>2097</v>
      </c>
      <c r="C979">
        <v>-35.369999999999997</v>
      </c>
      <c r="D979">
        <v>145.72499999999999</v>
      </c>
      <c r="E979" t="str">
        <f>RIGHT(Airports[[#This Row],[ICAO]],3)</f>
        <v>JER</v>
      </c>
      <c r="F9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t="s">
        <v>2098</v>
      </c>
      <c r="B980" t="s">
        <v>2099</v>
      </c>
      <c r="C980">
        <v>-29.399722000000001</v>
      </c>
      <c r="D980">
        <v>121.266667</v>
      </c>
      <c r="E980" t="str">
        <f>RIGHT(Airports[[#This Row],[ICAO]],3)</f>
        <v>JEY</v>
      </c>
      <c r="F9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t="s">
        <v>2100</v>
      </c>
      <c r="B981" t="s">
        <v>2101</v>
      </c>
      <c r="C981">
        <v>-33.921944000000003</v>
      </c>
      <c r="D981">
        <v>118.91111100000001</v>
      </c>
      <c r="E981" t="str">
        <f>RIGHT(Airports[[#This Row],[ICAO]],3)</f>
        <v>JGP</v>
      </c>
      <c r="F9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t="s">
        <v>2102</v>
      </c>
      <c r="B982" t="s">
        <v>2103</v>
      </c>
      <c r="C982">
        <v>-12.283333000000001</v>
      </c>
      <c r="D982">
        <v>134.61666700000001</v>
      </c>
      <c r="E982" t="str">
        <f>RIGHT(Airports[[#This Row],[ICAO]],3)</f>
        <v>JIB</v>
      </c>
      <c r="F9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t="s">
        <v>2104</v>
      </c>
      <c r="B983" t="s">
        <v>2105</v>
      </c>
      <c r="C983">
        <v>-23.366667</v>
      </c>
      <c r="D983">
        <v>120.783056</v>
      </c>
      <c r="E983" t="str">
        <f>RIGHT(Airports[[#This Row],[ICAO]],3)</f>
        <v>JIG</v>
      </c>
      <c r="F9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t="s">
        <v>2106</v>
      </c>
      <c r="B984" t="s">
        <v>2107</v>
      </c>
      <c r="C984">
        <v>-36.426667000000002</v>
      </c>
      <c r="D984">
        <v>148.60166699999999</v>
      </c>
      <c r="E984" t="str">
        <f>RIGHT(Airports[[#This Row],[ICAO]],3)</f>
        <v>JIN</v>
      </c>
      <c r="F9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t="s">
        <v>2108</v>
      </c>
      <c r="B985" t="s">
        <v>2109</v>
      </c>
      <c r="C985">
        <v>-33.990833000000002</v>
      </c>
      <c r="D985">
        <v>116.99</v>
      </c>
      <c r="E985" t="str">
        <f>RIGHT(Airports[[#This Row],[ICAO]],3)</f>
        <v>JIP</v>
      </c>
      <c r="F9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t="s">
        <v>2110</v>
      </c>
      <c r="B986" t="s">
        <v>2111</v>
      </c>
      <c r="C986">
        <v>-12.066388999999999</v>
      </c>
      <c r="D986">
        <v>134.61666700000001</v>
      </c>
      <c r="E986" t="str">
        <f>RIGHT(Airports[[#This Row],[ICAO]],3)</f>
        <v>JIR</v>
      </c>
      <c r="F9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t="s">
        <v>2112</v>
      </c>
      <c r="B987" t="s">
        <v>2113</v>
      </c>
      <c r="C987">
        <v>-20.668333000000001</v>
      </c>
      <c r="D987">
        <v>141.7225</v>
      </c>
      <c r="E987" t="str">
        <f>RIGHT(Airports[[#This Row],[ICAO]],3)</f>
        <v>JLC</v>
      </c>
      <c r="F9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t="s">
        <v>2114</v>
      </c>
      <c r="B988" t="s">
        <v>2115</v>
      </c>
      <c r="C988">
        <v>-31.868333</v>
      </c>
      <c r="D988">
        <v>116.013333</v>
      </c>
      <c r="E988" t="str">
        <f>RIGHT(Airports[[#This Row],[ICAO]],3)</f>
        <v>JMO</v>
      </c>
      <c r="F9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t="s">
        <v>2116</v>
      </c>
      <c r="B989" t="s">
        <v>2117</v>
      </c>
      <c r="C989">
        <v>-24.149722000000001</v>
      </c>
      <c r="D989">
        <v>144.06638899999999</v>
      </c>
      <c r="E989" t="str">
        <f>RIGHT(Airports[[#This Row],[ICAO]],3)</f>
        <v>JNT</v>
      </c>
      <c r="F9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t="s">
        <v>2118</v>
      </c>
      <c r="B990" t="s">
        <v>2119</v>
      </c>
      <c r="C990">
        <v>-16.511666999999999</v>
      </c>
      <c r="D990">
        <v>144.38833299999999</v>
      </c>
      <c r="E990" t="str">
        <f>RIGHT(Airports[[#This Row],[ICAO]],3)</f>
        <v>JNY</v>
      </c>
      <c r="F9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t="s">
        <v>2120</v>
      </c>
      <c r="B991" t="s">
        <v>2121</v>
      </c>
      <c r="C991">
        <v>-35.81</v>
      </c>
      <c r="D991">
        <v>137.73333299999999</v>
      </c>
      <c r="E991" t="str">
        <f>RIGHT(Airports[[#This Row],[ICAO]],3)</f>
        <v>JOH</v>
      </c>
      <c r="F9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t="s">
        <v>2122</v>
      </c>
      <c r="B992" t="s">
        <v>2123</v>
      </c>
      <c r="C992">
        <v>-17.889444000000001</v>
      </c>
      <c r="D992">
        <v>145.82583299999999</v>
      </c>
      <c r="E992" t="str">
        <f>RIGHT(Airports[[#This Row],[ICAO]],3)</f>
        <v>JRK</v>
      </c>
      <c r="F9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t="s">
        <v>2124</v>
      </c>
      <c r="B993" t="s">
        <v>2125</v>
      </c>
      <c r="C993">
        <v>-23.583333</v>
      </c>
      <c r="D993">
        <v>146.13166699999999</v>
      </c>
      <c r="E993" t="str">
        <f>RIGHT(Airports[[#This Row],[ICAO]],3)</f>
        <v>JRO</v>
      </c>
      <c r="F9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t="s">
        <v>2126</v>
      </c>
      <c r="B994" t="s">
        <v>2127</v>
      </c>
      <c r="C994">
        <v>-28.326388999999999</v>
      </c>
      <c r="D994">
        <v>122.00666699999999</v>
      </c>
      <c r="E994" t="str">
        <f>RIGHT(Airports[[#This Row],[ICAO]],3)</f>
        <v>JRX</v>
      </c>
      <c r="F9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t="s">
        <v>2128</v>
      </c>
      <c r="B995" t="s">
        <v>2129</v>
      </c>
      <c r="C995">
        <v>-33.192222000000001</v>
      </c>
      <c r="D995">
        <v>138.61583300000001</v>
      </c>
      <c r="E995" t="str">
        <f>RIGHT(Airports[[#This Row],[ICAO]],3)</f>
        <v>JST</v>
      </c>
      <c r="F9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t="s">
        <v>2130</v>
      </c>
      <c r="B996" t="s">
        <v>2131</v>
      </c>
      <c r="C996">
        <v>-28.318055999999999</v>
      </c>
      <c r="D996">
        <v>122.80500000000001</v>
      </c>
      <c r="E996" t="str">
        <f>RIGHT(Airports[[#This Row],[ICAO]],3)</f>
        <v>JTX</v>
      </c>
      <c r="F9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t="s">
        <v>2132</v>
      </c>
      <c r="B997" t="s">
        <v>2133</v>
      </c>
      <c r="C997">
        <v>-24.366667</v>
      </c>
      <c r="D997">
        <v>128.73333299999999</v>
      </c>
      <c r="E997" t="str">
        <f>RIGHT(Airports[[#This Row],[ICAO]],3)</f>
        <v>JUK</v>
      </c>
      <c r="F9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t="s">
        <v>2134</v>
      </c>
      <c r="B998" t="s">
        <v>2135</v>
      </c>
      <c r="C998">
        <v>-26.421111</v>
      </c>
      <c r="D998">
        <v>120.5775</v>
      </c>
      <c r="E998" t="str">
        <f>RIGHT(Airports[[#This Row],[ICAO]],3)</f>
        <v>JUN</v>
      </c>
      <c r="F9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t="s">
        <v>2136</v>
      </c>
      <c r="B999" t="s">
        <v>2137</v>
      </c>
      <c r="C999">
        <v>-30.303332999999999</v>
      </c>
      <c r="D999">
        <v>115.055278</v>
      </c>
      <c r="E999" t="str">
        <f>RIGHT(Airports[[#This Row],[ICAO]],3)</f>
        <v>JUR</v>
      </c>
      <c r="F9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t="s">
        <v>2138</v>
      </c>
      <c r="B1000" t="s">
        <v>2139</v>
      </c>
      <c r="C1000">
        <v>-15.931111</v>
      </c>
      <c r="D1000">
        <v>136.481944</v>
      </c>
      <c r="E1000" t="str">
        <f>RIGHT(Airports[[#This Row],[ICAO]],3)</f>
        <v>KAB</v>
      </c>
      <c r="F10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t="s">
        <v>2140</v>
      </c>
      <c r="B1001" t="s">
        <v>2141</v>
      </c>
      <c r="C1001">
        <v>-30.366667</v>
      </c>
      <c r="D1001">
        <v>117.133056</v>
      </c>
      <c r="E1001" t="str">
        <f>RIGHT(Airports[[#This Row],[ICAO]],3)</f>
        <v>KAE</v>
      </c>
      <c r="F10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t="s">
        <v>2142</v>
      </c>
      <c r="B1002" t="s">
        <v>2143</v>
      </c>
      <c r="C1002">
        <v>-17.016389</v>
      </c>
      <c r="D1002">
        <v>145.63305600000001</v>
      </c>
      <c r="E1002" t="str">
        <f>RIGHT(Airports[[#This Row],[ICAO]],3)</f>
        <v>KAI</v>
      </c>
      <c r="F10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t="s">
        <v>2144</v>
      </c>
      <c r="B1003" t="s">
        <v>2145</v>
      </c>
      <c r="C1003">
        <v>-20.033055999999998</v>
      </c>
      <c r="D1003">
        <v>140.033333</v>
      </c>
      <c r="E1003" t="str">
        <f>RIGHT(Airports[[#This Row],[ICAO]],3)</f>
        <v>KAJ</v>
      </c>
      <c r="F10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t="s">
        <v>2146</v>
      </c>
      <c r="B1004" t="s">
        <v>2147</v>
      </c>
      <c r="C1004">
        <v>-14.288055999999999</v>
      </c>
      <c r="D1004">
        <v>126.631111</v>
      </c>
      <c r="E1004" t="str">
        <f>RIGHT(Airports[[#This Row],[ICAO]],3)</f>
        <v>KAL</v>
      </c>
      <c r="F10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t="s">
        <v>2148</v>
      </c>
      <c r="B1005" t="s">
        <v>2149</v>
      </c>
      <c r="C1005">
        <v>-34.666666999999997</v>
      </c>
      <c r="D1005">
        <v>150.85</v>
      </c>
      <c r="E1005" t="str">
        <f>RIGHT(Airports[[#This Row],[ICAO]],3)</f>
        <v>KAM</v>
      </c>
      <c r="F10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t="s">
        <v>2150</v>
      </c>
      <c r="B1006" t="s">
        <v>2151</v>
      </c>
      <c r="C1006">
        <v>-30.895</v>
      </c>
      <c r="D1006">
        <v>124.861389</v>
      </c>
      <c r="E1006" t="str">
        <f>RIGHT(Airports[[#This Row],[ICAO]],3)</f>
        <v>KAN</v>
      </c>
      <c r="F10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t="s">
        <v>2152</v>
      </c>
      <c r="B1007" t="s">
        <v>2153</v>
      </c>
      <c r="C1007">
        <v>-34.25</v>
      </c>
      <c r="D1007">
        <v>138.91666699999999</v>
      </c>
      <c r="E1007" t="str">
        <f>RIGHT(Airports[[#This Row],[ICAO]],3)</f>
        <v>KAP</v>
      </c>
      <c r="F10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t="s">
        <v>2154</v>
      </c>
      <c r="B1008" t="s">
        <v>2155</v>
      </c>
      <c r="C1008">
        <v>-29.216111000000001</v>
      </c>
      <c r="D1008">
        <v>116.686667</v>
      </c>
      <c r="E1008" t="str">
        <f>RIGHT(Airports[[#This Row],[ICAO]],3)</f>
        <v>KAR</v>
      </c>
      <c r="F10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t="s">
        <v>2156</v>
      </c>
      <c r="B1009" t="s">
        <v>2157</v>
      </c>
      <c r="C1009">
        <v>-22.156943999999999</v>
      </c>
      <c r="D1009">
        <v>116.157222</v>
      </c>
      <c r="E1009" t="str">
        <f>RIGHT(Airports[[#This Row],[ICAO]],3)</f>
        <v>KBA</v>
      </c>
      <c r="F10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t="s">
        <v>2158</v>
      </c>
      <c r="B1010" t="s">
        <v>2159</v>
      </c>
      <c r="C1010">
        <v>-30.840833</v>
      </c>
      <c r="D1010">
        <v>119.529167</v>
      </c>
      <c r="E1010" t="str">
        <f>RIGHT(Airports[[#This Row],[ICAO]],3)</f>
        <v>KBG</v>
      </c>
      <c r="F10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t="s">
        <v>2160</v>
      </c>
      <c r="B1011" t="s">
        <v>2161</v>
      </c>
      <c r="C1011">
        <v>-31.190556000000001</v>
      </c>
      <c r="D1011">
        <v>121.598333</v>
      </c>
      <c r="E1011" t="str">
        <f>RIGHT(Airports[[#This Row],[ICAO]],3)</f>
        <v>KBL</v>
      </c>
      <c r="F10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t="s">
        <v>2162</v>
      </c>
      <c r="B1012" t="s">
        <v>2163</v>
      </c>
      <c r="C1012">
        <v>-31.006388999999999</v>
      </c>
      <c r="D1012">
        <v>126.581389</v>
      </c>
      <c r="E1012" t="str">
        <f>RIGHT(Airports[[#This Row],[ICAO]],3)</f>
        <v>KBO</v>
      </c>
      <c r="F10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t="s">
        <v>2164</v>
      </c>
      <c r="B1013" t="s">
        <v>2165</v>
      </c>
      <c r="C1013">
        <v>-27.691943999999999</v>
      </c>
      <c r="D1013">
        <v>114.259444</v>
      </c>
      <c r="E1013" t="str">
        <f>RIGHT(Airports[[#This Row],[ICAO]],3)</f>
        <v>KBR</v>
      </c>
      <c r="F10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t="s">
        <v>2166</v>
      </c>
      <c r="B1014" t="s">
        <v>2167</v>
      </c>
      <c r="C1014">
        <v>-17.399722000000001</v>
      </c>
      <c r="D1014">
        <v>124.349722</v>
      </c>
      <c r="E1014" t="str">
        <f>RIGHT(Airports[[#This Row],[ICAO]],3)</f>
        <v>KBS</v>
      </c>
      <c r="F10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t="s">
        <v>2168</v>
      </c>
      <c r="B1015" t="s">
        <v>2169</v>
      </c>
      <c r="C1015">
        <v>-31.891943999999999</v>
      </c>
      <c r="D1015">
        <v>140.32722200000001</v>
      </c>
      <c r="E1015" t="str">
        <f>RIGHT(Airports[[#This Row],[ICAO]],3)</f>
        <v>KBT</v>
      </c>
      <c r="F10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t="s">
        <v>2170</v>
      </c>
      <c r="B1016" t="s">
        <v>2171</v>
      </c>
      <c r="C1016">
        <v>-32.835833000000001</v>
      </c>
      <c r="D1016">
        <v>134.292778</v>
      </c>
      <c r="E1016" t="str">
        <f>RIGHT(Airports[[#This Row],[ICAO]],3)</f>
        <v>KBY</v>
      </c>
      <c r="F10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t="s">
        <v>2172</v>
      </c>
      <c r="B1017" t="s">
        <v>2173</v>
      </c>
      <c r="C1017">
        <v>-24.26</v>
      </c>
      <c r="D1017">
        <v>131.49</v>
      </c>
      <c r="E1017" t="str">
        <f>RIGHT(Airports[[#This Row],[ICAO]],3)</f>
        <v>KCA</v>
      </c>
      <c r="F10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t="s">
        <v>2174</v>
      </c>
      <c r="B1018" t="s">
        <v>2175</v>
      </c>
      <c r="C1018">
        <v>-31.026667</v>
      </c>
      <c r="D1018">
        <v>124.183333</v>
      </c>
      <c r="E1018" t="str">
        <f>RIGHT(Airports[[#This Row],[ICAO]],3)</f>
        <v>KCH</v>
      </c>
      <c r="F10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t="s">
        <v>2176</v>
      </c>
      <c r="B1019" t="s">
        <v>2177</v>
      </c>
      <c r="C1019">
        <v>-39.849443999999998</v>
      </c>
      <c r="D1019">
        <v>147.86027799999999</v>
      </c>
      <c r="E1019" t="str">
        <f>RIGHT(Airports[[#This Row],[ICAO]],3)</f>
        <v>KCK</v>
      </c>
      <c r="F10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t="s">
        <v>2178</v>
      </c>
      <c r="B1020" t="s">
        <v>2179</v>
      </c>
      <c r="C1020">
        <v>-24.420278</v>
      </c>
      <c r="D1020">
        <v>131.81888900000001</v>
      </c>
      <c r="E1020" t="str">
        <f>RIGHT(Airports[[#This Row],[ICAO]],3)</f>
        <v>KCS</v>
      </c>
      <c r="F10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t="s">
        <v>2180</v>
      </c>
      <c r="B1021" t="s">
        <v>2181</v>
      </c>
      <c r="C1021">
        <v>-26.971111000000001</v>
      </c>
      <c r="D1021">
        <v>152.56527800000001</v>
      </c>
      <c r="E1021" t="str">
        <f>RIGHT(Airports[[#This Row],[ICAO]],3)</f>
        <v>KCY</v>
      </c>
      <c r="F10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t="s">
        <v>2182</v>
      </c>
      <c r="B1022" t="s">
        <v>2183</v>
      </c>
      <c r="C1022">
        <v>-27.50666</v>
      </c>
      <c r="D1022">
        <v>151.50470999999999</v>
      </c>
      <c r="E1022" t="str">
        <f>RIGHT(Airports[[#This Row],[ICAO]],3)</f>
        <v>KDA</v>
      </c>
      <c r="F10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t="s">
        <v>2184</v>
      </c>
      <c r="B1023" t="s">
        <v>2185</v>
      </c>
      <c r="C1023">
        <v>-22.505278000000001</v>
      </c>
      <c r="D1023">
        <v>119.076111</v>
      </c>
      <c r="E1023" t="str">
        <f>RIGHT(Airports[[#This Row],[ICAO]],3)</f>
        <v>KDD</v>
      </c>
      <c r="F10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t="s">
        <v>2186</v>
      </c>
      <c r="B1024" t="s">
        <v>2187</v>
      </c>
      <c r="C1024">
        <v>-33.97</v>
      </c>
      <c r="D1024">
        <v>137.66</v>
      </c>
      <c r="E1024" t="str">
        <f>RIGHT(Airports[[#This Row],[ICAO]],3)</f>
        <v>KDI</v>
      </c>
      <c r="F10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t="s">
        <v>2188</v>
      </c>
      <c r="B1025" t="s">
        <v>2189</v>
      </c>
      <c r="C1025">
        <v>-16.115832999999999</v>
      </c>
      <c r="D1025">
        <v>130.95333299999999</v>
      </c>
      <c r="E1025" t="str">
        <f>RIGHT(Airports[[#This Row],[ICAO]],3)</f>
        <v>KDM</v>
      </c>
      <c r="F10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t="s">
        <v>2190</v>
      </c>
      <c r="B1026" t="s">
        <v>2191</v>
      </c>
      <c r="C1026">
        <v>-32.467500000000001</v>
      </c>
      <c r="D1026">
        <v>118.269722</v>
      </c>
      <c r="E1026" t="str">
        <f>RIGHT(Airports[[#This Row],[ICAO]],3)</f>
        <v>KDN</v>
      </c>
      <c r="F10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t="s">
        <v>2192</v>
      </c>
      <c r="B1027" t="s">
        <v>2193</v>
      </c>
      <c r="C1027">
        <v>-31.6175</v>
      </c>
      <c r="D1027">
        <v>117.723889</v>
      </c>
      <c r="E1027" t="str">
        <f>RIGHT(Airports[[#This Row],[ICAO]],3)</f>
        <v>KEB</v>
      </c>
      <c r="F10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t="s">
        <v>2194</v>
      </c>
      <c r="B1028" t="s">
        <v>2195</v>
      </c>
      <c r="C1028">
        <v>-26.333333</v>
      </c>
      <c r="D1028">
        <v>132.466667</v>
      </c>
      <c r="E1028" t="str">
        <f>RIGHT(Airports[[#This Row],[ICAO]],3)</f>
        <v>KEN</v>
      </c>
      <c r="F10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t="s">
        <v>2196</v>
      </c>
      <c r="B1029" t="s">
        <v>2197</v>
      </c>
      <c r="C1029">
        <v>-30.89</v>
      </c>
      <c r="D1029">
        <v>150.526667</v>
      </c>
      <c r="E1029" t="str">
        <f>RIGHT(Airports[[#This Row],[ICAO]],3)</f>
        <v>KEP</v>
      </c>
      <c r="F10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t="s">
        <v>2198</v>
      </c>
      <c r="B1030" t="s">
        <v>2199</v>
      </c>
      <c r="C1030">
        <v>-35.751389000000003</v>
      </c>
      <c r="D1030">
        <v>143.93944400000001</v>
      </c>
      <c r="E1030" t="str">
        <f>RIGHT(Airports[[#This Row],[ICAO]],3)</f>
        <v>KER</v>
      </c>
      <c r="F10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t="s">
        <v>2200</v>
      </c>
      <c r="B1031" t="s">
        <v>2201</v>
      </c>
      <c r="C1031">
        <v>-29.4925</v>
      </c>
      <c r="D1031">
        <v>149.50972200000001</v>
      </c>
      <c r="E1031" t="str">
        <f>RIGHT(Airports[[#This Row],[ICAO]],3)</f>
        <v>KEY</v>
      </c>
      <c r="F10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t="s">
        <v>2202</v>
      </c>
      <c r="B1032" t="s">
        <v>2203</v>
      </c>
      <c r="C1032">
        <v>-34.724167000000001</v>
      </c>
      <c r="D1032">
        <v>147.14416700000001</v>
      </c>
      <c r="E1032" t="str">
        <f>RIGHT(Airports[[#This Row],[ICAO]],3)</f>
        <v>KFS</v>
      </c>
      <c r="F10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t="s">
        <v>2204</v>
      </c>
      <c r="B1033" t="s">
        <v>2205</v>
      </c>
      <c r="C1033">
        <v>-30.914444</v>
      </c>
      <c r="D1033">
        <v>135.307222</v>
      </c>
      <c r="E1033" t="str">
        <f>RIGHT(Airports[[#This Row],[ICAO]],3)</f>
        <v>KGA</v>
      </c>
      <c r="F10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t="s">
        <v>2206</v>
      </c>
      <c r="B1034" t="s">
        <v>2207</v>
      </c>
      <c r="C1034">
        <v>-27.866667</v>
      </c>
      <c r="D1034">
        <v>152.91666699999999</v>
      </c>
      <c r="E1034" t="str">
        <f>RIGHT(Airports[[#This Row],[ICAO]],3)</f>
        <v>KGU</v>
      </c>
      <c r="F10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t="s">
        <v>2208</v>
      </c>
      <c r="B1035" t="s">
        <v>2209</v>
      </c>
      <c r="C1035">
        <v>-36.213611</v>
      </c>
      <c r="D1035">
        <v>148.109722</v>
      </c>
      <c r="E1035" t="str">
        <f>RIGHT(Airports[[#This Row],[ICAO]],3)</f>
        <v>KHA</v>
      </c>
      <c r="F10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t="s">
        <v>2210</v>
      </c>
      <c r="B1036" t="s">
        <v>2211</v>
      </c>
      <c r="C1036">
        <v>-27.497778</v>
      </c>
      <c r="D1036">
        <v>152.77444399999999</v>
      </c>
      <c r="E1036" t="str">
        <f>RIGHT(Airports[[#This Row],[ICAO]],3)</f>
        <v>KHO</v>
      </c>
      <c r="F10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t="s">
        <v>2212</v>
      </c>
      <c r="B1037" t="s">
        <v>2213</v>
      </c>
      <c r="C1037">
        <v>-17.241667</v>
      </c>
      <c r="D1037">
        <v>136.17500000000001</v>
      </c>
      <c r="E1037" t="str">
        <f>RIGHT(Airports[[#This Row],[ICAO]],3)</f>
        <v>KIA</v>
      </c>
      <c r="F10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t="s">
        <v>2214</v>
      </c>
      <c r="B1038" t="s">
        <v>2215</v>
      </c>
      <c r="C1038">
        <v>-16.683056000000001</v>
      </c>
      <c r="D1038">
        <v>123.833333</v>
      </c>
      <c r="E1038" t="str">
        <f>RIGHT(Airports[[#This Row],[ICAO]],3)</f>
        <v>KIB</v>
      </c>
      <c r="F10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t="s">
        <v>2216</v>
      </c>
      <c r="B1039" t="s">
        <v>2217</v>
      </c>
      <c r="C1039">
        <v>-22.816666999999999</v>
      </c>
      <c r="D1039">
        <v>127.75</v>
      </c>
      <c r="E1039" t="str">
        <f>RIGHT(Airports[[#This Row],[ICAO]],3)</f>
        <v>KIC</v>
      </c>
      <c r="F10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t="s">
        <v>2218</v>
      </c>
      <c r="B1040" t="s">
        <v>2219</v>
      </c>
      <c r="C1040">
        <v>-18.870833000000001</v>
      </c>
      <c r="D1040">
        <v>144.17333300000001</v>
      </c>
      <c r="E1040" t="str">
        <f>RIGHT(Airports[[#This Row],[ICAO]],3)</f>
        <v>KID</v>
      </c>
      <c r="F10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t="s">
        <v>2220</v>
      </c>
      <c r="B1041" t="s">
        <v>2221</v>
      </c>
      <c r="C1041">
        <v>-36.82</v>
      </c>
      <c r="D1041">
        <v>139.87</v>
      </c>
      <c r="E1041" t="str">
        <f>RIGHT(Airports[[#This Row],[ICAO]],3)</f>
        <v>KIG</v>
      </c>
      <c r="F10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t="s">
        <v>2222</v>
      </c>
      <c r="B1042" t="s">
        <v>2223</v>
      </c>
      <c r="C1042">
        <v>-27.383056</v>
      </c>
      <c r="D1042">
        <v>142.44972200000001</v>
      </c>
      <c r="E1042" t="str">
        <f>RIGHT(Airports[[#This Row],[ICAO]],3)</f>
        <v>KIH</v>
      </c>
      <c r="F10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t="s">
        <v>2224</v>
      </c>
      <c r="B1043" t="s">
        <v>2225</v>
      </c>
      <c r="C1043">
        <v>-39.877499999999998</v>
      </c>
      <c r="D1043">
        <v>143.878333</v>
      </c>
      <c r="E1043" t="str">
        <f>RIGHT(Airports[[#This Row],[ICAO]],3)</f>
        <v>KII</v>
      </c>
      <c r="F10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t="s">
        <v>2226</v>
      </c>
      <c r="B1044" t="s">
        <v>2227</v>
      </c>
      <c r="C1044">
        <v>-16.431111000000001</v>
      </c>
      <c r="D1044">
        <v>129.613889</v>
      </c>
      <c r="E1044" t="str">
        <f>RIGHT(Airports[[#This Row],[ICAO]],3)</f>
        <v>KIL</v>
      </c>
      <c r="F10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t="s">
        <v>2228</v>
      </c>
      <c r="B1045" t="s">
        <v>2229</v>
      </c>
      <c r="C1045">
        <v>-17.778333</v>
      </c>
      <c r="D1045">
        <v>129.20944399999999</v>
      </c>
      <c r="E1045" t="str">
        <f>RIGHT(Airports[[#This Row],[ICAO]],3)</f>
        <v>KIR</v>
      </c>
      <c r="F10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t="s">
        <v>2230</v>
      </c>
      <c r="B1046" t="s">
        <v>2231</v>
      </c>
      <c r="C1046">
        <v>-35.985833999999997</v>
      </c>
      <c r="D1046">
        <v>136.83466200000001</v>
      </c>
      <c r="E1046" t="str">
        <f>RIGHT(Airports[[#This Row],[ICAO]],3)</f>
        <v>KIS</v>
      </c>
      <c r="F10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t="s">
        <v>2232</v>
      </c>
      <c r="B1047" t="s">
        <v>2233</v>
      </c>
      <c r="C1047">
        <v>-23.116667</v>
      </c>
      <c r="D1047">
        <v>149.36666700000001</v>
      </c>
      <c r="E1047" t="str">
        <f>RIGHT(Airports[[#This Row],[ICAO]],3)</f>
        <v>KIU</v>
      </c>
      <c r="F10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t="s">
        <v>2234</v>
      </c>
      <c r="B1048" t="s">
        <v>2235</v>
      </c>
      <c r="C1048">
        <v>-15.883056</v>
      </c>
      <c r="D1048">
        <v>143.516389</v>
      </c>
      <c r="E1048" t="str">
        <f>RIGHT(Airports[[#This Row],[ICAO]],3)</f>
        <v>KJN</v>
      </c>
      <c r="F10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t="s">
        <v>2236</v>
      </c>
      <c r="B1049" t="s">
        <v>2237</v>
      </c>
      <c r="C1049">
        <v>-17.431944000000001</v>
      </c>
      <c r="D1049">
        <v>130.80805599999999</v>
      </c>
      <c r="E1049" t="str">
        <f>RIGHT(Airports[[#This Row],[ICAO]],3)</f>
        <v>KKG</v>
      </c>
      <c r="F10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t="s">
        <v>2238</v>
      </c>
      <c r="B1050" t="s">
        <v>2239</v>
      </c>
      <c r="C1050">
        <v>-31.291388999999999</v>
      </c>
      <c r="D1050">
        <v>135.24166700000001</v>
      </c>
      <c r="E1050" t="str">
        <f>RIGHT(Airports[[#This Row],[ICAO]],3)</f>
        <v>KKH</v>
      </c>
      <c r="F10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t="s">
        <v>2240</v>
      </c>
      <c r="B1051" t="s">
        <v>2241</v>
      </c>
      <c r="C1051">
        <v>-34.379167000000002</v>
      </c>
      <c r="D1051">
        <v>116.322222</v>
      </c>
      <c r="E1051" t="str">
        <f>RIGHT(Airports[[#This Row],[ICAO]],3)</f>
        <v>KKN</v>
      </c>
      <c r="F10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t="s">
        <v>2242</v>
      </c>
      <c r="B1052" t="s">
        <v>2243</v>
      </c>
      <c r="C1052">
        <v>-15.916667</v>
      </c>
      <c r="D1052">
        <v>142.44972200000001</v>
      </c>
      <c r="E1052" t="str">
        <f>RIGHT(Airports[[#This Row],[ICAO]],3)</f>
        <v>KLA</v>
      </c>
      <c r="F10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t="s">
        <v>2244</v>
      </c>
      <c r="B1053" t="s">
        <v>2245</v>
      </c>
      <c r="C1053">
        <v>-15.316388999999999</v>
      </c>
      <c r="D1053">
        <v>143.96638899999999</v>
      </c>
      <c r="E1053" t="str">
        <f>RIGHT(Airports[[#This Row],[ICAO]],3)</f>
        <v>KLB</v>
      </c>
      <c r="F10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t="s">
        <v>2246</v>
      </c>
      <c r="B1054" t="s">
        <v>2247</v>
      </c>
      <c r="C1054">
        <v>-16.125833</v>
      </c>
      <c r="D1054">
        <v>123.734722</v>
      </c>
      <c r="E1054" t="str">
        <f>RIGHT(Airports[[#This Row],[ICAO]],3)</f>
        <v>KLC</v>
      </c>
      <c r="F10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t="s">
        <v>2248</v>
      </c>
      <c r="B1055" t="s">
        <v>2249</v>
      </c>
      <c r="C1055">
        <v>-16.250278000000002</v>
      </c>
      <c r="D1055">
        <v>131.74694400000001</v>
      </c>
      <c r="E1055" t="str">
        <f>RIGHT(Airports[[#This Row],[ICAO]],3)</f>
        <v>KLE</v>
      </c>
      <c r="F10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t="s">
        <v>2250</v>
      </c>
      <c r="B1056" t="s">
        <v>2251</v>
      </c>
      <c r="C1056">
        <v>-15.2</v>
      </c>
      <c r="D1056">
        <v>143.85</v>
      </c>
      <c r="E1056" t="str">
        <f>RIGHT(Airports[[#This Row],[ICAO]],3)</f>
        <v>KLG</v>
      </c>
      <c r="F10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t="s">
        <v>2252</v>
      </c>
      <c r="B1057" t="s">
        <v>2253</v>
      </c>
      <c r="C1057">
        <v>-21.754722000000001</v>
      </c>
      <c r="D1057">
        <v>138.891389</v>
      </c>
      <c r="E1057" t="str">
        <f>RIGHT(Airports[[#This Row],[ICAO]],3)</f>
        <v>KLL</v>
      </c>
      <c r="F10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t="s">
        <v>2254</v>
      </c>
      <c r="B1058" t="s">
        <v>2255</v>
      </c>
      <c r="C1058">
        <v>-15.425000000000001</v>
      </c>
      <c r="D1058">
        <v>143.494722</v>
      </c>
      <c r="E1058" t="str">
        <f>RIGHT(Airports[[#This Row],[ICAO]],3)</f>
        <v>KLN</v>
      </c>
      <c r="F10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t="s">
        <v>2256</v>
      </c>
      <c r="B1059" t="s">
        <v>2257</v>
      </c>
      <c r="C1059">
        <v>-27.751944000000002</v>
      </c>
      <c r="D1059">
        <v>138.269722</v>
      </c>
      <c r="E1059" t="str">
        <f>RIGHT(Airports[[#This Row],[ICAO]],3)</f>
        <v>KLR</v>
      </c>
      <c r="F10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t="s">
        <v>2258</v>
      </c>
      <c r="B1060" t="s">
        <v>2259</v>
      </c>
      <c r="C1060">
        <v>-33.763333000000003</v>
      </c>
      <c r="D1060">
        <v>115.043333</v>
      </c>
      <c r="E1060" t="str">
        <f>RIGHT(Airports[[#This Row],[ICAO]],3)</f>
        <v>KLS</v>
      </c>
      <c r="F10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t="s">
        <v>2260</v>
      </c>
      <c r="B1061" t="s">
        <v>2261</v>
      </c>
      <c r="C1061">
        <v>-17.455556000000001</v>
      </c>
      <c r="D1061">
        <v>140.83166700000001</v>
      </c>
      <c r="E1061" t="str">
        <f>RIGHT(Airports[[#This Row],[ICAO]],3)</f>
        <v>KMB</v>
      </c>
      <c r="F10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t="s">
        <v>2262</v>
      </c>
      <c r="B1062" t="s">
        <v>2263</v>
      </c>
      <c r="C1062">
        <v>-17.881111000000001</v>
      </c>
      <c r="D1062">
        <v>146.09222199999999</v>
      </c>
      <c r="E1062" t="str">
        <f>RIGHT(Airports[[#This Row],[ICAO]],3)</f>
        <v>KMH</v>
      </c>
      <c r="F10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t="s">
        <v>2264</v>
      </c>
      <c r="B1063" t="s">
        <v>2265</v>
      </c>
      <c r="C1063">
        <v>-19.374721999999998</v>
      </c>
      <c r="D1063">
        <v>140.05611099999999</v>
      </c>
      <c r="E1063" t="str">
        <f>RIGHT(Airports[[#This Row],[ICAO]],3)</f>
        <v>KML</v>
      </c>
      <c r="F10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t="s">
        <v>2266</v>
      </c>
      <c r="B1064" t="s">
        <v>2267</v>
      </c>
      <c r="C1064">
        <v>-31.074444</v>
      </c>
      <c r="D1064">
        <v>152.769722</v>
      </c>
      <c r="E1064" t="str">
        <f>RIGHT(Airports[[#This Row],[ICAO]],3)</f>
        <v>KMP</v>
      </c>
      <c r="F10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t="s">
        <v>2268</v>
      </c>
      <c r="B1065" t="s">
        <v>2269</v>
      </c>
      <c r="C1065">
        <v>-29.625556</v>
      </c>
      <c r="D1065">
        <v>149.11361099999999</v>
      </c>
      <c r="E1065" t="str">
        <f>RIGHT(Airports[[#This Row],[ICAO]],3)</f>
        <v>KND</v>
      </c>
      <c r="F10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t="s">
        <v>2270</v>
      </c>
      <c r="B1066" t="s">
        <v>2271</v>
      </c>
      <c r="C1066">
        <v>-33.700277999999997</v>
      </c>
      <c r="D1066">
        <v>117.653333</v>
      </c>
      <c r="E1066" t="str">
        <f>RIGHT(Airports[[#This Row],[ICAO]],3)</f>
        <v>KNG</v>
      </c>
      <c r="F10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t="s">
        <v>2272</v>
      </c>
      <c r="B1067" t="s">
        <v>2273</v>
      </c>
      <c r="C1067">
        <v>-26.283055999999998</v>
      </c>
      <c r="D1067">
        <v>117.783056</v>
      </c>
      <c r="E1067" t="str">
        <f>RIGHT(Airports[[#This Row],[ICAO]],3)</f>
        <v>KNM</v>
      </c>
      <c r="F10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t="s">
        <v>2274</v>
      </c>
      <c r="B1068" t="s">
        <v>2275</v>
      </c>
      <c r="C1068">
        <v>-31.126667000000001</v>
      </c>
      <c r="D1068">
        <v>117.911389</v>
      </c>
      <c r="E1068" t="str">
        <f>RIGHT(Airports[[#This Row],[ICAO]],3)</f>
        <v>KNP</v>
      </c>
      <c r="F10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t="s">
        <v>2276</v>
      </c>
      <c r="B1069" t="s">
        <v>2277</v>
      </c>
      <c r="C1069">
        <v>-23.264721999999999</v>
      </c>
      <c r="D1069">
        <v>129.38472200000001</v>
      </c>
      <c r="E1069" t="str">
        <f>RIGHT(Airports[[#This Row],[ICAO]],3)</f>
        <v>KNT</v>
      </c>
      <c r="F10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t="s">
        <v>2278</v>
      </c>
      <c r="B1070" t="s">
        <v>2279</v>
      </c>
      <c r="C1070">
        <v>-36.370277999999999</v>
      </c>
      <c r="D1070">
        <v>141.24361099999999</v>
      </c>
      <c r="E1070" t="str">
        <f>RIGHT(Airports[[#This Row],[ICAO]],3)</f>
        <v>KNV</v>
      </c>
      <c r="F10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t="s">
        <v>2280</v>
      </c>
      <c r="B1071" t="s">
        <v>2281</v>
      </c>
      <c r="C1071">
        <v>-28.632777999999998</v>
      </c>
      <c r="D1071">
        <v>150.53388899999999</v>
      </c>
      <c r="E1071" t="str">
        <f>RIGHT(Airports[[#This Row],[ICAO]],3)</f>
        <v>KOA</v>
      </c>
      <c r="F10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t="s">
        <v>2282</v>
      </c>
      <c r="B1072" t="s">
        <v>2283</v>
      </c>
      <c r="C1072">
        <v>-33.750278000000002</v>
      </c>
      <c r="D1072">
        <v>117.13583300000001</v>
      </c>
      <c r="E1072" t="str">
        <f>RIGHT(Airports[[#This Row],[ICAO]],3)</f>
        <v>KOJ</v>
      </c>
      <c r="F10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t="s">
        <v>2284</v>
      </c>
      <c r="B1073" t="s">
        <v>2285</v>
      </c>
      <c r="C1073">
        <v>-29.35</v>
      </c>
      <c r="D1073">
        <v>121.483056</v>
      </c>
      <c r="E1073" t="str">
        <f>RIGHT(Airports[[#This Row],[ICAO]],3)</f>
        <v>KOK</v>
      </c>
      <c r="F10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t="s">
        <v>2286</v>
      </c>
      <c r="B1074" t="s">
        <v>2287</v>
      </c>
      <c r="C1074">
        <v>-32.415556000000002</v>
      </c>
      <c r="D1074">
        <v>136.29750000000001</v>
      </c>
      <c r="E1074" t="str">
        <f>RIGHT(Airports[[#This Row],[ICAO]],3)</f>
        <v>KOL</v>
      </c>
      <c r="F10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t="s">
        <v>2288</v>
      </c>
      <c r="B1075" t="s">
        <v>2289</v>
      </c>
      <c r="C1075">
        <v>-13.9375</v>
      </c>
      <c r="D1075">
        <v>127.325</v>
      </c>
      <c r="E1075" t="str">
        <f>RIGHT(Airports[[#This Row],[ICAO]],3)</f>
        <v>KOO</v>
      </c>
      <c r="F10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t="s">
        <v>2290</v>
      </c>
      <c r="B1076" t="s">
        <v>2291</v>
      </c>
      <c r="C1076">
        <v>-15.485556000000001</v>
      </c>
      <c r="D1076">
        <v>141.75138899999999</v>
      </c>
      <c r="E1076" t="str">
        <f>RIGHT(Airports[[#This Row],[ICAO]],3)</f>
        <v>KOW</v>
      </c>
      <c r="F10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t="s">
        <v>2292</v>
      </c>
      <c r="B1077" t="s">
        <v>2293</v>
      </c>
      <c r="C1077">
        <v>-14.899722000000001</v>
      </c>
      <c r="D1077">
        <v>144.19972200000001</v>
      </c>
      <c r="E1077" t="str">
        <f>RIGHT(Airports[[#This Row],[ICAO]],3)</f>
        <v>KPR</v>
      </c>
      <c r="F10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t="s">
        <v>2294</v>
      </c>
      <c r="B1078" t="s">
        <v>2295</v>
      </c>
      <c r="C1078">
        <v>-30.966667000000001</v>
      </c>
      <c r="D1078">
        <v>122.533333</v>
      </c>
      <c r="E1078" t="str">
        <f>RIGHT(Airports[[#This Row],[ICAO]],3)</f>
        <v>KRE</v>
      </c>
      <c r="F10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t="s">
        <v>2296</v>
      </c>
      <c r="B1079" t="s">
        <v>2297</v>
      </c>
      <c r="C1079">
        <v>-15.474444</v>
      </c>
      <c r="D1079">
        <v>124.524722</v>
      </c>
      <c r="E1079" t="str">
        <f>RIGHT(Airports[[#This Row],[ICAO]],3)</f>
        <v>KRI</v>
      </c>
      <c r="F10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t="s">
        <v>2298</v>
      </c>
      <c r="B1080" t="s">
        <v>2299</v>
      </c>
      <c r="C1080">
        <v>-16.283055999999998</v>
      </c>
      <c r="D1080">
        <v>127.183333</v>
      </c>
      <c r="E1080" t="str">
        <f>RIGHT(Airports[[#This Row],[ICAO]],3)</f>
        <v>KRJ</v>
      </c>
      <c r="F10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t="s">
        <v>2300</v>
      </c>
      <c r="B1081" t="s">
        <v>2301</v>
      </c>
      <c r="C1081">
        <v>-28.692222000000001</v>
      </c>
      <c r="D1081">
        <v>117.764444</v>
      </c>
      <c r="E1081" t="str">
        <f>RIGHT(Airports[[#This Row],[ICAO]],3)</f>
        <v>KRK</v>
      </c>
      <c r="F10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t="s">
        <v>2302</v>
      </c>
      <c r="B1082" t="s">
        <v>2303</v>
      </c>
      <c r="C1082">
        <v>-25.906110999999999</v>
      </c>
      <c r="D1082">
        <v>142.80500000000001</v>
      </c>
      <c r="E1082" t="str">
        <f>RIGHT(Airports[[#This Row],[ICAO]],3)</f>
        <v>KRL</v>
      </c>
      <c r="F10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t="s">
        <v>2304</v>
      </c>
      <c r="B1083" t="s">
        <v>2305</v>
      </c>
      <c r="C1083">
        <v>-29.672778000000001</v>
      </c>
      <c r="D1083">
        <v>149.454444</v>
      </c>
      <c r="E1083" t="str">
        <f>RIGHT(Airports[[#This Row],[ICAO]],3)</f>
        <v>KRU</v>
      </c>
      <c r="F10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t="s">
        <v>2306</v>
      </c>
      <c r="B1084" t="s">
        <v>2307</v>
      </c>
      <c r="C1084">
        <v>-13.744721999999999</v>
      </c>
      <c r="D1084">
        <v>142.130833</v>
      </c>
      <c r="E1084" t="str">
        <f>RIGHT(Airports[[#This Row],[ICAO]],3)</f>
        <v>KRV</v>
      </c>
      <c r="F10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t="s">
        <v>2308</v>
      </c>
      <c r="B1085" t="s">
        <v>2309</v>
      </c>
      <c r="C1085">
        <v>-22.5</v>
      </c>
      <c r="D1085">
        <v>149.149722</v>
      </c>
      <c r="E1085" t="str">
        <f>RIGHT(Airports[[#This Row],[ICAO]],3)</f>
        <v>KRW</v>
      </c>
      <c r="F10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t="s">
        <v>2310</v>
      </c>
      <c r="B1086" t="s">
        <v>2311</v>
      </c>
      <c r="C1086">
        <v>-26.580832999999998</v>
      </c>
      <c r="D1086">
        <v>151.84111100000001</v>
      </c>
      <c r="E1086" t="str">
        <f>RIGHT(Airports[[#This Row],[ICAO]],3)</f>
        <v>KRY</v>
      </c>
      <c r="F10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t="s">
        <v>2312</v>
      </c>
      <c r="B1087" t="s">
        <v>2313</v>
      </c>
      <c r="C1087">
        <v>-35.713889000000002</v>
      </c>
      <c r="D1087">
        <v>137.521389</v>
      </c>
      <c r="E1087" t="str">
        <f>RIGHT(Airports[[#This Row],[ICAO]],3)</f>
        <v>KSC</v>
      </c>
      <c r="F10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t="s">
        <v>2314</v>
      </c>
      <c r="B1088" t="s">
        <v>2315</v>
      </c>
      <c r="C1088">
        <v>-20.916388999999999</v>
      </c>
      <c r="D1088">
        <v>149.41666699999999</v>
      </c>
      <c r="E1088" t="str">
        <f>RIGHT(Airports[[#This Row],[ICAO]],3)</f>
        <v>KSI</v>
      </c>
      <c r="F10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t="s">
        <v>2316</v>
      </c>
      <c r="B1089" t="s">
        <v>2317</v>
      </c>
      <c r="C1089">
        <v>-33.831944</v>
      </c>
      <c r="D1089">
        <v>150.744722</v>
      </c>
      <c r="E1089" t="str">
        <f>RIGHT(Airports[[#This Row],[ICAO]],3)</f>
        <v>KST</v>
      </c>
      <c r="F10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t="s">
        <v>2318</v>
      </c>
      <c r="B1090" t="s">
        <v>2319</v>
      </c>
      <c r="C1090">
        <v>-36.114167000000002</v>
      </c>
      <c r="D1090">
        <v>140.25222199999999</v>
      </c>
      <c r="E1090" t="str">
        <f>RIGHT(Airports[[#This Row],[ICAO]],3)</f>
        <v>KTH</v>
      </c>
      <c r="F10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t="s">
        <v>2320</v>
      </c>
      <c r="B1091" t="s">
        <v>2321</v>
      </c>
      <c r="C1091">
        <v>-37.225555999999997</v>
      </c>
      <c r="D1091">
        <v>144.446944</v>
      </c>
      <c r="E1091" t="str">
        <f>RIGHT(Airports[[#This Row],[ICAO]],3)</f>
        <v>KTN</v>
      </c>
      <c r="F10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t="s">
        <v>2322</v>
      </c>
      <c r="B1092" t="s">
        <v>2323</v>
      </c>
      <c r="C1092">
        <v>-28.672499999999999</v>
      </c>
      <c r="D1092">
        <v>149.19305600000001</v>
      </c>
      <c r="E1092" t="str">
        <f>RIGHT(Airports[[#This Row],[ICAO]],3)</f>
        <v>KUA</v>
      </c>
      <c r="F10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t="s">
        <v>2324</v>
      </c>
      <c r="B1093" t="s">
        <v>2325</v>
      </c>
      <c r="C1093">
        <v>-10.226667000000001</v>
      </c>
      <c r="D1093">
        <v>142.22361100000001</v>
      </c>
      <c r="E1093" t="str">
        <f>RIGHT(Airports[[#This Row],[ICAO]],3)</f>
        <v>KUB</v>
      </c>
      <c r="F10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t="s">
        <v>2326</v>
      </c>
      <c r="B1094" t="s">
        <v>2327</v>
      </c>
      <c r="C1094">
        <v>-33.174999999999997</v>
      </c>
      <c r="D1094">
        <v>118.081667</v>
      </c>
      <c r="E1094" t="str">
        <f>RIGHT(Airports[[#This Row],[ICAO]],3)</f>
        <v>KUK</v>
      </c>
      <c r="F10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t="s">
        <v>2328</v>
      </c>
      <c r="B1095" t="s">
        <v>2329</v>
      </c>
      <c r="C1095">
        <v>-25.842500000000001</v>
      </c>
      <c r="D1095">
        <v>133.29333299999999</v>
      </c>
      <c r="E1095" t="str">
        <f>RIGHT(Airports[[#This Row],[ICAO]],3)</f>
        <v>KUL</v>
      </c>
      <c r="F10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t="s">
        <v>2330</v>
      </c>
      <c r="B1096" t="s">
        <v>2331</v>
      </c>
      <c r="C1096">
        <v>-27.229444000000001</v>
      </c>
      <c r="D1096">
        <v>150.87194400000001</v>
      </c>
      <c r="E1096" t="str">
        <f>RIGHT(Airports[[#This Row],[ICAO]],3)</f>
        <v>KUM</v>
      </c>
      <c r="F10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t="s">
        <v>2332</v>
      </c>
      <c r="B1097" t="s">
        <v>2333</v>
      </c>
      <c r="C1097">
        <v>-20.501667000000001</v>
      </c>
      <c r="D1097">
        <v>134.673889</v>
      </c>
      <c r="E1097" t="str">
        <f>RIGHT(Airports[[#This Row],[ICAO]],3)</f>
        <v>KUR</v>
      </c>
      <c r="F10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t="s">
        <v>2334</v>
      </c>
      <c r="B1098" t="s">
        <v>2335</v>
      </c>
      <c r="C1098">
        <v>-15.711389</v>
      </c>
      <c r="D1098">
        <v>143.7475</v>
      </c>
      <c r="E1098" t="str">
        <f>RIGHT(Airports[[#This Row],[ICAO]],3)</f>
        <v>KVA</v>
      </c>
      <c r="F10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t="s">
        <v>2336</v>
      </c>
      <c r="B1099" t="s">
        <v>2337</v>
      </c>
      <c r="C1099">
        <v>-23.781110999999999</v>
      </c>
      <c r="D1099">
        <v>120.13500000000001</v>
      </c>
      <c r="E1099" t="str">
        <f>RIGHT(Airports[[#This Row],[ICAO]],3)</f>
        <v>KWA</v>
      </c>
      <c r="F10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t="s">
        <v>2338</v>
      </c>
      <c r="B1100" t="s">
        <v>2339</v>
      </c>
      <c r="C1100">
        <v>-31.785</v>
      </c>
      <c r="D1100">
        <v>135.63833299999999</v>
      </c>
      <c r="E1100" t="str">
        <f>RIGHT(Airports[[#This Row],[ICAO]],3)</f>
        <v>KWG</v>
      </c>
      <c r="F1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t="s">
        <v>2340</v>
      </c>
      <c r="B1101" t="s">
        <v>2341</v>
      </c>
      <c r="C1101">
        <v>-23.818888999999999</v>
      </c>
      <c r="D1101">
        <v>145.40305599999999</v>
      </c>
      <c r="E1101" t="str">
        <f>RIGHT(Airports[[#This Row],[ICAO]],3)</f>
        <v>KYE</v>
      </c>
      <c r="F1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t="s">
        <v>2342</v>
      </c>
      <c r="B1102" t="s">
        <v>2343</v>
      </c>
      <c r="C1102">
        <v>-21.6</v>
      </c>
      <c r="D1102">
        <v>141.91666699999999</v>
      </c>
      <c r="E1102" t="str">
        <f>RIGHT(Airports[[#This Row],[ICAO]],3)</f>
        <v>KYN</v>
      </c>
      <c r="F1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t="s">
        <v>2344</v>
      </c>
      <c r="B1103" t="s">
        <v>2345</v>
      </c>
      <c r="C1103">
        <v>-26.299721999999999</v>
      </c>
      <c r="D1103">
        <v>143.183333</v>
      </c>
      <c r="E1103" t="str">
        <f>RIGHT(Airports[[#This Row],[ICAO]],3)</f>
        <v>KYR</v>
      </c>
      <c r="F1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t="s">
        <v>2346</v>
      </c>
      <c r="B1104" t="s">
        <v>2347</v>
      </c>
      <c r="C1104">
        <v>-34.555</v>
      </c>
      <c r="D1104">
        <v>139.13166699999999</v>
      </c>
      <c r="E1104" t="str">
        <f>RIGHT(Airports[[#This Row],[ICAO]],3)</f>
        <v>KYT</v>
      </c>
      <c r="F1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t="s">
        <v>2348</v>
      </c>
      <c r="B1105" t="s">
        <v>2349</v>
      </c>
      <c r="C1105">
        <v>-22.261666999999999</v>
      </c>
      <c r="D1105">
        <v>143.611389</v>
      </c>
      <c r="E1105" t="str">
        <f>RIGHT(Airports[[#This Row],[ICAO]],3)</f>
        <v>KYW</v>
      </c>
      <c r="F11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t="s">
        <v>2350</v>
      </c>
      <c r="B1106" t="s">
        <v>2351</v>
      </c>
      <c r="C1106">
        <v>-26.799721999999999</v>
      </c>
      <c r="D1106">
        <v>152.96638899999999</v>
      </c>
      <c r="E1106" t="str">
        <f>RIGHT(Airports[[#This Row],[ICAO]],3)</f>
        <v>LAB</v>
      </c>
      <c r="F11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t="s">
        <v>2352</v>
      </c>
      <c r="B1107" t="s">
        <v>2353</v>
      </c>
      <c r="C1107">
        <v>-13.114722</v>
      </c>
      <c r="D1107">
        <v>130.496667</v>
      </c>
      <c r="E1107" t="str">
        <f>RIGHT(Airports[[#This Row],[ICAO]],3)</f>
        <v>LAE</v>
      </c>
      <c r="F11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t="s">
        <v>2354</v>
      </c>
      <c r="B1108" t="s">
        <v>2355</v>
      </c>
      <c r="C1108">
        <v>-42.886944</v>
      </c>
      <c r="D1108">
        <v>147.95527799999999</v>
      </c>
      <c r="E1108" t="str">
        <f>RIGHT(Airports[[#This Row],[ICAO]],3)</f>
        <v>LAG</v>
      </c>
      <c r="F11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t="s">
        <v>2356</v>
      </c>
      <c r="B1109" t="s">
        <v>2357</v>
      </c>
      <c r="C1109">
        <v>-18.576388999999999</v>
      </c>
      <c r="D1109">
        <v>138.584722</v>
      </c>
      <c r="E1109" t="str">
        <f>RIGHT(Airports[[#This Row],[ICAO]],3)</f>
        <v>LAH</v>
      </c>
      <c r="F11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t="s">
        <v>2358</v>
      </c>
      <c r="B1110" t="s">
        <v>2359</v>
      </c>
      <c r="C1110">
        <v>-20.684999999999999</v>
      </c>
      <c r="D1110">
        <v>148.625</v>
      </c>
      <c r="E1110" t="str">
        <f>RIGHT(Airports[[#This Row],[ICAO]],3)</f>
        <v>LAK</v>
      </c>
      <c r="F11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t="s">
        <v>2360</v>
      </c>
      <c r="B1111" t="s">
        <v>2361</v>
      </c>
      <c r="C1111">
        <v>-26.913333000000002</v>
      </c>
      <c r="D1111">
        <v>134.058333</v>
      </c>
      <c r="E1111" t="str">
        <f>RIGHT(Airports[[#This Row],[ICAO]],3)</f>
        <v>LAM</v>
      </c>
      <c r="F11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t="s">
        <v>2362</v>
      </c>
      <c r="B1112" t="s">
        <v>2363</v>
      </c>
      <c r="C1112">
        <v>-31.443332999999999</v>
      </c>
      <c r="D1112">
        <v>142.13666699999999</v>
      </c>
      <c r="E1112" t="str">
        <f>RIGHT(Airports[[#This Row],[ICAO]],3)</f>
        <v>LAN</v>
      </c>
      <c r="F11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t="s">
        <v>2364</v>
      </c>
      <c r="B1113" t="s">
        <v>2365</v>
      </c>
      <c r="C1113">
        <v>-35.373333000000002</v>
      </c>
      <c r="D1113">
        <v>140.465</v>
      </c>
      <c r="E1113" t="str">
        <f>RIGHT(Airports[[#This Row],[ICAO]],3)</f>
        <v>LAO</v>
      </c>
      <c r="F11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t="s">
        <v>2366</v>
      </c>
      <c r="B1114" t="s">
        <v>2367</v>
      </c>
      <c r="C1114">
        <v>-28.023889</v>
      </c>
      <c r="D1114">
        <v>150.03</v>
      </c>
      <c r="E1114" t="str">
        <f>RIGHT(Airports[[#This Row],[ICAO]],3)</f>
        <v>LAP</v>
      </c>
      <c r="F11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t="s">
        <v>2368</v>
      </c>
      <c r="B1115" t="s">
        <v>2369</v>
      </c>
      <c r="C1115">
        <v>-28.089721999999998</v>
      </c>
      <c r="D1115">
        <v>120.54</v>
      </c>
      <c r="E1115" t="str">
        <f>RIGHT(Airports[[#This Row],[ICAO]],3)</f>
        <v>LAW</v>
      </c>
      <c r="F11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t="s">
        <v>2370</v>
      </c>
      <c r="B1116" t="s">
        <v>2371</v>
      </c>
      <c r="C1116">
        <v>-22.004443999999999</v>
      </c>
      <c r="D1116">
        <v>146.363889</v>
      </c>
      <c r="E1116" t="str">
        <f>RIGHT(Airports[[#This Row],[ICAO]],3)</f>
        <v>LBA</v>
      </c>
      <c r="F11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t="s">
        <v>2372</v>
      </c>
      <c r="B1117" t="s">
        <v>2373</v>
      </c>
      <c r="C1117">
        <v>-16.515277999999999</v>
      </c>
      <c r="D1117">
        <v>122.92361099999999</v>
      </c>
      <c r="E1117" t="str">
        <f>RIGHT(Airports[[#This Row],[ICAO]],3)</f>
        <v>LBD</v>
      </c>
      <c r="F11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t="s">
        <v>2374</v>
      </c>
      <c r="B1118" t="s">
        <v>2375</v>
      </c>
      <c r="C1118">
        <v>-23.243333</v>
      </c>
      <c r="D1118">
        <v>131.26</v>
      </c>
      <c r="E1118" t="str">
        <f>RIGHT(Airports[[#This Row],[ICAO]],3)</f>
        <v>LBG</v>
      </c>
      <c r="F11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t="s">
        <v>2376</v>
      </c>
      <c r="B1119" t="s">
        <v>2377</v>
      </c>
      <c r="C1119">
        <v>-33.278333000000003</v>
      </c>
      <c r="D1119">
        <v>146.369167</v>
      </c>
      <c r="E1119" t="str">
        <f>RIGHT(Airports[[#This Row],[ICAO]],3)</f>
        <v>LCG</v>
      </c>
      <c r="F11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t="s">
        <v>2378</v>
      </c>
      <c r="B1120" t="s">
        <v>2379</v>
      </c>
      <c r="C1120">
        <v>-36.814999999999998</v>
      </c>
      <c r="D1120">
        <v>145.348333</v>
      </c>
      <c r="E1120" t="str">
        <f>RIGHT(Airports[[#This Row],[ICAO]],3)</f>
        <v>LCS</v>
      </c>
      <c r="F11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t="s">
        <v>2380</v>
      </c>
      <c r="B1121" t="s">
        <v>2381</v>
      </c>
      <c r="C1121">
        <v>-40.195833</v>
      </c>
      <c r="D1121">
        <v>148.24444399999999</v>
      </c>
      <c r="E1121" t="str">
        <f>RIGHT(Airports[[#This Row],[ICAO]],3)</f>
        <v>LDB</v>
      </c>
      <c r="F11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t="s">
        <v>2382</v>
      </c>
      <c r="B1122" t="s">
        <v>2383</v>
      </c>
      <c r="C1122">
        <v>-19.966667000000001</v>
      </c>
      <c r="D1122">
        <v>147.21638899999999</v>
      </c>
      <c r="E1122" t="str">
        <f>RIGHT(Airports[[#This Row],[ICAO]],3)</f>
        <v>LDC</v>
      </c>
      <c r="F11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t="s">
        <v>2384</v>
      </c>
      <c r="B1123" t="s">
        <v>2385</v>
      </c>
      <c r="C1123">
        <v>-16.683056000000001</v>
      </c>
      <c r="D1123">
        <v>128.56638899999999</v>
      </c>
      <c r="E1123" t="str">
        <f>RIGHT(Airports[[#This Row],[ICAO]],3)</f>
        <v>LDL</v>
      </c>
      <c r="F11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t="s">
        <v>2386</v>
      </c>
      <c r="B1124" t="s">
        <v>2387</v>
      </c>
      <c r="C1124">
        <v>-25.1</v>
      </c>
      <c r="D1124">
        <v>116.9</v>
      </c>
      <c r="E1124" t="str">
        <f>RIGHT(Airports[[#This Row],[ICAO]],3)</f>
        <v>LDO</v>
      </c>
      <c r="F11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t="s">
        <v>2388</v>
      </c>
      <c r="B1125" t="s">
        <v>2389</v>
      </c>
      <c r="C1125">
        <v>-22.200832999999999</v>
      </c>
      <c r="D1125">
        <v>138.702778</v>
      </c>
      <c r="E1125" t="str">
        <f>RIGHT(Airports[[#This Row],[ICAO]],3)</f>
        <v>LDS</v>
      </c>
      <c r="F11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t="s">
        <v>2390</v>
      </c>
      <c r="B1126" t="s">
        <v>2391</v>
      </c>
      <c r="C1126">
        <v>-29.983332999999998</v>
      </c>
      <c r="D1126">
        <v>114.983056</v>
      </c>
      <c r="E1126" t="str">
        <f>RIGHT(Airports[[#This Row],[ICAO]],3)</f>
        <v>LEA</v>
      </c>
      <c r="F11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t="s">
        <v>2392</v>
      </c>
      <c r="B1127" t="s">
        <v>2393</v>
      </c>
      <c r="C1127">
        <v>-30.598333</v>
      </c>
      <c r="D1127">
        <v>138.42583300000001</v>
      </c>
      <c r="E1127" t="str">
        <f>RIGHT(Airports[[#This Row],[ICAO]],3)</f>
        <v>LEC</v>
      </c>
      <c r="F11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t="s">
        <v>2394</v>
      </c>
      <c r="B1128" t="s">
        <v>2395</v>
      </c>
      <c r="C1128">
        <v>-37.918889</v>
      </c>
      <c r="D1128">
        <v>144.101111</v>
      </c>
      <c r="E1128" t="str">
        <f>RIGHT(Airports[[#This Row],[ICAO]],3)</f>
        <v>LED</v>
      </c>
      <c r="F11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t="s">
        <v>2396</v>
      </c>
      <c r="B1129" t="s">
        <v>2397</v>
      </c>
      <c r="C1129">
        <v>-34.499721999999998</v>
      </c>
      <c r="D1129">
        <v>146.442778</v>
      </c>
      <c r="E1129" t="str">
        <f>RIGHT(Airports[[#This Row],[ICAO]],3)</f>
        <v>LEE</v>
      </c>
      <c r="F11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t="s">
        <v>2398</v>
      </c>
      <c r="B1130" t="s">
        <v>2399</v>
      </c>
      <c r="C1130">
        <v>-38.495556000000001</v>
      </c>
      <c r="D1130">
        <v>145.859722</v>
      </c>
      <c r="E1130" t="str">
        <f>RIGHT(Airports[[#This Row],[ICAO]],3)</f>
        <v>LEG</v>
      </c>
      <c r="F11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t="s">
        <v>2400</v>
      </c>
      <c r="B1131" t="s">
        <v>2401</v>
      </c>
      <c r="C1131">
        <v>-42.318333000000003</v>
      </c>
      <c r="D1131">
        <v>147.618056</v>
      </c>
      <c r="E1131" t="str">
        <f>RIGHT(Airports[[#This Row],[ICAO]],3)</f>
        <v>LEM</v>
      </c>
      <c r="F11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t="s">
        <v>2402</v>
      </c>
      <c r="B1132" t="s">
        <v>2403</v>
      </c>
      <c r="C1132">
        <v>-28.878056000000001</v>
      </c>
      <c r="D1132">
        <v>121.314722</v>
      </c>
      <c r="E1132" t="str">
        <f>RIGHT(Airports[[#This Row],[ICAO]],3)</f>
        <v>LEO</v>
      </c>
      <c r="F1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t="s">
        <v>2404</v>
      </c>
      <c r="B1133" t="s">
        <v>2405</v>
      </c>
      <c r="C1133">
        <v>-37.878889000000001</v>
      </c>
      <c r="D1133">
        <v>147.98666700000001</v>
      </c>
      <c r="E1133" t="str">
        <f>RIGHT(Airports[[#This Row],[ICAO]],3)</f>
        <v>LET</v>
      </c>
      <c r="F11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t="s">
        <v>2406</v>
      </c>
      <c r="B1134" t="s">
        <v>2407</v>
      </c>
      <c r="C1134">
        <v>-12.498889</v>
      </c>
      <c r="D1134">
        <v>135.80583300000001</v>
      </c>
      <c r="E1134" t="str">
        <f>RIGHT(Airports[[#This Row],[ICAO]],3)</f>
        <v>LEV</v>
      </c>
      <c r="F11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t="s">
        <v>2408</v>
      </c>
      <c r="B1135" t="s">
        <v>2409</v>
      </c>
      <c r="C1135">
        <v>-14.920555999999999</v>
      </c>
      <c r="D1135">
        <v>144.203611</v>
      </c>
      <c r="E1135" t="str">
        <f>RIGHT(Airports[[#This Row],[ICAO]],3)</f>
        <v>LFD</v>
      </c>
      <c r="F11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t="s">
        <v>2410</v>
      </c>
      <c r="B1136" t="s">
        <v>2411</v>
      </c>
      <c r="C1136">
        <v>-18.683056000000001</v>
      </c>
      <c r="D1136">
        <v>121.808333</v>
      </c>
      <c r="E1136" t="str">
        <f>RIGHT(Airports[[#This Row],[ICAO]],3)</f>
        <v>LGB</v>
      </c>
      <c r="F11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t="s">
        <v>2412</v>
      </c>
      <c r="B1137" t="s">
        <v>2413</v>
      </c>
      <c r="C1137">
        <v>-33.106943999999999</v>
      </c>
      <c r="D1137">
        <v>118.389167</v>
      </c>
      <c r="E1137" t="str">
        <f>RIGHT(Airports[[#This Row],[ICAO]],3)</f>
        <v>LGC</v>
      </c>
      <c r="F11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t="s">
        <v>2414</v>
      </c>
      <c r="B1138" t="s">
        <v>2415</v>
      </c>
      <c r="C1138">
        <v>-41.691110999999999</v>
      </c>
      <c r="D1138">
        <v>147.14333300000001</v>
      </c>
      <c r="E1138" t="str">
        <f>RIGHT(Airports[[#This Row],[ICAO]],3)</f>
        <v>LGD</v>
      </c>
      <c r="F11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t="s">
        <v>2416</v>
      </c>
      <c r="B1139" t="s">
        <v>2417</v>
      </c>
      <c r="C1139">
        <v>-35.303610999999997</v>
      </c>
      <c r="D1139">
        <v>139.267222</v>
      </c>
      <c r="E1139" t="str">
        <f>RIGHT(Airports[[#This Row],[ICAO]],3)</f>
        <v>LGH</v>
      </c>
      <c r="F11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t="s">
        <v>2418</v>
      </c>
      <c r="B1140" t="s">
        <v>2419</v>
      </c>
      <c r="C1140">
        <v>-22.491667</v>
      </c>
      <c r="D1140">
        <v>146.66305600000001</v>
      </c>
      <c r="E1140" t="str">
        <f>RIGHT(Airports[[#This Row],[ICAO]],3)</f>
        <v>LGL</v>
      </c>
      <c r="F11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t="s">
        <v>2420</v>
      </c>
      <c r="B1141" t="s">
        <v>2421</v>
      </c>
      <c r="C1141">
        <v>-30.941666999999999</v>
      </c>
      <c r="D1141">
        <v>127.03</v>
      </c>
      <c r="E1141" t="str">
        <f>RIGHT(Airports[[#This Row],[ICAO]],3)</f>
        <v>LGN</v>
      </c>
      <c r="F11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t="s">
        <v>2422</v>
      </c>
      <c r="B1142" t="s">
        <v>2423</v>
      </c>
      <c r="C1142">
        <v>-15.215278</v>
      </c>
      <c r="D1142">
        <v>129.44499999999999</v>
      </c>
      <c r="E1142" t="str">
        <f>RIGHT(Airports[[#This Row],[ICAO]],3)</f>
        <v>LGU</v>
      </c>
      <c r="F11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t="s">
        <v>2424</v>
      </c>
      <c r="B1143" t="s">
        <v>2425</v>
      </c>
      <c r="C1143">
        <v>-31.538333000000002</v>
      </c>
      <c r="D1143">
        <v>159.07722200000001</v>
      </c>
      <c r="E1143" t="str">
        <f>RIGHT(Airports[[#This Row],[ICAO]],3)</f>
        <v>LHI</v>
      </c>
      <c r="F11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t="s">
        <v>2426</v>
      </c>
      <c r="B1144" t="s">
        <v>2427</v>
      </c>
      <c r="C1144">
        <v>-32.468055999999997</v>
      </c>
      <c r="D1144">
        <v>150.983056</v>
      </c>
      <c r="E1144" t="str">
        <f>RIGHT(Airports[[#This Row],[ICAO]],3)</f>
        <v>LHO</v>
      </c>
      <c r="F11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t="s">
        <v>2428</v>
      </c>
      <c r="B1145" t="s">
        <v>2429</v>
      </c>
      <c r="C1145">
        <v>-12.786944</v>
      </c>
      <c r="D1145">
        <v>143.304722</v>
      </c>
      <c r="E1145" t="str">
        <f>RIGHT(Airports[[#This Row],[ICAO]],3)</f>
        <v>LHR</v>
      </c>
      <c r="F11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t="s">
        <v>2430</v>
      </c>
      <c r="B1146" t="s">
        <v>2431</v>
      </c>
      <c r="C1146">
        <v>-19.2</v>
      </c>
      <c r="D1146">
        <v>144.373333</v>
      </c>
      <c r="E1146" t="str">
        <f>RIGHT(Airports[[#This Row],[ICAO]],3)</f>
        <v>LHS</v>
      </c>
      <c r="F11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t="s">
        <v>2432</v>
      </c>
      <c r="B1147" t="s">
        <v>2433</v>
      </c>
      <c r="C1147">
        <v>-11.049443999999999</v>
      </c>
      <c r="D1147">
        <v>126.61833300000001</v>
      </c>
      <c r="E1147" t="str">
        <f>RIGHT(Airports[[#This Row],[ICAO]],3)</f>
        <v>LIB</v>
      </c>
      <c r="F11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t="s">
        <v>2434</v>
      </c>
      <c r="B1148" t="s">
        <v>2435</v>
      </c>
      <c r="C1148">
        <v>-28.809166999999999</v>
      </c>
      <c r="D1148">
        <v>153.29222200000001</v>
      </c>
      <c r="E1148" t="str">
        <f>RIGHT(Airports[[#This Row],[ICAO]],3)</f>
        <v>LIH</v>
      </c>
      <c r="F11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t="s">
        <v>2436</v>
      </c>
      <c r="B1149" t="s">
        <v>2437</v>
      </c>
      <c r="C1149">
        <v>-37.691943999999999</v>
      </c>
      <c r="D1149">
        <v>145.366389</v>
      </c>
      <c r="E1149" t="str">
        <f>RIGHT(Airports[[#This Row],[ICAO]],3)</f>
        <v>LIL</v>
      </c>
      <c r="F11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t="s">
        <v>2438</v>
      </c>
      <c r="B1150" t="s">
        <v>2439</v>
      </c>
      <c r="C1150">
        <v>-17.233889000000001</v>
      </c>
      <c r="D1150">
        <v>129.87861100000001</v>
      </c>
      <c r="E1150" t="str">
        <f>RIGHT(Airports[[#This Row],[ICAO]],3)</f>
        <v>LIM</v>
      </c>
      <c r="F11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t="s">
        <v>2440</v>
      </c>
      <c r="B1151" t="s">
        <v>2441</v>
      </c>
      <c r="C1151">
        <v>-20.454722</v>
      </c>
      <c r="D1151">
        <v>149.03805600000001</v>
      </c>
      <c r="E1151" t="str">
        <f>RIGHT(Airports[[#This Row],[ICAO]],3)</f>
        <v>LIN</v>
      </c>
      <c r="F11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t="s">
        <v>2442</v>
      </c>
      <c r="B1152" t="s">
        <v>2443</v>
      </c>
      <c r="C1152">
        <v>-28.826667</v>
      </c>
      <c r="D1152">
        <v>153.25749999999999</v>
      </c>
      <c r="E1152" t="str">
        <f>RIGHT(Airports[[#This Row],[ICAO]],3)</f>
        <v>LIS</v>
      </c>
      <c r="F11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t="s">
        <v>2444</v>
      </c>
      <c r="B1153" t="s">
        <v>2445</v>
      </c>
      <c r="C1153">
        <v>-13.43</v>
      </c>
      <c r="D1153">
        <v>130.495</v>
      </c>
      <c r="E1153" t="str">
        <f>RIGHT(Airports[[#This Row],[ICAO]],3)</f>
        <v>LIT</v>
      </c>
      <c r="F11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t="s">
        <v>2446</v>
      </c>
      <c r="B1154" t="s">
        <v>2447</v>
      </c>
      <c r="C1154">
        <v>-17.944167</v>
      </c>
      <c r="D1154">
        <v>124.254722</v>
      </c>
      <c r="E1154" t="str">
        <f>RIGHT(Airports[[#This Row],[ICAO]],3)</f>
        <v>LIV</v>
      </c>
      <c r="F11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t="s">
        <v>2448</v>
      </c>
      <c r="B1155" t="s">
        <v>2449</v>
      </c>
      <c r="C1155">
        <v>-32.317777999999997</v>
      </c>
      <c r="D1155">
        <v>120.554722</v>
      </c>
      <c r="E1155" t="str">
        <f>RIGHT(Airports[[#This Row],[ICAO]],3)</f>
        <v>LJN</v>
      </c>
      <c r="F11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t="s">
        <v>2450</v>
      </c>
      <c r="B1156" t="s">
        <v>2451</v>
      </c>
      <c r="C1156">
        <v>-18.913333000000002</v>
      </c>
      <c r="D1156">
        <v>144.996667</v>
      </c>
      <c r="E1156" t="str">
        <f>RIGHT(Airports[[#This Row],[ICAO]],3)</f>
        <v>LKD</v>
      </c>
      <c r="F11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t="s">
        <v>2452</v>
      </c>
      <c r="B1157" t="s">
        <v>2405</v>
      </c>
      <c r="C1157">
        <v>-37.852221999999998</v>
      </c>
      <c r="D1157">
        <v>147.948611</v>
      </c>
      <c r="E1157" t="str">
        <f>RIGHT(Airports[[#This Row],[ICAO]],3)</f>
        <v>LKE</v>
      </c>
      <c r="F1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t="s">
        <v>2453</v>
      </c>
      <c r="B1158" t="s">
        <v>2454</v>
      </c>
      <c r="C1158">
        <v>-34.391666999999998</v>
      </c>
      <c r="D1158">
        <v>143.66749999999999</v>
      </c>
      <c r="E1158" t="str">
        <f>RIGHT(Airports[[#This Row],[ICAO]],3)</f>
        <v>LKM</v>
      </c>
      <c r="F11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t="s">
        <v>2455</v>
      </c>
      <c r="B1159" t="s">
        <v>2456</v>
      </c>
      <c r="C1159">
        <v>-20.98</v>
      </c>
      <c r="D1159">
        <v>137.91749999999999</v>
      </c>
      <c r="E1159" t="str">
        <f>RIGHT(Airports[[#This Row],[ICAO]],3)</f>
        <v>LKN</v>
      </c>
      <c r="F1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t="s">
        <v>2457</v>
      </c>
      <c r="B1160" t="s">
        <v>2458</v>
      </c>
      <c r="C1160">
        <v>-31.714721999999998</v>
      </c>
      <c r="D1160">
        <v>152.72472200000001</v>
      </c>
      <c r="E1160" t="str">
        <f>RIGHT(Airports[[#This Row],[ICAO]],3)</f>
        <v>LKS</v>
      </c>
      <c r="F11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t="s">
        <v>2459</v>
      </c>
      <c r="B1161" t="s">
        <v>2460</v>
      </c>
      <c r="C1161">
        <v>-29.798333</v>
      </c>
      <c r="D1161">
        <v>133.345</v>
      </c>
      <c r="E1161" t="str">
        <f>RIGHT(Airports[[#This Row],[ICAO]],3)</f>
        <v>LLA</v>
      </c>
      <c r="F11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t="s">
        <v>2461</v>
      </c>
      <c r="B1162" t="s">
        <v>2462</v>
      </c>
      <c r="C1162">
        <v>-25.516389</v>
      </c>
      <c r="D1162">
        <v>134.016389</v>
      </c>
      <c r="E1162" t="str">
        <f>RIGHT(Airports[[#This Row],[ICAO]],3)</f>
        <v>LLC</v>
      </c>
      <c r="F11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t="s">
        <v>2463</v>
      </c>
      <c r="B1163" t="s">
        <v>2464</v>
      </c>
      <c r="C1163">
        <v>-27.408332999999999</v>
      </c>
      <c r="D1163">
        <v>141.808333</v>
      </c>
      <c r="E1163" t="str">
        <f>RIGHT(Airports[[#This Row],[ICAO]],3)</f>
        <v>LLE</v>
      </c>
      <c r="F11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t="s">
        <v>2465</v>
      </c>
      <c r="B1164" t="s">
        <v>2466</v>
      </c>
      <c r="C1164">
        <v>-34.516666999999998</v>
      </c>
      <c r="D1164">
        <v>138.42361099999999</v>
      </c>
      <c r="E1164" t="str">
        <f>RIGHT(Airports[[#This Row],[ICAO]],3)</f>
        <v>LLT</v>
      </c>
      <c r="F11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t="s">
        <v>2467</v>
      </c>
      <c r="B1165" t="s">
        <v>2468</v>
      </c>
      <c r="C1165">
        <v>-13.249167</v>
      </c>
      <c r="D1165">
        <v>135.84805600000001</v>
      </c>
      <c r="E1165" t="str">
        <f>RIGHT(Airports[[#This Row],[ICAO]],3)</f>
        <v>LMA</v>
      </c>
      <c r="F11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t="s">
        <v>2469</v>
      </c>
      <c r="B1166" t="s">
        <v>2470</v>
      </c>
      <c r="C1166">
        <v>-23.899722000000001</v>
      </c>
      <c r="D1166">
        <v>152.399722</v>
      </c>
      <c r="E1166" t="str">
        <f>RIGHT(Airports[[#This Row],[ICAO]],3)</f>
        <v>LMI</v>
      </c>
      <c r="F11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t="s">
        <v>2471</v>
      </c>
      <c r="B1167" t="s">
        <v>2472</v>
      </c>
      <c r="C1167">
        <v>-33.066110999999999</v>
      </c>
      <c r="D1167">
        <v>151.648056</v>
      </c>
      <c r="E1167" t="str">
        <f>RIGHT(Airports[[#This Row],[ICAO]],3)</f>
        <v>LMQ</v>
      </c>
      <c r="F11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t="s">
        <v>2473</v>
      </c>
      <c r="B1168" t="s">
        <v>2474</v>
      </c>
      <c r="C1168">
        <v>-33.744999999999997</v>
      </c>
      <c r="D1168">
        <v>143.001667</v>
      </c>
      <c r="E1168" t="str">
        <f>RIGHT(Airports[[#This Row],[ICAO]],3)</f>
        <v>LMU</v>
      </c>
      <c r="F11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t="s">
        <v>2475</v>
      </c>
      <c r="B1169" t="s">
        <v>2476</v>
      </c>
      <c r="C1169">
        <v>-15.835832999999999</v>
      </c>
      <c r="D1169">
        <v>144.8475</v>
      </c>
      <c r="E1169" t="str">
        <f>RIGHT(Airports[[#This Row],[ICAO]],3)</f>
        <v>LND</v>
      </c>
      <c r="F11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t="s">
        <v>2477</v>
      </c>
      <c r="B1170" t="s">
        <v>2478</v>
      </c>
      <c r="C1170">
        <v>-13.786111</v>
      </c>
      <c r="D1170">
        <v>123.313889</v>
      </c>
      <c r="E1170" t="str">
        <f>RIGHT(Airports[[#This Row],[ICAO]],3)</f>
        <v>LNG</v>
      </c>
      <c r="F11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t="s">
        <v>2479</v>
      </c>
      <c r="B1171" t="s">
        <v>2480</v>
      </c>
      <c r="C1171">
        <v>-24.95</v>
      </c>
      <c r="D1171">
        <v>116.966667</v>
      </c>
      <c r="E1171" t="str">
        <f>RIGHT(Airports[[#This Row],[ICAO]],3)</f>
        <v>LNR</v>
      </c>
      <c r="F11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t="s">
        <v>2481</v>
      </c>
      <c r="B1172" t="s">
        <v>2482</v>
      </c>
      <c r="C1172">
        <v>-20.758056</v>
      </c>
      <c r="D1172">
        <v>121.016667</v>
      </c>
      <c r="F11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t="s">
        <v>2483</v>
      </c>
      <c r="B1173" t="s">
        <v>2484</v>
      </c>
      <c r="C1173">
        <v>-36.808056000000001</v>
      </c>
      <c r="D1173">
        <v>145.45666700000001</v>
      </c>
      <c r="E1173" t="str">
        <f>RIGHT(Airports[[#This Row],[ICAO]],3)</f>
        <v>LOD</v>
      </c>
      <c r="F11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t="s">
        <v>2485</v>
      </c>
      <c r="B1174" t="s">
        <v>2486</v>
      </c>
      <c r="C1174">
        <v>-30.531389000000001</v>
      </c>
      <c r="D1174">
        <v>145.12861100000001</v>
      </c>
      <c r="E1174" t="str">
        <f>RIGHT(Airports[[#This Row],[ICAO]],3)</f>
        <v>LOH</v>
      </c>
      <c r="F11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t="s">
        <v>2487</v>
      </c>
      <c r="B1175" t="s">
        <v>2488</v>
      </c>
      <c r="C1175">
        <v>-33.543332999999997</v>
      </c>
      <c r="D1175">
        <v>135.691667</v>
      </c>
      <c r="E1175" t="str">
        <f>RIGHT(Airports[[#This Row],[ICAO]],3)</f>
        <v>LOK</v>
      </c>
      <c r="F11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t="s">
        <v>2489</v>
      </c>
      <c r="B1176" t="s">
        <v>2490</v>
      </c>
      <c r="C1176">
        <v>-22.697904000000001</v>
      </c>
      <c r="D1176">
        <v>116.236328</v>
      </c>
      <c r="E1176" t="str">
        <f>RIGHT(Airports[[#This Row],[ICAO]],3)</f>
        <v>LOO</v>
      </c>
      <c r="F11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t="s">
        <v>2491</v>
      </c>
      <c r="B1177" t="s">
        <v>2492</v>
      </c>
      <c r="C1177">
        <v>-19.006388999999999</v>
      </c>
      <c r="D1177">
        <v>139.89944399999999</v>
      </c>
      <c r="E1177" t="str">
        <f>RIGHT(Airports[[#This Row],[ICAO]],3)</f>
        <v>LOR</v>
      </c>
      <c r="F11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t="s">
        <v>2493</v>
      </c>
      <c r="B1178" t="s">
        <v>2494</v>
      </c>
      <c r="C1178">
        <v>-18.716667000000001</v>
      </c>
      <c r="D1178">
        <v>126.716667</v>
      </c>
      <c r="E1178" t="str">
        <f>RIGHT(Airports[[#This Row],[ICAO]],3)</f>
        <v>LOU</v>
      </c>
      <c r="F11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t="s">
        <v>2495</v>
      </c>
      <c r="B1179" t="s">
        <v>2496</v>
      </c>
      <c r="C1179">
        <v>-17.048333</v>
      </c>
      <c r="D1179">
        <v>141.37638899999999</v>
      </c>
      <c r="E1179" t="str">
        <f>RIGHT(Airports[[#This Row],[ICAO]],3)</f>
        <v>LOV</v>
      </c>
      <c r="F1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t="s">
        <v>2497</v>
      </c>
      <c r="B1180" t="s">
        <v>2498</v>
      </c>
      <c r="C1180">
        <v>-20.654444000000002</v>
      </c>
      <c r="D1180">
        <v>115.576944</v>
      </c>
      <c r="E1180" t="str">
        <f>RIGHT(Airports[[#This Row],[ICAO]],3)</f>
        <v>LOW</v>
      </c>
      <c r="F11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t="s">
        <v>2499</v>
      </c>
      <c r="B1181" t="s">
        <v>2500</v>
      </c>
      <c r="C1181">
        <v>-34.475833000000002</v>
      </c>
      <c r="D1181">
        <v>140.66388900000001</v>
      </c>
      <c r="E1181" t="str">
        <f>RIGHT(Airports[[#This Row],[ICAO]],3)</f>
        <v>LOX</v>
      </c>
      <c r="F1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t="s">
        <v>2501</v>
      </c>
      <c r="B1182" t="s">
        <v>2502</v>
      </c>
      <c r="C1182">
        <v>-17.866667</v>
      </c>
      <c r="D1182">
        <v>125.416389</v>
      </c>
      <c r="E1182" t="str">
        <f>RIGHT(Airports[[#This Row],[ICAO]],3)</f>
        <v>LPD</v>
      </c>
      <c r="F11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t="s">
        <v>2503</v>
      </c>
      <c r="B1183" t="s">
        <v>2504</v>
      </c>
      <c r="C1183">
        <v>-33.918332999999997</v>
      </c>
      <c r="D1183">
        <v>150.69916699999999</v>
      </c>
      <c r="E1183" t="str">
        <f>RIGHT(Airports[[#This Row],[ICAO]],3)</f>
        <v>LPE</v>
      </c>
      <c r="F11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t="s">
        <v>2505</v>
      </c>
      <c r="B1184" t="s">
        <v>2506</v>
      </c>
      <c r="C1184">
        <v>-33.924166999999997</v>
      </c>
      <c r="D1184">
        <v>150.68305599999999</v>
      </c>
      <c r="E1184" t="str">
        <f>RIGHT(Airports[[#This Row],[ICAO]],3)</f>
        <v>LPW</v>
      </c>
      <c r="F11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t="s">
        <v>2507</v>
      </c>
      <c r="B1185" t="s">
        <v>2508</v>
      </c>
      <c r="C1185">
        <v>-15.55</v>
      </c>
      <c r="D1185">
        <v>144.44972200000001</v>
      </c>
      <c r="E1185" t="str">
        <f>RIGHT(Airports[[#This Row],[ICAO]],3)</f>
        <v>LRA</v>
      </c>
      <c r="F11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t="s">
        <v>2509</v>
      </c>
      <c r="B1186" t="s">
        <v>2510</v>
      </c>
      <c r="C1186">
        <v>-29.456666999999999</v>
      </c>
      <c r="D1186">
        <v>147.984444</v>
      </c>
      <c r="E1186" t="str">
        <f>RIGHT(Airports[[#This Row],[ICAO]],3)</f>
        <v>LRD</v>
      </c>
      <c r="F11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t="s">
        <v>2511</v>
      </c>
      <c r="B1187" t="s">
        <v>2512</v>
      </c>
      <c r="C1187">
        <v>-23.434166999999999</v>
      </c>
      <c r="D1187">
        <v>144.28027800000001</v>
      </c>
      <c r="E1187" t="str">
        <f>RIGHT(Airports[[#This Row],[ICAO]],3)</f>
        <v>LRE</v>
      </c>
      <c r="F11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t="s">
        <v>2513</v>
      </c>
      <c r="B1188" t="s">
        <v>2514</v>
      </c>
      <c r="C1188">
        <v>-26.216667000000001</v>
      </c>
      <c r="D1188">
        <v>121.55</v>
      </c>
      <c r="E1188" t="str">
        <f>RIGHT(Airports[[#This Row],[ICAO]],3)</f>
        <v>LRG</v>
      </c>
      <c r="F11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t="s">
        <v>2515</v>
      </c>
      <c r="B1189" t="s">
        <v>2516</v>
      </c>
      <c r="C1189">
        <v>-15.182778000000001</v>
      </c>
      <c r="D1189">
        <v>144.345833</v>
      </c>
      <c r="E1189" t="str">
        <f>RIGHT(Airports[[#This Row],[ICAO]],3)</f>
        <v>LRS</v>
      </c>
      <c r="F11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t="s">
        <v>2517</v>
      </c>
      <c r="B1190" t="s">
        <v>2518</v>
      </c>
      <c r="C1190">
        <v>-37.917971999999999</v>
      </c>
      <c r="D1190">
        <v>144.482361</v>
      </c>
      <c r="E1190" t="str">
        <f>RIGHT(Airports[[#This Row],[ICAO]],3)</f>
        <v>LRV</v>
      </c>
      <c r="F11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t="s">
        <v>2519</v>
      </c>
      <c r="B1191" t="s">
        <v>2520</v>
      </c>
      <c r="C1191">
        <v>-33.994444000000001</v>
      </c>
      <c r="D1191">
        <v>151.24944400000001</v>
      </c>
      <c r="E1191" t="str">
        <f>RIGHT(Airports[[#This Row],[ICAO]],3)</f>
        <v>LSB</v>
      </c>
      <c r="F11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t="s">
        <v>2521</v>
      </c>
      <c r="B1192" t="s">
        <v>2522</v>
      </c>
      <c r="C1192">
        <v>-32.666389000000002</v>
      </c>
      <c r="D1192">
        <v>151.41916699999999</v>
      </c>
      <c r="E1192" t="str">
        <f>RIGHT(Airports[[#This Row],[ICAO]],3)</f>
        <v>LSK</v>
      </c>
      <c r="F11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t="s">
        <v>2523</v>
      </c>
      <c r="B1193" t="s">
        <v>2524</v>
      </c>
      <c r="C1193">
        <v>-27.843333000000001</v>
      </c>
      <c r="D1193">
        <v>120.703333</v>
      </c>
      <c r="E1193" t="str">
        <f>RIGHT(Airports[[#This Row],[ICAO]],3)</f>
        <v>LST</v>
      </c>
      <c r="F11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t="s">
        <v>2525</v>
      </c>
      <c r="B1194" t="s">
        <v>2526</v>
      </c>
      <c r="C1194">
        <v>-27.018332999999998</v>
      </c>
      <c r="D1194">
        <v>129.88499999999999</v>
      </c>
      <c r="E1194" t="str">
        <f>RIGHT(Airports[[#This Row],[ICAO]],3)</f>
        <v>LSY</v>
      </c>
      <c r="F11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t="s">
        <v>2527</v>
      </c>
      <c r="B1195" t="s">
        <v>2528</v>
      </c>
      <c r="C1195">
        <v>-28.613610999999999</v>
      </c>
      <c r="D1195">
        <v>122.423889</v>
      </c>
      <c r="E1195" t="str">
        <f>RIGHT(Airports[[#This Row],[ICAO]],3)</f>
        <v>LTN</v>
      </c>
      <c r="F11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t="s">
        <v>2529</v>
      </c>
      <c r="B1196" t="s">
        <v>2530</v>
      </c>
      <c r="C1196">
        <v>-24.113333000000001</v>
      </c>
      <c r="D1196">
        <v>152.71555599999999</v>
      </c>
      <c r="E1196" t="str">
        <f>RIGHT(Airports[[#This Row],[ICAO]],3)</f>
        <v>LTT</v>
      </c>
      <c r="F11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t="s">
        <v>2531</v>
      </c>
      <c r="B1197" t="s">
        <v>2532</v>
      </c>
      <c r="C1197">
        <v>-38.207222000000002</v>
      </c>
      <c r="D1197">
        <v>146.47027800000001</v>
      </c>
      <c r="E1197" t="str">
        <f>RIGHT(Airports[[#This Row],[ICAO]],3)</f>
        <v>LTV</v>
      </c>
      <c r="F11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t="s">
        <v>2533</v>
      </c>
      <c r="B1198" t="s">
        <v>2534</v>
      </c>
      <c r="C1198">
        <v>-22.476666999999999</v>
      </c>
      <c r="D1198">
        <v>136.273056</v>
      </c>
      <c r="E1198" t="str">
        <f>RIGHT(Airports[[#This Row],[ICAO]],3)</f>
        <v>LUC</v>
      </c>
      <c r="F11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t="s">
        <v>2535</v>
      </c>
      <c r="B1199" t="s">
        <v>2536</v>
      </c>
      <c r="C1199">
        <v>-36.971666999999997</v>
      </c>
      <c r="D1199">
        <v>140.35166699999999</v>
      </c>
      <c r="E1199" t="str">
        <f>RIGHT(Airports[[#This Row],[ICAO]],3)</f>
        <v>LUI</v>
      </c>
      <c r="F11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t="s">
        <v>2537</v>
      </c>
      <c r="B1200" t="s">
        <v>2538</v>
      </c>
      <c r="C1200">
        <v>-31.639167</v>
      </c>
      <c r="D1200">
        <v>140.511944</v>
      </c>
      <c r="E1200" t="str">
        <f>RIGHT(Airports[[#This Row],[ICAO]],3)</f>
        <v>LUL</v>
      </c>
      <c r="F12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t="s">
        <v>2539</v>
      </c>
      <c r="B1201" t="s">
        <v>2540</v>
      </c>
      <c r="C1201">
        <v>-16.891389</v>
      </c>
      <c r="D1201">
        <v>145.74166700000001</v>
      </c>
      <c r="E1201" t="str">
        <f>RIGHT(Airports[[#This Row],[ICAO]],3)</f>
        <v>LUM</v>
      </c>
      <c r="F12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t="s">
        <v>2541</v>
      </c>
      <c r="B1202" t="s">
        <v>2542</v>
      </c>
      <c r="C1202">
        <v>-23.254722000000001</v>
      </c>
      <c r="D1202">
        <v>149.57166699999999</v>
      </c>
      <c r="E1202" t="str">
        <f>RIGHT(Airports[[#This Row],[ICAO]],3)</f>
        <v>LUN</v>
      </c>
      <c r="F12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t="s">
        <v>2543</v>
      </c>
      <c r="B1203" t="s">
        <v>2544</v>
      </c>
      <c r="C1203">
        <v>-34.016388999999997</v>
      </c>
      <c r="D1203">
        <v>115.05</v>
      </c>
      <c r="E1203" t="str">
        <f>RIGHT(Airports[[#This Row],[ICAO]],3)</f>
        <v>LUW</v>
      </c>
      <c r="F12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t="s">
        <v>2545</v>
      </c>
      <c r="B1204" t="s">
        <v>2546</v>
      </c>
      <c r="C1204">
        <v>-14.489722</v>
      </c>
      <c r="D1204">
        <v>143.676389</v>
      </c>
      <c r="E1204" t="str">
        <f>RIGHT(Airports[[#This Row],[ICAO]],3)</f>
        <v>LVA</v>
      </c>
      <c r="F12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t="s">
        <v>2547</v>
      </c>
      <c r="B1205" t="s">
        <v>2548</v>
      </c>
      <c r="C1205">
        <v>-31.733332999999998</v>
      </c>
      <c r="D1205">
        <v>135.026667</v>
      </c>
      <c r="E1205" t="str">
        <f>RIGHT(Airports[[#This Row],[ICAO]],3)</f>
        <v>LVD</v>
      </c>
      <c r="F12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t="s">
        <v>2549</v>
      </c>
      <c r="B1206" t="s">
        <v>2550</v>
      </c>
      <c r="C1206">
        <v>-19.320556</v>
      </c>
      <c r="D1206">
        <v>146.80166700000001</v>
      </c>
      <c r="E1206" t="str">
        <f>RIGHT(Airports[[#This Row],[ICAO]],3)</f>
        <v>LVK</v>
      </c>
      <c r="F12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t="s">
        <v>2551</v>
      </c>
      <c r="B1207" t="s">
        <v>2552</v>
      </c>
      <c r="C1207">
        <v>-27.470555999999998</v>
      </c>
      <c r="D1207">
        <v>152.38805600000001</v>
      </c>
      <c r="E1207" t="str">
        <f>RIGHT(Airports[[#This Row],[ICAO]],3)</f>
        <v>LWB</v>
      </c>
      <c r="F12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t="s">
        <v>2553</v>
      </c>
      <c r="B1208" t="s">
        <v>2554</v>
      </c>
      <c r="C1208">
        <v>-26.944721999999999</v>
      </c>
      <c r="D1208">
        <v>120.47</v>
      </c>
      <c r="E1208" t="str">
        <f>RIGHT(Airports[[#This Row],[ICAO]],3)</f>
        <v>LWY</v>
      </c>
      <c r="F12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t="s">
        <v>2555</v>
      </c>
      <c r="B1209" t="s">
        <v>2556</v>
      </c>
      <c r="C1209">
        <v>-26.833333</v>
      </c>
      <c r="D1209">
        <v>151.23333299999999</v>
      </c>
      <c r="E1209" t="str">
        <f>RIGHT(Airports[[#This Row],[ICAO]],3)</f>
        <v>LYD</v>
      </c>
      <c r="F12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t="s">
        <v>2557</v>
      </c>
      <c r="B1210" t="s">
        <v>2558</v>
      </c>
      <c r="C1210">
        <v>-34.621667000000002</v>
      </c>
      <c r="D1210">
        <v>138.91416699999999</v>
      </c>
      <c r="E1210" t="str">
        <f>RIGHT(Airports[[#This Row],[ICAO]],3)</f>
        <v>LYK</v>
      </c>
      <c r="F12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t="s">
        <v>2559</v>
      </c>
      <c r="B1211" t="s">
        <v>2560</v>
      </c>
      <c r="C1211">
        <v>-14.672777999999999</v>
      </c>
      <c r="D1211">
        <v>145.45416700000001</v>
      </c>
      <c r="E1211" t="str">
        <f>RIGHT(Airports[[#This Row],[ICAO]],3)</f>
        <v>LZI</v>
      </c>
      <c r="F12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t="s">
        <v>2561</v>
      </c>
      <c r="B1212" t="s">
        <v>2562</v>
      </c>
      <c r="C1212">
        <v>-9.9516670000000005</v>
      </c>
      <c r="D1212">
        <v>142.19638900000001</v>
      </c>
      <c r="E1212" t="str">
        <f>RIGHT(Airports[[#This Row],[ICAO]],3)</f>
        <v>MAA</v>
      </c>
      <c r="G1212" s="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t="s">
        <v>2563</v>
      </c>
      <c r="B1213" t="s">
        <v>2564</v>
      </c>
      <c r="C1213">
        <v>-27.261666999999999</v>
      </c>
      <c r="D1213">
        <v>135.63833299999999</v>
      </c>
      <c r="E1213" t="str">
        <f>RIGHT(Airports[[#This Row],[ICAO]],3)</f>
        <v>MAC</v>
      </c>
      <c r="G1213" s="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t="s">
        <v>2565</v>
      </c>
      <c r="B1214" t="s">
        <v>2566</v>
      </c>
      <c r="C1214">
        <v>-31.883056</v>
      </c>
      <c r="D1214">
        <v>127.02500000000001</v>
      </c>
      <c r="E1214" t="str">
        <f>RIGHT(Airports[[#This Row],[ICAO]],3)</f>
        <v>MAD</v>
      </c>
      <c r="G1214" s="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t="s">
        <v>2567</v>
      </c>
      <c r="B1215" t="s">
        <v>2568</v>
      </c>
      <c r="C1215">
        <v>-9.9155560000000005</v>
      </c>
      <c r="D1215">
        <v>144.05527799999999</v>
      </c>
      <c r="E1215" t="str">
        <f>RIGHT(Airports[[#This Row],[ICAO]],3)</f>
        <v>MAE</v>
      </c>
      <c r="G1215" s="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t="s">
        <v>2569</v>
      </c>
      <c r="B1216" t="s">
        <v>2570</v>
      </c>
      <c r="C1216">
        <v>-28.979721999999999</v>
      </c>
      <c r="D1216">
        <v>134.371667</v>
      </c>
      <c r="E1216" t="str">
        <f>RIGHT(Airports[[#This Row],[ICAO]],3)</f>
        <v>MAI</v>
      </c>
      <c r="G1216" s="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t="s">
        <v>2571</v>
      </c>
      <c r="B1217" t="s">
        <v>2572</v>
      </c>
      <c r="C1217">
        <v>-12.266389</v>
      </c>
      <c r="D1217">
        <v>134.05000000000001</v>
      </c>
      <c r="E1217" t="str">
        <f>RIGHT(Airports[[#This Row],[ICAO]],3)</f>
        <v>MAJ</v>
      </c>
      <c r="G1217" s="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t="s">
        <v>2573</v>
      </c>
      <c r="B1218" t="s">
        <v>2574</v>
      </c>
      <c r="C1218">
        <v>-28.941666999999999</v>
      </c>
      <c r="D1218">
        <v>134.333056</v>
      </c>
      <c r="E1218" t="str">
        <f>RIGHT(Airports[[#This Row],[ICAO]],3)</f>
        <v>MAK</v>
      </c>
      <c r="G1218" s="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t="s">
        <v>2575</v>
      </c>
      <c r="B1219" t="s">
        <v>2576</v>
      </c>
      <c r="C1219">
        <v>-67.602500000000006</v>
      </c>
      <c r="D1219">
        <v>62.873610999999997</v>
      </c>
      <c r="E1219" t="str">
        <f>RIGHT(Airports[[#This Row],[ICAO]],3)</f>
        <v>MAO</v>
      </c>
      <c r="G1219" s="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t="s">
        <v>2577</v>
      </c>
      <c r="B1220" t="s">
        <v>2578</v>
      </c>
      <c r="C1220">
        <v>-12.254721999999999</v>
      </c>
      <c r="D1220">
        <v>135.44</v>
      </c>
      <c r="E1220" t="str">
        <f>RIGHT(Airports[[#This Row],[ICAO]],3)</f>
        <v>MAP</v>
      </c>
      <c r="G1220" s="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t="s">
        <v>2579</v>
      </c>
      <c r="B1221" t="s">
        <v>2580</v>
      </c>
      <c r="C1221">
        <v>-14.926111000000001</v>
      </c>
      <c r="D1221">
        <v>133.06444400000001</v>
      </c>
      <c r="E1221" t="str">
        <f>RIGHT(Airports[[#This Row],[ICAO]],3)</f>
        <v>MAR</v>
      </c>
      <c r="G1221" s="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t="s">
        <v>2581</v>
      </c>
      <c r="B1222" t="s">
        <v>2582</v>
      </c>
      <c r="C1222">
        <v>-33.380555999999999</v>
      </c>
      <c r="D1222">
        <v>142.140556</v>
      </c>
      <c r="E1222" t="str">
        <f>RIGHT(Airports[[#This Row],[ICAO]],3)</f>
        <v>MAS</v>
      </c>
      <c r="G1222" s="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t="s">
        <v>2583</v>
      </c>
      <c r="B1223" t="s">
        <v>2584</v>
      </c>
      <c r="C1223">
        <v>-27.483332999999998</v>
      </c>
      <c r="D1223">
        <v>153.02694399999999</v>
      </c>
      <c r="E1223" t="str">
        <f>RIGHT(Airports[[#This Row],[ICAO]],3)</f>
        <v>MAT</v>
      </c>
      <c r="G1223" s="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t="s">
        <v>2585</v>
      </c>
      <c r="B1224" t="s">
        <v>2586</v>
      </c>
      <c r="C1224">
        <v>-24.316666999999999</v>
      </c>
      <c r="D1224">
        <v>116.916389</v>
      </c>
      <c r="E1224" t="str">
        <f>RIGHT(Airports[[#This Row],[ICAO]],3)</f>
        <v>MAU</v>
      </c>
      <c r="G1224" s="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t="s">
        <v>2587</v>
      </c>
      <c r="B1225" t="s">
        <v>2588</v>
      </c>
      <c r="C1225">
        <v>-38.039444000000003</v>
      </c>
      <c r="D1225">
        <v>144.46944400000001</v>
      </c>
      <c r="F1225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t="s">
        <v>2589</v>
      </c>
      <c r="B1226" t="s">
        <v>2590</v>
      </c>
      <c r="C1226">
        <v>-14.6</v>
      </c>
      <c r="D1226">
        <v>132.183333</v>
      </c>
      <c r="E1226" t="str">
        <f>RIGHT(Airports[[#This Row],[ICAO]],3)</f>
        <v>MAX</v>
      </c>
      <c r="G1226" s="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t="s">
        <v>2591</v>
      </c>
      <c r="B1227" t="s">
        <v>2592</v>
      </c>
      <c r="C1227">
        <v>-36.067777999999997</v>
      </c>
      <c r="D1227">
        <v>146.958056</v>
      </c>
      <c r="F122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t="s">
        <v>2593</v>
      </c>
      <c r="B1228" t="s">
        <v>2594</v>
      </c>
      <c r="C1228">
        <v>-17.070556</v>
      </c>
      <c r="D1228">
        <v>145.423889</v>
      </c>
      <c r="E1228" t="str">
        <f>RIGHT(Airports[[#This Row],[ICAO]],3)</f>
        <v>MBA</v>
      </c>
      <c r="G1228" s="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t="s">
        <v>2595</v>
      </c>
      <c r="B1229" t="s">
        <v>2596</v>
      </c>
      <c r="C1229">
        <v>-35.064444000000002</v>
      </c>
      <c r="D1229">
        <v>139.22666699999999</v>
      </c>
      <c r="E1229" t="str">
        <f>RIGHT(Airports[[#This Row],[ICAO]],3)</f>
        <v>MBD</v>
      </c>
      <c r="G1229" s="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t="s">
        <v>2597</v>
      </c>
      <c r="B1230" t="s">
        <v>2598</v>
      </c>
      <c r="C1230">
        <v>-41.918332999999997</v>
      </c>
      <c r="D1230">
        <v>147.16333299999999</v>
      </c>
      <c r="E1230" t="str">
        <f>RIGHT(Airports[[#This Row],[ICAO]],3)</f>
        <v>MBF</v>
      </c>
      <c r="G1230" s="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t="s">
        <v>2599</v>
      </c>
      <c r="B1231" t="s">
        <v>2600</v>
      </c>
      <c r="C1231">
        <v>-22.814722</v>
      </c>
      <c r="D1231">
        <v>149.88805600000001</v>
      </c>
      <c r="E1231" t="str">
        <f>RIGHT(Airports[[#This Row],[ICAO]],3)</f>
        <v>MBG</v>
      </c>
      <c r="G1231" s="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t="s">
        <v>2601</v>
      </c>
      <c r="B1232" t="s">
        <v>2602</v>
      </c>
      <c r="C1232">
        <v>-21.162500000000001</v>
      </c>
      <c r="D1232">
        <v>119.83972199999999</v>
      </c>
      <c r="E1232" t="str">
        <f>RIGHT(Airports[[#This Row],[ICAO]],3)</f>
        <v>MBL</v>
      </c>
      <c r="G1232" s="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t="s">
        <v>2603</v>
      </c>
      <c r="B1233" t="s">
        <v>2604</v>
      </c>
      <c r="C1233">
        <v>-12.866667</v>
      </c>
      <c r="D1233">
        <v>131.583056</v>
      </c>
      <c r="E1233" t="str">
        <f>RIGHT(Airports[[#This Row],[ICAO]],3)</f>
        <v>MBN</v>
      </c>
      <c r="G1233" s="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t="s">
        <v>2605</v>
      </c>
      <c r="B1234" t="s">
        <v>2606</v>
      </c>
      <c r="C1234">
        <v>-23.3</v>
      </c>
      <c r="D1234">
        <v>143.44999999999999</v>
      </c>
      <c r="E1234" t="str">
        <f>RIGHT(Airports[[#This Row],[ICAO]],3)</f>
        <v>MBO</v>
      </c>
      <c r="G1234" s="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t="s">
        <v>2607</v>
      </c>
      <c r="B1235" t="s">
        <v>2608</v>
      </c>
      <c r="C1235">
        <v>-33.880555999999999</v>
      </c>
      <c r="D1235">
        <v>122.61111099999999</v>
      </c>
      <c r="E1235" t="str">
        <f>RIGHT(Airports[[#This Row],[ICAO]],3)</f>
        <v>MBP</v>
      </c>
      <c r="G1235" s="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t="s">
        <v>2609</v>
      </c>
      <c r="B1236" t="s">
        <v>2610</v>
      </c>
      <c r="C1236">
        <v>-28.266389</v>
      </c>
      <c r="D1236">
        <v>134.13305600000001</v>
      </c>
      <c r="E1236" t="str">
        <f>RIGHT(Airports[[#This Row],[ICAO]],3)</f>
        <v>MBR</v>
      </c>
      <c r="G1236" s="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t="s">
        <v>2611</v>
      </c>
      <c r="B1237" t="s">
        <v>2612</v>
      </c>
      <c r="C1237">
        <v>-36.728611000000001</v>
      </c>
      <c r="D1237">
        <v>147.166944</v>
      </c>
      <c r="E1237" t="str">
        <f>RIGHT(Airports[[#This Row],[ICAO]],3)</f>
        <v>MBT</v>
      </c>
      <c r="G1237" s="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t="s">
        <v>2613</v>
      </c>
      <c r="B1238" t="s">
        <v>2614</v>
      </c>
      <c r="C1238">
        <v>-37.033056000000002</v>
      </c>
      <c r="D1238">
        <v>143.708889</v>
      </c>
      <c r="E1238" t="str">
        <f>RIGHT(Airports[[#This Row],[ICAO]],3)</f>
        <v>MBU</v>
      </c>
      <c r="G1238" s="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t="s">
        <v>2615</v>
      </c>
      <c r="B1239" t="s">
        <v>2616</v>
      </c>
      <c r="C1239">
        <v>-31.861388999999999</v>
      </c>
      <c r="D1239">
        <v>127.863889</v>
      </c>
      <c r="E1239" t="str">
        <f>RIGHT(Airports[[#This Row],[ICAO]],3)</f>
        <v>MBX</v>
      </c>
      <c r="G1239" s="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t="s">
        <v>2617</v>
      </c>
      <c r="B1240" t="s">
        <v>2618</v>
      </c>
      <c r="C1240">
        <v>-25.166388999999999</v>
      </c>
      <c r="D1240">
        <v>132.63305600000001</v>
      </c>
      <c r="E1240" t="str">
        <f>RIGHT(Airports[[#This Row],[ICAO]],3)</f>
        <v>MBZ</v>
      </c>
      <c r="G1240" s="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t="s">
        <v>2619</v>
      </c>
      <c r="B1241" t="s">
        <v>2620</v>
      </c>
      <c r="C1241">
        <v>-25.1</v>
      </c>
      <c r="D1241">
        <v>117.583333</v>
      </c>
      <c r="E1241" t="str">
        <f>RIGHT(Airports[[#This Row],[ICAO]],3)</f>
        <v>MCE</v>
      </c>
      <c r="G1241" s="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t="s">
        <v>2621</v>
      </c>
      <c r="B1242" t="s">
        <v>2622</v>
      </c>
      <c r="C1242">
        <v>-27.349167000000001</v>
      </c>
      <c r="D1242">
        <v>151.51388900000001</v>
      </c>
      <c r="E1242" t="str">
        <f>RIGHT(Airports[[#This Row],[ICAO]],3)</f>
        <v>MCF</v>
      </c>
      <c r="G1242" s="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t="s">
        <v>2623</v>
      </c>
      <c r="B1243" t="s">
        <v>2624</v>
      </c>
      <c r="C1243">
        <v>-19.141389</v>
      </c>
      <c r="D1243">
        <v>146.82749999999999</v>
      </c>
      <c r="E1243" t="str">
        <f>RIGHT(Airports[[#This Row],[ICAO]],3)</f>
        <v>MCI</v>
      </c>
      <c r="G1243" s="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t="s">
        <v>2625</v>
      </c>
      <c r="B1244" t="s">
        <v>2626</v>
      </c>
      <c r="C1244">
        <v>-21.266667000000002</v>
      </c>
      <c r="D1244">
        <v>141.30000000000001</v>
      </c>
      <c r="E1244" t="str">
        <f>RIGHT(Airports[[#This Row],[ICAO]],3)</f>
        <v>MCK</v>
      </c>
      <c r="G1244" s="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t="s">
        <v>2627</v>
      </c>
      <c r="B1245" t="s">
        <v>2628</v>
      </c>
      <c r="C1245">
        <v>-21.386944</v>
      </c>
      <c r="D1245">
        <v>147.332222</v>
      </c>
      <c r="E1245" t="str">
        <f>RIGHT(Airports[[#This Row],[ICAO]],3)</f>
        <v>MCL</v>
      </c>
      <c r="G1245" s="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t="s">
        <v>2629</v>
      </c>
      <c r="B1246" t="s">
        <v>2630</v>
      </c>
      <c r="C1246">
        <v>-32.295278000000003</v>
      </c>
      <c r="D1246">
        <v>150.708056</v>
      </c>
      <c r="E1246" t="str">
        <f>RIGHT(Airports[[#This Row],[ICAO]],3)</f>
        <v>MCM</v>
      </c>
      <c r="G1246" s="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t="s">
        <v>2631</v>
      </c>
      <c r="B1247" t="s">
        <v>2632</v>
      </c>
      <c r="C1247">
        <v>-37.598889</v>
      </c>
      <c r="D1247">
        <v>149.720833</v>
      </c>
      <c r="E1247" t="str">
        <f>RIGHT(Airports[[#This Row],[ICAO]],3)</f>
        <v>MCO</v>
      </c>
      <c r="G1247" s="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t="s">
        <v>2633</v>
      </c>
      <c r="B1248" t="s">
        <v>2634</v>
      </c>
      <c r="C1248">
        <v>-22.1</v>
      </c>
      <c r="D1248">
        <v>137.98333299999999</v>
      </c>
      <c r="E1248" t="str">
        <f>RIGHT(Airports[[#This Row],[ICAO]],3)</f>
        <v>MCR</v>
      </c>
      <c r="G1248" s="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t="s">
        <v>2635</v>
      </c>
      <c r="B1249" t="s">
        <v>2636</v>
      </c>
      <c r="C1249">
        <v>-20.016389</v>
      </c>
      <c r="D1249">
        <v>146.48333299999999</v>
      </c>
      <c r="E1249" t="str">
        <f>RIGHT(Airports[[#This Row],[ICAO]],3)</f>
        <v>MCS</v>
      </c>
      <c r="G1249" s="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t="s">
        <v>2637</v>
      </c>
      <c r="B1250" t="s">
        <v>2638</v>
      </c>
      <c r="C1250">
        <v>-37.583610999999998</v>
      </c>
      <c r="D1250">
        <v>140.36611099999999</v>
      </c>
      <c r="E1250" t="str">
        <f>RIGHT(Airports[[#This Row],[ICAO]],3)</f>
        <v>MCT</v>
      </c>
      <c r="G1250" s="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t="s">
        <v>2639</v>
      </c>
      <c r="B1251" t="s">
        <v>2640</v>
      </c>
      <c r="C1251">
        <v>-18.2</v>
      </c>
      <c r="D1251">
        <v>127.5</v>
      </c>
      <c r="E1251" t="str">
        <f>RIGHT(Airports[[#This Row],[ICAO]],3)</f>
        <v>MCW</v>
      </c>
      <c r="G1251" s="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t="s">
        <v>2641</v>
      </c>
      <c r="B1252" t="s">
        <v>2642</v>
      </c>
      <c r="C1252">
        <v>-25.598889</v>
      </c>
      <c r="D1252">
        <v>151.31888900000001</v>
      </c>
      <c r="E1252" t="str">
        <f>RIGHT(Airports[[#This Row],[ICAO]],3)</f>
        <v>MDA</v>
      </c>
      <c r="G1252" s="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t="s">
        <v>2643</v>
      </c>
      <c r="B1253" t="s">
        <v>2644</v>
      </c>
      <c r="C1253">
        <v>-20.516389</v>
      </c>
      <c r="D1253">
        <v>118.066389</v>
      </c>
      <c r="E1253" t="str">
        <f>RIGHT(Airports[[#This Row],[ICAO]],3)</f>
        <v>MDB</v>
      </c>
      <c r="G1253" s="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t="s">
        <v>2645</v>
      </c>
      <c r="B1254" t="s">
        <v>2646</v>
      </c>
      <c r="C1254">
        <v>-29.713056000000002</v>
      </c>
      <c r="D1254">
        <v>138.22666699999999</v>
      </c>
      <c r="E1254" t="str">
        <f>RIGHT(Airports[[#This Row],[ICAO]],3)</f>
        <v>MDD</v>
      </c>
      <c r="G1254" s="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t="s">
        <v>2647</v>
      </c>
      <c r="B1255" t="s">
        <v>2648</v>
      </c>
      <c r="C1255">
        <v>-21.666388999999999</v>
      </c>
      <c r="D1255">
        <v>140.533333</v>
      </c>
      <c r="E1255" t="str">
        <f>RIGHT(Airports[[#This Row],[ICAO]],3)</f>
        <v>MDE</v>
      </c>
      <c r="G1255" s="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t="s">
        <v>2649</v>
      </c>
      <c r="B1256" t="s">
        <v>2650</v>
      </c>
      <c r="C1256">
        <v>-32.5625</v>
      </c>
      <c r="D1256">
        <v>149.61111099999999</v>
      </c>
      <c r="E1256" t="str">
        <f>RIGHT(Airports[[#This Row],[ICAO]],3)</f>
        <v>MDG</v>
      </c>
      <c r="G1256" s="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t="s">
        <v>2651</v>
      </c>
      <c r="B1257" t="s">
        <v>2652</v>
      </c>
      <c r="C1257">
        <v>-23.036667000000001</v>
      </c>
      <c r="D1257">
        <v>134.69111100000001</v>
      </c>
      <c r="E1257" t="str">
        <f>RIGHT(Airports[[#This Row],[ICAO]],3)</f>
        <v>MDK</v>
      </c>
      <c r="G1257" s="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t="s">
        <v>2653</v>
      </c>
      <c r="B1258" t="s">
        <v>2654</v>
      </c>
      <c r="C1258">
        <v>-31.523333000000001</v>
      </c>
      <c r="D1258">
        <v>118.32</v>
      </c>
      <c r="E1258" t="str">
        <f>RIGHT(Airports[[#This Row],[ICAO]],3)</f>
        <v>MDN</v>
      </c>
      <c r="G1258" s="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t="s">
        <v>2655</v>
      </c>
      <c r="B1259" t="s">
        <v>2656</v>
      </c>
      <c r="C1259">
        <v>-24.283055999999998</v>
      </c>
      <c r="D1259">
        <v>143</v>
      </c>
      <c r="E1259" t="str">
        <f>RIGHT(Airports[[#This Row],[ICAO]],3)</f>
        <v>MDP</v>
      </c>
      <c r="G1259" s="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t="s">
        <v>2657</v>
      </c>
      <c r="B1260" t="s">
        <v>2658</v>
      </c>
      <c r="C1260">
        <v>-21.993333</v>
      </c>
      <c r="D1260">
        <v>115.045</v>
      </c>
      <c r="E1260" t="str">
        <f>RIGHT(Airports[[#This Row],[ICAO]],3)</f>
        <v>MDR</v>
      </c>
      <c r="G1260" s="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t="s">
        <v>2659</v>
      </c>
      <c r="B1261" t="s">
        <v>2660</v>
      </c>
      <c r="C1261">
        <v>-22.466667000000001</v>
      </c>
      <c r="D1261">
        <v>135.23333299999999</v>
      </c>
      <c r="E1261" t="str">
        <f>RIGHT(Airports[[#This Row],[ICAO]],3)</f>
        <v>MDS</v>
      </c>
      <c r="G1261" s="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t="s">
        <v>2661</v>
      </c>
      <c r="B1262" t="s">
        <v>2662</v>
      </c>
      <c r="C1262">
        <v>-31.826388999999999</v>
      </c>
      <c r="D1262">
        <v>128.22972200000001</v>
      </c>
      <c r="E1262" t="str">
        <f>RIGHT(Airports[[#This Row],[ICAO]],3)</f>
        <v>MDT</v>
      </c>
      <c r="G1262" s="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t="s">
        <v>2663</v>
      </c>
      <c r="B1263" t="s">
        <v>2664</v>
      </c>
      <c r="C1263">
        <v>-26.173333</v>
      </c>
      <c r="D1263">
        <v>129.13</v>
      </c>
      <c r="E1263" t="str">
        <f>RIGHT(Airports[[#This Row],[ICAO]],3)</f>
        <v>MDV</v>
      </c>
      <c r="G1263" s="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t="s">
        <v>2665</v>
      </c>
      <c r="B1264" t="s">
        <v>2666</v>
      </c>
      <c r="C1264">
        <v>-16.223333</v>
      </c>
      <c r="D1264">
        <v>144.70333299999999</v>
      </c>
      <c r="E1264" t="str">
        <f>RIGHT(Airports[[#This Row],[ICAO]],3)</f>
        <v>MDW</v>
      </c>
      <c r="G1264" s="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t="s">
        <v>2667</v>
      </c>
      <c r="B1265" t="s">
        <v>2668</v>
      </c>
      <c r="C1265">
        <v>-19.766389</v>
      </c>
      <c r="D1265">
        <v>140.38305600000001</v>
      </c>
      <c r="E1265" t="str">
        <f>RIGHT(Airports[[#This Row],[ICAO]],3)</f>
        <v>MDX</v>
      </c>
      <c r="G1265" s="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t="s">
        <v>2669</v>
      </c>
      <c r="B1266" t="s">
        <v>2670</v>
      </c>
      <c r="C1266">
        <v>-12.89</v>
      </c>
      <c r="D1266">
        <v>131.90722199999999</v>
      </c>
      <c r="E1266" t="str">
        <f>RIGHT(Airports[[#This Row],[ICAO]],3)</f>
        <v>MDY</v>
      </c>
      <c r="G1266" s="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t="s">
        <v>2671</v>
      </c>
      <c r="B1267" t="s">
        <v>2672</v>
      </c>
      <c r="C1267">
        <v>-21.2</v>
      </c>
      <c r="D1267">
        <v>115.983056</v>
      </c>
      <c r="E1267" t="str">
        <f>RIGHT(Airports[[#This Row],[ICAO]],3)</f>
        <v>MDZ</v>
      </c>
      <c r="G1267" s="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t="s">
        <v>2673</v>
      </c>
      <c r="B1268" t="s">
        <v>2674</v>
      </c>
      <c r="C1268">
        <v>-41.497500000000002</v>
      </c>
      <c r="D1268">
        <v>147.02583300000001</v>
      </c>
      <c r="G1268" s="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t="s">
        <v>2675</v>
      </c>
      <c r="B1269" t="s">
        <v>2676</v>
      </c>
      <c r="C1269">
        <v>-30.178332999999999</v>
      </c>
      <c r="D1269">
        <v>135.67333300000001</v>
      </c>
      <c r="E1269" t="str">
        <f>RIGHT(Airports[[#This Row],[ICAO]],3)</f>
        <v>MEB</v>
      </c>
      <c r="G1269" s="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t="s">
        <v>2677</v>
      </c>
      <c r="B1270" t="s">
        <v>2678</v>
      </c>
      <c r="C1270">
        <v>-32.366667</v>
      </c>
      <c r="D1270">
        <v>142.405</v>
      </c>
      <c r="E1270" t="str">
        <f>RIGHT(Airports[[#This Row],[ICAO]],3)</f>
        <v>MED</v>
      </c>
      <c r="G1270" s="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t="s">
        <v>2679</v>
      </c>
      <c r="B1271" t="s">
        <v>2680</v>
      </c>
      <c r="C1271">
        <v>-16.824999999999999</v>
      </c>
      <c r="D1271">
        <v>136.333056</v>
      </c>
      <c r="E1271" t="str">
        <f>RIGHT(Airports[[#This Row],[ICAO]],3)</f>
        <v>MEE</v>
      </c>
      <c r="G1271" s="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t="s">
        <v>2681</v>
      </c>
      <c r="B1272" t="s">
        <v>2682</v>
      </c>
      <c r="C1272">
        <v>-35.702500000000001</v>
      </c>
      <c r="D1272">
        <v>139.344167</v>
      </c>
      <c r="E1272" t="str">
        <f>RIGHT(Airports[[#This Row],[ICAO]],3)</f>
        <v>MEG</v>
      </c>
      <c r="G1272" s="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t="s">
        <v>2683</v>
      </c>
      <c r="B1273" t="s">
        <v>2684</v>
      </c>
      <c r="C1273">
        <v>-23.976666999999999</v>
      </c>
      <c r="D1273">
        <v>131.561667</v>
      </c>
      <c r="E1273" t="str">
        <f>RIGHT(Airports[[#This Row],[ICAO]],3)</f>
        <v>MEI</v>
      </c>
      <c r="G1273" s="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t="s">
        <v>2685</v>
      </c>
      <c r="B1274" t="s">
        <v>2686</v>
      </c>
      <c r="C1274">
        <v>-26.611667000000001</v>
      </c>
      <c r="D1274">
        <v>118.54777799999999</v>
      </c>
      <c r="E1274" t="str">
        <f>RIGHT(Airports[[#This Row],[ICAO]],3)</f>
        <v>MEK</v>
      </c>
      <c r="G1274" s="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t="s">
        <v>2687</v>
      </c>
      <c r="B1275" t="s">
        <v>2688</v>
      </c>
      <c r="C1275">
        <v>-37.621667000000002</v>
      </c>
      <c r="D1275">
        <v>144.56555599999999</v>
      </c>
      <c r="E1275" t="str">
        <f>RIGHT(Airports[[#This Row],[ICAO]],3)</f>
        <v>MEL</v>
      </c>
      <c r="G1275" s="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t="s">
        <v>2689</v>
      </c>
      <c r="B1276" t="s">
        <v>2690</v>
      </c>
      <c r="C1276">
        <v>-24</v>
      </c>
      <c r="D1276">
        <v>148.71638899999999</v>
      </c>
      <c r="E1276" t="str">
        <f>RIGHT(Airports[[#This Row],[ICAO]],3)</f>
        <v>MEM</v>
      </c>
      <c r="G1276" s="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t="s">
        <v>2691</v>
      </c>
      <c r="B1277" t="s">
        <v>5314</v>
      </c>
      <c r="C1277">
        <v>-37.728056000000002</v>
      </c>
      <c r="D1277">
        <v>144.90194399999999</v>
      </c>
      <c r="F127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t="s">
        <v>2692</v>
      </c>
      <c r="B1278" t="s">
        <v>2693</v>
      </c>
      <c r="C1278">
        <v>-36.908611000000001</v>
      </c>
      <c r="D1278">
        <v>149.90138899999999</v>
      </c>
      <c r="E1278" t="str">
        <f>RIGHT(Airports[[#This Row],[ICAO]],3)</f>
        <v>MER</v>
      </c>
      <c r="G1278" s="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t="s">
        <v>2694</v>
      </c>
      <c r="B1279" t="s">
        <v>2695</v>
      </c>
      <c r="C1279">
        <v>-38.098889</v>
      </c>
      <c r="D1279">
        <v>147.14944399999999</v>
      </c>
      <c r="F1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t="s">
        <v>2696</v>
      </c>
      <c r="B1280" t="s">
        <v>2697</v>
      </c>
      <c r="C1280">
        <v>-31.977499999999999</v>
      </c>
      <c r="D1280">
        <v>115.84138900000001</v>
      </c>
      <c r="E1280" t="str">
        <f>RIGHT(Airports[[#This Row],[ICAO]],3)</f>
        <v>MET</v>
      </c>
      <c r="G1280" s="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t="s">
        <v>2698</v>
      </c>
      <c r="B1281" t="s">
        <v>2699</v>
      </c>
      <c r="C1281">
        <v>-13.05</v>
      </c>
      <c r="D1281">
        <v>142.48333299999999</v>
      </c>
      <c r="E1281" t="str">
        <f>RIGHT(Airports[[#This Row],[ICAO]],3)</f>
        <v>MEU</v>
      </c>
      <c r="G1281" s="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t="s">
        <v>2700</v>
      </c>
      <c r="B1282" t="s">
        <v>2701</v>
      </c>
      <c r="C1282">
        <v>-29.269444</v>
      </c>
      <c r="D1282">
        <v>115.443056</v>
      </c>
      <c r="E1282" t="str">
        <f>RIGHT(Airports[[#This Row],[ICAO]],3)</f>
        <v>MEW</v>
      </c>
      <c r="G1282" s="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t="s">
        <v>2702</v>
      </c>
      <c r="B1283" t="s">
        <v>2703</v>
      </c>
      <c r="C1283">
        <v>-27.913056000000001</v>
      </c>
      <c r="D1283">
        <v>151.95333299999999</v>
      </c>
      <c r="E1283" t="str">
        <f>RIGHT(Airports[[#This Row],[ICAO]],3)</f>
        <v>MFA</v>
      </c>
      <c r="G1283" s="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t="s">
        <v>2704</v>
      </c>
      <c r="B1284" t="s">
        <v>2705</v>
      </c>
      <c r="C1284">
        <v>-37.066667000000002</v>
      </c>
      <c r="D1284">
        <v>146.11666700000001</v>
      </c>
      <c r="E1284" t="str">
        <f>RIGHT(Airports[[#This Row],[ICAO]],3)</f>
        <v>MFD</v>
      </c>
      <c r="G1284" s="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t="s">
        <v>2706</v>
      </c>
      <c r="B1285" t="s">
        <v>2707</v>
      </c>
      <c r="C1285">
        <v>-12.094443999999999</v>
      </c>
      <c r="D1285">
        <v>134.89361099999999</v>
      </c>
      <c r="E1285" t="str">
        <f>RIGHT(Airports[[#This Row],[ICAO]],3)</f>
        <v>MGB</v>
      </c>
      <c r="G1285" s="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t="s">
        <v>2708</v>
      </c>
      <c r="B1286" t="s">
        <v>2709</v>
      </c>
      <c r="C1286">
        <v>-12.056111</v>
      </c>
      <c r="D1286">
        <v>134.23416700000001</v>
      </c>
      <c r="E1286" t="str">
        <f>RIGHT(Airports[[#This Row],[ICAO]],3)</f>
        <v>MGD</v>
      </c>
      <c r="G1286" s="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t="s">
        <v>2710</v>
      </c>
      <c r="B1287" t="s">
        <v>2711</v>
      </c>
      <c r="C1287">
        <v>-11.966388999999999</v>
      </c>
      <c r="D1287">
        <v>132.85</v>
      </c>
      <c r="E1287" t="str">
        <f>RIGHT(Airports[[#This Row],[ICAO]],3)</f>
        <v>MGE</v>
      </c>
      <c r="G1287" s="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t="s">
        <v>2712</v>
      </c>
      <c r="B1288" t="s">
        <v>2713</v>
      </c>
      <c r="C1288">
        <v>-30.229167</v>
      </c>
      <c r="D1288">
        <v>133.98611099999999</v>
      </c>
      <c r="E1288" t="str">
        <f>RIGHT(Airports[[#This Row],[ICAO]],3)</f>
        <v>MGG</v>
      </c>
      <c r="G1288" s="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t="s">
        <v>2714</v>
      </c>
      <c r="B1289" t="s">
        <v>2715</v>
      </c>
      <c r="C1289">
        <v>-28.967222</v>
      </c>
      <c r="D1289">
        <v>149.05361099999999</v>
      </c>
      <c r="E1289" t="str">
        <f>RIGHT(Airports[[#This Row],[ICAO]],3)</f>
        <v>MGI</v>
      </c>
      <c r="G1289" s="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t="s">
        <v>2716</v>
      </c>
      <c r="B1290" t="s">
        <v>2717</v>
      </c>
      <c r="C1290">
        <v>-12.633056</v>
      </c>
      <c r="D1290">
        <v>135.19972200000001</v>
      </c>
      <c r="E1290" t="str">
        <f>RIGHT(Airports[[#This Row],[ICAO]],3)</f>
        <v>MGJ</v>
      </c>
      <c r="G1290" s="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t="s">
        <v>2718</v>
      </c>
      <c r="B1291" t="s">
        <v>2719</v>
      </c>
      <c r="C1291">
        <v>-17.45</v>
      </c>
      <c r="D1291">
        <v>141.16666699999999</v>
      </c>
      <c r="E1291" t="str">
        <f>RIGHT(Airports[[#This Row],[ICAO]],3)</f>
        <v>MGL</v>
      </c>
      <c r="G1291" s="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t="s">
        <v>2720</v>
      </c>
      <c r="B1292" t="s">
        <v>2721</v>
      </c>
      <c r="C1292">
        <v>-31.463056000000002</v>
      </c>
      <c r="D1292">
        <v>137.16972200000001</v>
      </c>
      <c r="E1292" t="str">
        <f>RIGHT(Airports[[#This Row],[ICAO]],3)</f>
        <v>MGN</v>
      </c>
      <c r="G1292" s="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t="s">
        <v>2722</v>
      </c>
      <c r="B1293" t="s">
        <v>2723</v>
      </c>
      <c r="C1293">
        <v>-27.366667</v>
      </c>
      <c r="D1293">
        <v>116.416389</v>
      </c>
      <c r="E1293" t="str">
        <f>RIGHT(Airports[[#This Row],[ICAO]],3)</f>
        <v>MGO</v>
      </c>
      <c r="G1293" s="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t="s">
        <v>2724</v>
      </c>
      <c r="B1294" t="s">
        <v>2725</v>
      </c>
      <c r="C1294">
        <v>-33.930556000000003</v>
      </c>
      <c r="D1294">
        <v>115.1</v>
      </c>
      <c r="E1294" t="str">
        <f>RIGHT(Airports[[#This Row],[ICAO]],3)</f>
        <v>MGT</v>
      </c>
      <c r="G1294" s="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t="s">
        <v>2726</v>
      </c>
      <c r="B1295" t="s">
        <v>2727</v>
      </c>
      <c r="C1295">
        <v>-14.781110999999999</v>
      </c>
      <c r="D1295">
        <v>143.503333</v>
      </c>
      <c r="E1295" t="str">
        <f>RIGHT(Airports[[#This Row],[ICAO]],3)</f>
        <v>MGV</v>
      </c>
      <c r="G1295" s="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t="s">
        <v>2728</v>
      </c>
      <c r="B1296" t="s">
        <v>2729</v>
      </c>
      <c r="C1296">
        <v>-42.836111000000002</v>
      </c>
      <c r="D1296">
        <v>147.510278</v>
      </c>
      <c r="F1296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t="s">
        <v>2730</v>
      </c>
      <c r="B1297" t="s">
        <v>2731</v>
      </c>
      <c r="C1297">
        <v>-26.018611</v>
      </c>
      <c r="D1297">
        <v>117.333611</v>
      </c>
      <c r="E1297" t="str">
        <f>RIGHT(Airports[[#This Row],[ICAO]],3)</f>
        <v>MHE</v>
      </c>
      <c r="G1297" s="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t="s">
        <v>2732</v>
      </c>
      <c r="B1298" t="s">
        <v>2733</v>
      </c>
      <c r="C1298">
        <v>-32.108333000000002</v>
      </c>
      <c r="D1298">
        <v>119.76</v>
      </c>
      <c r="E1298" t="str">
        <f>RIGHT(Airports[[#This Row],[ICAO]],3)</f>
        <v>MHL</v>
      </c>
      <c r="G1298" s="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t="s">
        <v>2734</v>
      </c>
      <c r="B1299" t="s">
        <v>2735</v>
      </c>
      <c r="C1299">
        <v>-17.051110999999999</v>
      </c>
      <c r="D1299">
        <v>125.71333300000001</v>
      </c>
      <c r="E1299" t="str">
        <f>RIGHT(Airports[[#This Row],[ICAO]],3)</f>
        <v>MHO</v>
      </c>
      <c r="G1299" s="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t="s">
        <v>2736</v>
      </c>
      <c r="B1300" t="s">
        <v>2737</v>
      </c>
      <c r="C1300">
        <v>-16.819721999999999</v>
      </c>
      <c r="D1300">
        <v>124.9075</v>
      </c>
      <c r="E1300" t="str">
        <f>RIGHT(Airports[[#This Row],[ICAO]],3)</f>
        <v>MHT</v>
      </c>
      <c r="G1300" s="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t="s">
        <v>2738</v>
      </c>
      <c r="B1301" t="s">
        <v>2739</v>
      </c>
      <c r="C1301">
        <v>-16.443332999999999</v>
      </c>
      <c r="D1301">
        <v>136.07666699999999</v>
      </c>
      <c r="E1301" t="str">
        <f>RIGHT(Airports[[#This Row],[ICAO]],3)</f>
        <v>MHU</v>
      </c>
      <c r="G1301" s="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t="s">
        <v>2740</v>
      </c>
      <c r="B1302" t="s">
        <v>2741</v>
      </c>
      <c r="C1302">
        <v>-26.511111</v>
      </c>
      <c r="D1302">
        <v>142.283333</v>
      </c>
      <c r="E1302" t="str">
        <f>RIGHT(Airports[[#This Row],[ICAO]],3)</f>
        <v>MHW</v>
      </c>
      <c r="G1302" s="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t="s">
        <v>2742</v>
      </c>
      <c r="B1303" t="s">
        <v>2743</v>
      </c>
      <c r="C1303">
        <v>-34.229166999999997</v>
      </c>
      <c r="D1303">
        <v>142.085556</v>
      </c>
      <c r="E1303" t="str">
        <f>RIGHT(Airports[[#This Row],[ICAO]],3)</f>
        <v>MIA</v>
      </c>
      <c r="G1303" s="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t="s">
        <v>2744</v>
      </c>
      <c r="B1304" t="s">
        <v>2745</v>
      </c>
      <c r="C1304">
        <v>-16.649722000000001</v>
      </c>
      <c r="D1304">
        <v>146</v>
      </c>
      <c r="E1304" t="str">
        <f>RIGHT(Airports[[#This Row],[ICAO]],3)</f>
        <v>MID</v>
      </c>
      <c r="G1304" s="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t="s">
        <v>2746</v>
      </c>
      <c r="B1305" t="s">
        <v>2747</v>
      </c>
      <c r="C1305">
        <v>-34.448332999999998</v>
      </c>
      <c r="D1305">
        <v>150.503333</v>
      </c>
      <c r="E1305" t="str">
        <f>RIGHT(Airports[[#This Row],[ICAO]],3)</f>
        <v>MIG</v>
      </c>
      <c r="G1305" s="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t="s">
        <v>2748</v>
      </c>
      <c r="B1306" t="s">
        <v>2749</v>
      </c>
      <c r="C1306">
        <v>-29.974722</v>
      </c>
      <c r="D1306">
        <v>136.074444</v>
      </c>
      <c r="E1306" t="str">
        <f>RIGHT(Airports[[#This Row],[ICAO]],3)</f>
        <v>MIK</v>
      </c>
      <c r="G1306" s="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t="s">
        <v>2750</v>
      </c>
      <c r="B1307" t="s">
        <v>2751</v>
      </c>
      <c r="C1307">
        <v>-34.743889000000003</v>
      </c>
      <c r="D1307">
        <v>137.52888899999999</v>
      </c>
      <c r="E1307" t="str">
        <f>RIGHT(Airports[[#This Row],[ICAO]],3)</f>
        <v>MIN</v>
      </c>
      <c r="G1307" s="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t="s">
        <v>2752</v>
      </c>
      <c r="B1308" t="s">
        <v>2753</v>
      </c>
      <c r="C1308">
        <v>-23.323889000000001</v>
      </c>
      <c r="D1308">
        <v>150.69583299999999</v>
      </c>
      <c r="E1308" t="str">
        <f>RIGHT(Airports[[#This Row],[ICAO]],3)</f>
        <v>MIO</v>
      </c>
      <c r="G1308" s="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t="s">
        <v>2754</v>
      </c>
      <c r="B1309" t="s">
        <v>2755</v>
      </c>
      <c r="C1309">
        <v>-14.791389000000001</v>
      </c>
      <c r="D1309">
        <v>125.825278</v>
      </c>
      <c r="E1309" t="str">
        <f>RIGHT(Airports[[#This Row],[ICAO]],3)</f>
        <v>MIP</v>
      </c>
      <c r="G1309" s="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t="s">
        <v>2756</v>
      </c>
      <c r="B1310" t="s">
        <v>2757</v>
      </c>
      <c r="C1310">
        <v>-17.333333</v>
      </c>
      <c r="D1310">
        <v>141.91666699999999</v>
      </c>
      <c r="E1310" t="str">
        <f>RIGHT(Airports[[#This Row],[ICAO]],3)</f>
        <v>MIR</v>
      </c>
      <c r="G1310" s="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t="s">
        <v>2758</v>
      </c>
      <c r="B1311" t="s">
        <v>2759</v>
      </c>
      <c r="C1311">
        <v>-26.399722000000001</v>
      </c>
      <c r="D1311">
        <v>120.94972199999999</v>
      </c>
      <c r="E1311" t="str">
        <f>RIGHT(Airports[[#This Row],[ICAO]],3)</f>
        <v>MIS</v>
      </c>
      <c r="G1311" s="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t="s">
        <v>2760</v>
      </c>
      <c r="B1312" t="s">
        <v>2761</v>
      </c>
      <c r="C1312">
        <v>-26.483332999999998</v>
      </c>
      <c r="D1312">
        <v>147.936667</v>
      </c>
      <c r="E1312" t="str">
        <f>RIGHT(Airports[[#This Row],[ICAO]],3)</f>
        <v>MIT</v>
      </c>
      <c r="G1312" s="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t="s">
        <v>2762</v>
      </c>
      <c r="B1313" t="s">
        <v>2763</v>
      </c>
      <c r="C1313">
        <v>-23.266389</v>
      </c>
      <c r="D1313">
        <v>145.266389</v>
      </c>
      <c r="E1313" t="str">
        <f>RIGHT(Airports[[#This Row],[ICAO]],3)</f>
        <v>MIU</v>
      </c>
      <c r="G1313" s="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t="s">
        <v>2764</v>
      </c>
      <c r="B1314" t="s">
        <v>2765</v>
      </c>
      <c r="C1314">
        <v>-32.444167</v>
      </c>
      <c r="D1314">
        <v>136.069444</v>
      </c>
      <c r="E1314" t="str">
        <f>RIGHT(Airports[[#This Row],[ICAO]],3)</f>
        <v>MIV</v>
      </c>
      <c r="G1314" s="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t="s">
        <v>2766</v>
      </c>
      <c r="B1315" t="s">
        <v>2767</v>
      </c>
      <c r="C1315">
        <v>-23.899722000000001</v>
      </c>
      <c r="D1315">
        <v>114.766667</v>
      </c>
      <c r="E1315" t="str">
        <f>RIGHT(Airports[[#This Row],[ICAO]],3)</f>
        <v>MIX</v>
      </c>
      <c r="G1315" s="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t="s">
        <v>2768</v>
      </c>
      <c r="B1316" t="s">
        <v>2769</v>
      </c>
      <c r="C1316">
        <v>-18.850000000000001</v>
      </c>
      <c r="D1316">
        <v>124.925</v>
      </c>
      <c r="E1316" t="str">
        <f>RIGHT(Airports[[#This Row],[ICAO]],3)</f>
        <v>MJD</v>
      </c>
      <c r="G1316" s="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t="s">
        <v>2770</v>
      </c>
      <c r="B1317" t="s">
        <v>2771</v>
      </c>
      <c r="C1317">
        <v>-24.616667</v>
      </c>
      <c r="D1317">
        <v>116.933333</v>
      </c>
      <c r="E1317" t="str">
        <f>RIGHT(Airports[[#This Row],[ICAO]],3)</f>
        <v>MJE</v>
      </c>
      <c r="G1317" s="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t="s">
        <v>2772</v>
      </c>
      <c r="B1318" t="s">
        <v>2773</v>
      </c>
      <c r="C1318">
        <v>-16.850000000000001</v>
      </c>
      <c r="D1318">
        <v>132.80000000000001</v>
      </c>
      <c r="E1318" t="str">
        <f>RIGHT(Airports[[#This Row],[ICAO]],3)</f>
        <v>MJI</v>
      </c>
      <c r="G1318" s="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t="s">
        <v>2774</v>
      </c>
      <c r="B1319" t="s">
        <v>2775</v>
      </c>
      <c r="C1319">
        <v>-34.265278000000002</v>
      </c>
      <c r="D1319">
        <v>116.140278</v>
      </c>
      <c r="E1319" t="str">
        <f>RIGHT(Airports[[#This Row],[ICAO]],3)</f>
        <v>MJM</v>
      </c>
      <c r="G1319" s="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t="s">
        <v>2776</v>
      </c>
      <c r="B1320" t="s">
        <v>2777</v>
      </c>
      <c r="C1320">
        <v>-35.244999999999997</v>
      </c>
      <c r="D1320">
        <v>149.19666699999999</v>
      </c>
      <c r="E1320" t="str">
        <f>RIGHT(Airports[[#This Row],[ICAO]],3)</f>
        <v>MJR</v>
      </c>
      <c r="G1320" s="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t="s">
        <v>2778</v>
      </c>
      <c r="B1321" t="s">
        <v>2779</v>
      </c>
      <c r="C1321">
        <v>-30.922499999999999</v>
      </c>
      <c r="D1321">
        <v>118.255</v>
      </c>
      <c r="E1321" t="str">
        <f>RIGHT(Airports[[#This Row],[ICAO]],3)</f>
        <v>MKB</v>
      </c>
      <c r="G1321" s="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t="s">
        <v>2780</v>
      </c>
      <c r="B1322" t="s">
        <v>2781</v>
      </c>
      <c r="C1322">
        <v>-17.083333</v>
      </c>
      <c r="D1322">
        <v>129.05000000000001</v>
      </c>
      <c r="E1322" t="str">
        <f>RIGHT(Airports[[#This Row],[ICAO]],3)</f>
        <v>MKC</v>
      </c>
      <c r="G1322" s="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t="s">
        <v>2782</v>
      </c>
      <c r="B1323" t="s">
        <v>2783</v>
      </c>
      <c r="C1323">
        <v>-21.149722000000001</v>
      </c>
      <c r="D1323">
        <v>149.19972200000001</v>
      </c>
      <c r="E1323" t="str">
        <f>RIGHT(Airports[[#This Row],[ICAO]],3)</f>
        <v>MKH</v>
      </c>
      <c r="G1323" s="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t="s">
        <v>2784</v>
      </c>
      <c r="B1324" t="s">
        <v>2785</v>
      </c>
      <c r="C1324">
        <v>-12.61</v>
      </c>
      <c r="D1324">
        <v>131.05277799999999</v>
      </c>
      <c r="E1324" t="str">
        <f>RIGHT(Airports[[#This Row],[ICAO]],3)</f>
        <v>MKT</v>
      </c>
      <c r="G1324" s="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t="s">
        <v>2786</v>
      </c>
      <c r="B1325" t="s">
        <v>2787</v>
      </c>
      <c r="C1325">
        <v>-12.480278</v>
      </c>
      <c r="D1325">
        <v>133.071944</v>
      </c>
      <c r="E1325" t="str">
        <f>RIGHT(Airports[[#This Row],[ICAO]],3)</f>
        <v>MKV</v>
      </c>
      <c r="G1325" s="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t="s">
        <v>2788</v>
      </c>
      <c r="B1326" t="s">
        <v>2789</v>
      </c>
      <c r="C1326">
        <v>-17.946943999999998</v>
      </c>
      <c r="D1326">
        <v>145.97388900000001</v>
      </c>
      <c r="E1326" t="str">
        <f>RIGHT(Airports[[#This Row],[ICAO]],3)</f>
        <v>MKY</v>
      </c>
      <c r="G1326" s="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t="s">
        <v>2790</v>
      </c>
      <c r="B1327" t="s">
        <v>2791</v>
      </c>
      <c r="C1327">
        <v>-20.883056</v>
      </c>
      <c r="D1327">
        <v>118.033056</v>
      </c>
      <c r="E1327" t="str">
        <f>RIGHT(Airports[[#This Row],[ICAO]],3)</f>
        <v>MLA</v>
      </c>
      <c r="G1327" s="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t="s">
        <v>2792</v>
      </c>
      <c r="B1328" t="s">
        <v>2793</v>
      </c>
      <c r="C1328">
        <v>-34.392778</v>
      </c>
      <c r="D1328">
        <v>137.707222</v>
      </c>
      <c r="E1328" t="str">
        <f>RIGHT(Airports[[#This Row],[ICAO]],3)</f>
        <v>MLD</v>
      </c>
      <c r="G1328" s="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t="s">
        <v>2794</v>
      </c>
      <c r="B1329" t="s">
        <v>2795</v>
      </c>
      <c r="C1329">
        <v>-19.581666999999999</v>
      </c>
      <c r="D1329">
        <v>145.25805600000001</v>
      </c>
      <c r="E1329" t="str">
        <f>RIGHT(Airports[[#This Row],[ICAO]],3)</f>
        <v>MLE</v>
      </c>
      <c r="G1329" s="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t="s">
        <v>2796</v>
      </c>
      <c r="B1330" t="s">
        <v>2797</v>
      </c>
      <c r="C1330">
        <v>-24.899722000000001</v>
      </c>
      <c r="D1330">
        <v>114.216667</v>
      </c>
      <c r="E1330" t="str">
        <f>RIGHT(Airports[[#This Row],[ICAO]],3)</f>
        <v>MLI</v>
      </c>
      <c r="G1330" s="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t="s">
        <v>2798</v>
      </c>
      <c r="B1331" t="s">
        <v>2799</v>
      </c>
      <c r="C1331">
        <v>-18.190000000000001</v>
      </c>
      <c r="D1331">
        <v>145.095</v>
      </c>
      <c r="E1331" t="str">
        <f>RIGHT(Airports[[#This Row],[ICAO]],3)</f>
        <v>MLK</v>
      </c>
      <c r="G1331" s="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t="s">
        <v>2800</v>
      </c>
      <c r="B1332" t="s">
        <v>2801</v>
      </c>
      <c r="C1332">
        <v>-19.857222</v>
      </c>
      <c r="D1332">
        <v>141.561667</v>
      </c>
      <c r="E1332" t="str">
        <f>RIGHT(Airports[[#This Row],[ICAO]],3)</f>
        <v>MLL</v>
      </c>
      <c r="G1332" s="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t="s">
        <v>2802</v>
      </c>
      <c r="B1333" t="s">
        <v>2803</v>
      </c>
      <c r="C1333">
        <v>-30.219166999999999</v>
      </c>
      <c r="D1333">
        <v>143.24861100000001</v>
      </c>
      <c r="E1333" t="str">
        <f>RIGHT(Airports[[#This Row],[ICAO]],3)</f>
        <v>MLN</v>
      </c>
      <c r="G1333" s="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t="s">
        <v>2804</v>
      </c>
      <c r="B1334" t="s">
        <v>2805</v>
      </c>
      <c r="C1334">
        <v>-20.033055999999998</v>
      </c>
      <c r="D1334">
        <v>147.25</v>
      </c>
      <c r="E1334" t="str">
        <f>RIGHT(Airports[[#This Row],[ICAO]],3)</f>
        <v>MLO</v>
      </c>
      <c r="G1334" s="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t="s">
        <v>2806</v>
      </c>
      <c r="B1335" t="s">
        <v>2807</v>
      </c>
      <c r="C1335">
        <v>-29.246389000000001</v>
      </c>
      <c r="D1335">
        <v>137.91</v>
      </c>
      <c r="E1335" t="str">
        <f>RIGHT(Airports[[#This Row],[ICAO]],3)</f>
        <v>MLR</v>
      </c>
      <c r="G1335" s="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t="s">
        <v>2808</v>
      </c>
      <c r="B1336" t="s">
        <v>2809</v>
      </c>
      <c r="C1336">
        <v>-26.806111000000001</v>
      </c>
      <c r="D1336">
        <v>150.16972200000001</v>
      </c>
      <c r="E1336" t="str">
        <f>RIGHT(Airports[[#This Row],[ICAO]],3)</f>
        <v>MLS</v>
      </c>
      <c r="G1336" s="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t="s">
        <v>2810</v>
      </c>
      <c r="B1337" t="s">
        <v>2811</v>
      </c>
      <c r="C1337">
        <v>-41.545278000000003</v>
      </c>
      <c r="D1337">
        <v>147.214167</v>
      </c>
      <c r="F133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t="s">
        <v>2812</v>
      </c>
      <c r="B1338" t="s">
        <v>2813</v>
      </c>
      <c r="C1338">
        <v>-14.083055999999999</v>
      </c>
      <c r="D1338">
        <v>129.899722</v>
      </c>
      <c r="E1338" t="str">
        <f>RIGHT(Airports[[#This Row],[ICAO]],3)</f>
        <v>MLV</v>
      </c>
      <c r="G1338" s="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t="s">
        <v>2814</v>
      </c>
      <c r="B1339" t="s">
        <v>2815</v>
      </c>
      <c r="C1339">
        <v>-27.583333</v>
      </c>
      <c r="D1339">
        <v>121.783056</v>
      </c>
      <c r="E1339" t="str">
        <f>RIGHT(Airports[[#This Row],[ICAO]],3)</f>
        <v>MLX</v>
      </c>
      <c r="G1339" s="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t="s">
        <v>2816</v>
      </c>
      <c r="B1340" t="s">
        <v>2817</v>
      </c>
      <c r="C1340">
        <v>-12.266389</v>
      </c>
      <c r="D1340">
        <v>133.61666700000001</v>
      </c>
      <c r="E1340" t="str">
        <f>RIGHT(Airports[[#This Row],[ICAO]],3)</f>
        <v>MMA</v>
      </c>
      <c r="G1340" s="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t="s">
        <v>2818</v>
      </c>
      <c r="B1341" t="s">
        <v>5315</v>
      </c>
      <c r="C1341">
        <v>-37.975833000000002</v>
      </c>
      <c r="D1341">
        <v>145.10222200000001</v>
      </c>
      <c r="F134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t="s">
        <v>2819</v>
      </c>
      <c r="B1342" t="s">
        <v>2820</v>
      </c>
      <c r="C1342">
        <v>-23.953610999999999</v>
      </c>
      <c r="D1342">
        <v>150.27194399999999</v>
      </c>
      <c r="E1342" t="str">
        <f>RIGHT(Airports[[#This Row],[ICAO]],3)</f>
        <v>MMD</v>
      </c>
      <c r="G1342" s="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t="s">
        <v>2821</v>
      </c>
      <c r="B1343" t="s">
        <v>2822</v>
      </c>
      <c r="C1343">
        <v>-29.023610999999999</v>
      </c>
      <c r="D1343">
        <v>147.09611100000001</v>
      </c>
      <c r="E1343" t="str">
        <f>RIGHT(Airports[[#This Row],[ICAO]],3)</f>
        <v>MMG</v>
      </c>
      <c r="G1343" s="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t="s">
        <v>2823</v>
      </c>
      <c r="B1344" t="s">
        <v>2824</v>
      </c>
      <c r="C1344">
        <v>-16.383333</v>
      </c>
      <c r="D1344">
        <v>143.98333299999999</v>
      </c>
      <c r="E1344" t="str">
        <f>RIGHT(Airports[[#This Row],[ICAO]],3)</f>
        <v>MMH</v>
      </c>
      <c r="G1344" s="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t="s">
        <v>2825</v>
      </c>
      <c r="B1345" t="s">
        <v>2826</v>
      </c>
      <c r="C1345">
        <v>-28.705278</v>
      </c>
      <c r="D1345">
        <v>121.890556</v>
      </c>
      <c r="E1345" t="str">
        <f>RIGHT(Airports[[#This Row],[ICAO]],3)</f>
        <v>MMI</v>
      </c>
      <c r="G1345" s="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t="s">
        <v>2827</v>
      </c>
      <c r="B1346" t="s">
        <v>2828</v>
      </c>
      <c r="C1346">
        <v>-37.673333</v>
      </c>
      <c r="D1346">
        <v>144.843333</v>
      </c>
      <c r="F1346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t="s">
        <v>2829</v>
      </c>
      <c r="B1347" t="s">
        <v>2830</v>
      </c>
      <c r="C1347">
        <v>-27.863333000000001</v>
      </c>
      <c r="D1347">
        <v>151.27500000000001</v>
      </c>
      <c r="E1347" t="str">
        <f>RIGHT(Airports[[#This Row],[ICAO]],3)</f>
        <v>MMN</v>
      </c>
      <c r="G1347" s="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t="s">
        <v>2831</v>
      </c>
      <c r="B1348" t="s">
        <v>2832</v>
      </c>
      <c r="C1348">
        <v>-36.074444</v>
      </c>
      <c r="D1348">
        <v>144.764444</v>
      </c>
      <c r="E1348" t="str">
        <f>RIGHT(Airports[[#This Row],[ICAO]],3)</f>
        <v>MMO</v>
      </c>
      <c r="G1348" s="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t="s">
        <v>2833</v>
      </c>
      <c r="B1349" t="s">
        <v>2834</v>
      </c>
      <c r="C1349">
        <v>-34.444721999999999</v>
      </c>
      <c r="D1349">
        <v>150.28972200000001</v>
      </c>
      <c r="E1349" t="str">
        <f>RIGHT(Airports[[#This Row],[ICAO]],3)</f>
        <v>MMR</v>
      </c>
      <c r="G1349" s="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t="s">
        <v>2835</v>
      </c>
      <c r="B1350" t="s">
        <v>2836</v>
      </c>
      <c r="C1350">
        <v>-26.883056</v>
      </c>
      <c r="D1350">
        <v>143.31638899999999</v>
      </c>
      <c r="E1350" t="str">
        <f>RIGHT(Airports[[#This Row],[ICAO]],3)</f>
        <v>MMT</v>
      </c>
      <c r="G1350" s="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t="s">
        <v>2837</v>
      </c>
      <c r="B1351" t="s">
        <v>2838</v>
      </c>
      <c r="C1351">
        <v>-22.802499999999998</v>
      </c>
      <c r="D1351">
        <v>148.704722</v>
      </c>
      <c r="E1351" t="str">
        <f>RIGHT(Airports[[#This Row],[ICAO]],3)</f>
        <v>MMU</v>
      </c>
      <c r="G1351" s="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t="s">
        <v>2839</v>
      </c>
      <c r="B1352" t="s">
        <v>2840</v>
      </c>
      <c r="C1352">
        <v>-12.539721999999999</v>
      </c>
      <c r="D1352">
        <v>134.111389</v>
      </c>
      <c r="E1352" t="str">
        <f>RIGHT(Airports[[#This Row],[ICAO]],3)</f>
        <v>MMY</v>
      </c>
      <c r="G1352" s="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t="s">
        <v>2841</v>
      </c>
      <c r="B1353" t="s">
        <v>2842</v>
      </c>
      <c r="C1353">
        <v>-22.274722000000001</v>
      </c>
      <c r="D1353">
        <v>132.21638899999999</v>
      </c>
      <c r="E1353" t="str">
        <f>RIGHT(Airports[[#This Row],[ICAO]],3)</f>
        <v>MNA</v>
      </c>
      <c r="G1353" s="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t="s">
        <v>2843</v>
      </c>
      <c r="B1354" t="s">
        <v>2844</v>
      </c>
      <c r="C1354">
        <v>-32.704166999999998</v>
      </c>
      <c r="D1354">
        <v>151.488889</v>
      </c>
      <c r="E1354" t="str">
        <f>RIGHT(Airports[[#This Row],[ICAO]],3)</f>
        <v>MND</v>
      </c>
      <c r="G1354" s="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t="s">
        <v>2845</v>
      </c>
      <c r="B1355" t="s">
        <v>2846</v>
      </c>
      <c r="C1355">
        <v>-27.286389</v>
      </c>
      <c r="D1355">
        <v>120.554722</v>
      </c>
      <c r="E1355" t="str">
        <f>RIGHT(Airports[[#This Row],[ICAO]],3)</f>
        <v>MNE</v>
      </c>
      <c r="G1355" s="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t="s">
        <v>2847</v>
      </c>
      <c r="B1356" t="s">
        <v>2848</v>
      </c>
      <c r="C1356">
        <v>-26.45</v>
      </c>
      <c r="D1356">
        <v>116.55</v>
      </c>
      <c r="E1356" t="str">
        <f>RIGHT(Airports[[#This Row],[ICAO]],3)</f>
        <v>MNF</v>
      </c>
      <c r="G1356" s="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t="s">
        <v>2849</v>
      </c>
      <c r="B1357" t="s">
        <v>2850</v>
      </c>
      <c r="C1357">
        <v>-36.888333000000003</v>
      </c>
      <c r="D1357">
        <v>145.184167</v>
      </c>
      <c r="E1357" t="str">
        <f>RIGHT(Airports[[#This Row],[ICAO]],3)</f>
        <v>MNG</v>
      </c>
      <c r="G1357" s="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t="s">
        <v>2851</v>
      </c>
      <c r="B1358" t="s">
        <v>2852</v>
      </c>
      <c r="C1358">
        <v>-24.818611000000001</v>
      </c>
      <c r="D1358">
        <v>140.55333300000001</v>
      </c>
      <c r="E1358" t="str">
        <f>RIGHT(Airports[[#This Row],[ICAO]],3)</f>
        <v>MNK</v>
      </c>
      <c r="G1358" s="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t="s">
        <v>2853</v>
      </c>
      <c r="B1359" t="s">
        <v>2854</v>
      </c>
      <c r="C1359">
        <v>-11.549167000000001</v>
      </c>
      <c r="D1359">
        <v>132.92611099999999</v>
      </c>
      <c r="E1359" t="str">
        <f>RIGHT(Airports[[#This Row],[ICAO]],3)</f>
        <v>MNL</v>
      </c>
      <c r="G1359" s="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t="s">
        <v>2855</v>
      </c>
      <c r="B1360" t="s">
        <v>2856</v>
      </c>
      <c r="C1360">
        <v>-22.140833000000001</v>
      </c>
      <c r="D1360">
        <v>132.06916699999999</v>
      </c>
      <c r="E1360" t="str">
        <f>RIGHT(Airports[[#This Row],[ICAO]],3)</f>
        <v>MNN</v>
      </c>
      <c r="G1360" s="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t="s">
        <v>2857</v>
      </c>
      <c r="B1361" t="s">
        <v>2858</v>
      </c>
      <c r="C1361">
        <v>-23.366667</v>
      </c>
      <c r="D1361">
        <v>143.88305600000001</v>
      </c>
      <c r="E1361" t="str">
        <f>RIGHT(Airports[[#This Row],[ICAO]],3)</f>
        <v>MNO</v>
      </c>
      <c r="G1361" s="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t="s">
        <v>2859</v>
      </c>
      <c r="B1362" t="s">
        <v>2860</v>
      </c>
      <c r="C1362">
        <v>-29.593056000000001</v>
      </c>
      <c r="D1362">
        <v>139.05027799999999</v>
      </c>
      <c r="E1362" t="str">
        <f>RIGHT(Airports[[#This Row],[ICAO]],3)</f>
        <v>MNP</v>
      </c>
      <c r="G1362" s="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t="s">
        <v>2861</v>
      </c>
      <c r="B1363" t="s">
        <v>2862</v>
      </c>
      <c r="C1363">
        <v>-22.6</v>
      </c>
      <c r="D1363">
        <v>135.016389</v>
      </c>
      <c r="E1363" t="str">
        <f>RIGHT(Airports[[#This Row],[ICAO]],3)</f>
        <v>MNS</v>
      </c>
      <c r="G1363" s="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t="s">
        <v>2863</v>
      </c>
      <c r="B1364" t="s">
        <v>2864</v>
      </c>
      <c r="C1364">
        <v>-17.522221999999999</v>
      </c>
      <c r="D1364">
        <v>126.123333</v>
      </c>
      <c r="E1364" t="str">
        <f>RIGHT(Airports[[#This Row],[ICAO]],3)</f>
        <v>MNT</v>
      </c>
      <c r="G1364" s="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t="s">
        <v>2865</v>
      </c>
      <c r="B1365" t="s">
        <v>2866</v>
      </c>
      <c r="C1365">
        <v>-14.050278</v>
      </c>
      <c r="D1365">
        <v>134.09722199999999</v>
      </c>
      <c r="E1365" t="str">
        <f>RIGHT(Airports[[#This Row],[ICAO]],3)</f>
        <v>MNU</v>
      </c>
      <c r="G1365" s="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t="s">
        <v>2867</v>
      </c>
      <c r="B1366" t="s">
        <v>2868</v>
      </c>
      <c r="C1366">
        <v>-28.933056000000001</v>
      </c>
      <c r="D1366">
        <v>121.8</v>
      </c>
      <c r="E1366" t="str">
        <f>RIGHT(Airports[[#This Row],[ICAO]],3)</f>
        <v>MNX</v>
      </c>
      <c r="G1366" s="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t="s">
        <v>2869</v>
      </c>
      <c r="B1367" t="s">
        <v>2870</v>
      </c>
      <c r="C1367">
        <v>-25.358332999999998</v>
      </c>
      <c r="D1367">
        <v>141.433333</v>
      </c>
      <c r="E1367" t="str">
        <f>RIGHT(Airports[[#This Row],[ICAO]],3)</f>
        <v>MNY</v>
      </c>
      <c r="G1367" s="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t="s">
        <v>2871</v>
      </c>
      <c r="B1368" t="s">
        <v>2872</v>
      </c>
      <c r="C1368">
        <v>-17.784721999999999</v>
      </c>
      <c r="D1368">
        <v>140.87638899999999</v>
      </c>
      <c r="E1368" t="str">
        <f>RIGHT(Airports[[#This Row],[ICAO]],3)</f>
        <v>MOA</v>
      </c>
      <c r="G1368" s="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t="s">
        <v>2873</v>
      </c>
      <c r="B1369" t="s">
        <v>2874</v>
      </c>
      <c r="C1369">
        <v>-38.260556000000001</v>
      </c>
      <c r="D1369">
        <v>144.09194400000001</v>
      </c>
      <c r="E1369" t="str">
        <f>RIGHT(Airports[[#This Row],[ICAO]],3)</f>
        <v>MOD</v>
      </c>
      <c r="G1369" s="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t="s">
        <v>2875</v>
      </c>
      <c r="B1370" t="s">
        <v>2876</v>
      </c>
      <c r="C1370">
        <v>-31.966388999999999</v>
      </c>
      <c r="D1370">
        <v>135.87527800000001</v>
      </c>
      <c r="E1370" t="str">
        <f>RIGHT(Airports[[#This Row],[ICAO]],3)</f>
        <v>MOE</v>
      </c>
      <c r="G1370" s="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t="s">
        <v>2877</v>
      </c>
      <c r="B1371" t="s">
        <v>2878</v>
      </c>
      <c r="C1371">
        <v>-21.2075</v>
      </c>
      <c r="D1371">
        <v>143.797222</v>
      </c>
      <c r="E1371" t="str">
        <f>RIGHT(Airports[[#This Row],[ICAO]],3)</f>
        <v>MOF</v>
      </c>
      <c r="G1371" s="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t="s">
        <v>2879</v>
      </c>
      <c r="B1372" t="s">
        <v>2880</v>
      </c>
      <c r="C1372">
        <v>-28.116111</v>
      </c>
      <c r="D1372">
        <v>117.841667</v>
      </c>
      <c r="E1372" t="str">
        <f>RIGHT(Airports[[#This Row],[ICAO]],3)</f>
        <v>MOG</v>
      </c>
      <c r="G1372" s="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t="s">
        <v>2881</v>
      </c>
      <c r="B1373" t="s">
        <v>2882</v>
      </c>
      <c r="C1373">
        <v>-27.467500000000001</v>
      </c>
      <c r="D1373">
        <v>152.943333</v>
      </c>
      <c r="E1373" t="str">
        <f>RIGHT(Airports[[#This Row],[ICAO]],3)</f>
        <v>MOH</v>
      </c>
      <c r="G1373" s="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t="s">
        <v>2883</v>
      </c>
      <c r="B1374" t="s">
        <v>2884</v>
      </c>
      <c r="C1374">
        <v>-25.243888999999999</v>
      </c>
      <c r="D1374">
        <v>140.97722200000001</v>
      </c>
      <c r="E1374" t="str">
        <f>RIGHT(Airports[[#This Row],[ICAO]],3)</f>
        <v>MOO</v>
      </c>
      <c r="G1374" s="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t="s">
        <v>2885</v>
      </c>
      <c r="B1375" t="s">
        <v>2886</v>
      </c>
      <c r="C1375">
        <v>-29.498888999999998</v>
      </c>
      <c r="D1375">
        <v>149.84472199999999</v>
      </c>
      <c r="E1375" t="str">
        <f>RIGHT(Airports[[#This Row],[ICAO]],3)</f>
        <v>MOR</v>
      </c>
      <c r="G1375" s="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t="s">
        <v>2887</v>
      </c>
      <c r="B1376" t="s">
        <v>2888</v>
      </c>
      <c r="C1376">
        <v>-12.442778000000001</v>
      </c>
      <c r="D1376">
        <v>142.63888900000001</v>
      </c>
      <c r="E1376" t="str">
        <f>RIGHT(Airports[[#This Row],[ICAO]],3)</f>
        <v>MOT</v>
      </c>
      <c r="G1376" s="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t="s">
        <v>2889</v>
      </c>
      <c r="B1377" t="s">
        <v>2890</v>
      </c>
      <c r="C1377">
        <v>-24.611667000000001</v>
      </c>
      <c r="D1377">
        <v>149.99638899999999</v>
      </c>
      <c r="E1377" t="str">
        <f>RIGHT(Airports[[#This Row],[ICAO]],3)</f>
        <v>MOU</v>
      </c>
      <c r="G1377" s="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t="s">
        <v>2891</v>
      </c>
      <c r="B1378" t="s">
        <v>2892</v>
      </c>
      <c r="C1378">
        <v>-33.516944000000002</v>
      </c>
      <c r="D1378">
        <v>148.35305600000001</v>
      </c>
      <c r="E1378" t="str">
        <f>RIGHT(Airports[[#This Row],[ICAO]],3)</f>
        <v>MOX</v>
      </c>
      <c r="G1378" s="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t="s">
        <v>2893</v>
      </c>
      <c r="B1379" t="s">
        <v>2894</v>
      </c>
      <c r="C1379">
        <v>-25.083333</v>
      </c>
      <c r="D1379">
        <v>142.899722</v>
      </c>
      <c r="E1379" t="str">
        <f>RIGHT(Airports[[#This Row],[ICAO]],3)</f>
        <v>MOY</v>
      </c>
      <c r="G1379" s="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t="s">
        <v>2895</v>
      </c>
      <c r="B1380" t="s">
        <v>2896</v>
      </c>
      <c r="C1380">
        <v>-32.843055999999997</v>
      </c>
      <c r="D1380">
        <v>135.14444399999999</v>
      </c>
      <c r="E1380" t="str">
        <f>RIGHT(Airports[[#This Row],[ICAO]],3)</f>
        <v>MPA</v>
      </c>
      <c r="G1380" s="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t="s">
        <v>2897</v>
      </c>
      <c r="B1381" t="s">
        <v>2898</v>
      </c>
      <c r="C1381">
        <v>-37.932222000000003</v>
      </c>
      <c r="D1381">
        <v>144.753333</v>
      </c>
      <c r="E1381" t="s">
        <v>5311</v>
      </c>
      <c r="F138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t="s">
        <v>2899</v>
      </c>
      <c r="B1382" t="s">
        <v>2900</v>
      </c>
      <c r="C1382">
        <v>-20.516389</v>
      </c>
      <c r="D1382">
        <v>146.766389</v>
      </c>
      <c r="E1382" t="str">
        <f>RIGHT(Airports[[#This Row],[ICAO]],3)</f>
        <v>MPE</v>
      </c>
      <c r="G1382" s="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t="s">
        <v>2901</v>
      </c>
      <c r="B1383" t="s">
        <v>2902</v>
      </c>
      <c r="C1383">
        <v>-13.788895999999999</v>
      </c>
      <c r="D1383">
        <v>142.55114499999999</v>
      </c>
      <c r="E1383" t="str">
        <f>RIGHT(Airports[[#This Row],[ICAO]],3)</f>
        <v>MPH</v>
      </c>
      <c r="G1383" s="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t="s">
        <v>2903</v>
      </c>
      <c r="B1384" t="s">
        <v>2904</v>
      </c>
      <c r="C1384">
        <v>-67.719166999999999</v>
      </c>
      <c r="D1384">
        <v>62.823889000000001</v>
      </c>
      <c r="E1384" t="str">
        <f>RIGHT(Airports[[#This Row],[ICAO]],3)</f>
        <v>MPL</v>
      </c>
      <c r="G1384" s="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t="s">
        <v>2905</v>
      </c>
      <c r="B1385" t="s">
        <v>2906</v>
      </c>
      <c r="C1385">
        <v>-12.051111000000001</v>
      </c>
      <c r="D1385">
        <v>141.90694400000001</v>
      </c>
      <c r="E1385" t="str">
        <f>RIGHT(Airports[[#This Row],[ICAO]],3)</f>
        <v>MPN</v>
      </c>
      <c r="G1385" s="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t="s">
        <v>2907</v>
      </c>
      <c r="B1386" t="s">
        <v>2908</v>
      </c>
      <c r="C1386">
        <v>-25.208888999999999</v>
      </c>
      <c r="D1386">
        <v>151.669444</v>
      </c>
      <c r="E1386" t="str">
        <f>RIGHT(Airports[[#This Row],[ICAO]],3)</f>
        <v>MPY</v>
      </c>
      <c r="G1386" s="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t="s">
        <v>2909</v>
      </c>
      <c r="B1387" t="s">
        <v>2910</v>
      </c>
      <c r="C1387">
        <v>-22.85</v>
      </c>
      <c r="D1387">
        <v>137.333056</v>
      </c>
      <c r="E1387" t="str">
        <f>RIGHT(Airports[[#This Row],[ICAO]],3)</f>
        <v>MQA</v>
      </c>
      <c r="G1387" s="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t="s">
        <v>2911</v>
      </c>
      <c r="B1388" t="s">
        <v>2912</v>
      </c>
      <c r="C1388">
        <v>-54.499443999999997</v>
      </c>
      <c r="D1388">
        <v>158.936667</v>
      </c>
      <c r="E1388" t="str">
        <f>RIGHT(Airports[[#This Row],[ICAO]],3)</f>
        <v>MQI</v>
      </c>
      <c r="G1388" s="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t="s">
        <v>2913</v>
      </c>
      <c r="B1389" t="s">
        <v>2914</v>
      </c>
      <c r="C1389">
        <v>-30.163333000000002</v>
      </c>
      <c r="D1389">
        <v>131.625</v>
      </c>
      <c r="E1389" t="str">
        <f>RIGHT(Airports[[#This Row],[ICAO]],3)</f>
        <v>MRA</v>
      </c>
      <c r="G1389" s="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t="s">
        <v>2915</v>
      </c>
      <c r="B1390" t="s">
        <v>2916</v>
      </c>
      <c r="C1390">
        <v>-22.057777999999999</v>
      </c>
      <c r="D1390">
        <v>148.07749999999999</v>
      </c>
      <c r="E1390" t="str">
        <f>RIGHT(Airports[[#This Row],[ICAO]],3)</f>
        <v>MRB</v>
      </c>
      <c r="G1390" s="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t="s">
        <v>2917</v>
      </c>
      <c r="B1391" t="s">
        <v>2918</v>
      </c>
      <c r="C1391">
        <v>-30.18</v>
      </c>
      <c r="D1391">
        <v>119.302222</v>
      </c>
      <c r="E1391" t="str">
        <f>RIGHT(Airports[[#This Row],[ICAO]],3)</f>
        <v>MRD</v>
      </c>
      <c r="G1391" s="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t="s">
        <v>2919</v>
      </c>
      <c r="B1392" t="s">
        <v>2920</v>
      </c>
      <c r="C1392">
        <v>-29.662777999999999</v>
      </c>
      <c r="D1392">
        <v>138.065833</v>
      </c>
      <c r="E1392" t="str">
        <f>RIGHT(Airports[[#This Row],[ICAO]],3)</f>
        <v>MRE</v>
      </c>
      <c r="G1392" s="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t="s">
        <v>2921</v>
      </c>
      <c r="B1393" t="s">
        <v>2922</v>
      </c>
      <c r="C1393">
        <v>-26.252777999999999</v>
      </c>
      <c r="D1393">
        <v>151.93</v>
      </c>
      <c r="E1393" t="str">
        <f>RIGHT(Airports[[#This Row],[ICAO]],3)</f>
        <v>MRG</v>
      </c>
      <c r="G1393" s="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t="s">
        <v>2923</v>
      </c>
      <c r="B1394" t="s">
        <v>2924</v>
      </c>
      <c r="C1394">
        <v>-16.933056000000001</v>
      </c>
      <c r="D1394">
        <v>144.23333299999999</v>
      </c>
      <c r="E1394" t="str">
        <f>RIGHT(Airports[[#This Row],[ICAO]],3)</f>
        <v>MRK</v>
      </c>
      <c r="G1394" s="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t="s">
        <v>2925</v>
      </c>
      <c r="B1395" t="s">
        <v>2926</v>
      </c>
      <c r="C1395">
        <v>-12.838056</v>
      </c>
      <c r="D1395">
        <v>133.921389</v>
      </c>
      <c r="E1395" t="str">
        <f>RIGHT(Airports[[#This Row],[ICAO]],3)</f>
        <v>MRL</v>
      </c>
      <c r="G1395" s="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t="s">
        <v>2927</v>
      </c>
      <c r="B1396" t="s">
        <v>2928</v>
      </c>
      <c r="C1396">
        <v>-12.125833</v>
      </c>
      <c r="D1396">
        <v>133.859722</v>
      </c>
      <c r="E1396" t="str">
        <f>RIGHT(Airports[[#This Row],[ICAO]],3)</f>
        <v>MRN</v>
      </c>
      <c r="G1396" s="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t="s">
        <v>2929</v>
      </c>
      <c r="B1397" t="s">
        <v>2930</v>
      </c>
      <c r="C1397">
        <v>-30.683806000000001</v>
      </c>
      <c r="D1397">
        <v>115.979879</v>
      </c>
      <c r="E1397" t="str">
        <f>RIGHT(Airports[[#This Row],[ICAO]],3)</f>
        <v>MRO</v>
      </c>
      <c r="G1397" s="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t="s">
        <v>2931</v>
      </c>
      <c r="B1398" t="s">
        <v>2932</v>
      </c>
      <c r="C1398">
        <v>-16.886666999999999</v>
      </c>
      <c r="D1398">
        <v>146.19</v>
      </c>
      <c r="E1398" t="str">
        <f>RIGHT(Airports[[#This Row],[ICAO]],3)</f>
        <v>MRR</v>
      </c>
      <c r="G1398" s="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t="s">
        <v>2933</v>
      </c>
      <c r="B1399" t="s">
        <v>2934</v>
      </c>
      <c r="C1399">
        <v>-17.7</v>
      </c>
      <c r="D1399">
        <v>145.15</v>
      </c>
      <c r="E1399" t="str">
        <f>RIGHT(Airports[[#This Row],[ICAO]],3)</f>
        <v>MRT</v>
      </c>
      <c r="G1399" s="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t="s">
        <v>2935</v>
      </c>
      <c r="B1400" t="s">
        <v>2936</v>
      </c>
      <c r="C1400">
        <v>-29.201388999999999</v>
      </c>
      <c r="D1400">
        <v>116.021944</v>
      </c>
      <c r="E1400" t="str">
        <f>RIGHT(Airports[[#This Row],[ICAO]],3)</f>
        <v>MRW</v>
      </c>
      <c r="G1400" s="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t="s">
        <v>2937</v>
      </c>
      <c r="B1401" t="s">
        <v>2938</v>
      </c>
      <c r="C1401">
        <v>-23.483332999999998</v>
      </c>
      <c r="D1401">
        <v>115.533056</v>
      </c>
      <c r="E1401" t="str">
        <f>RIGHT(Airports[[#This Row],[ICAO]],3)</f>
        <v>MRX</v>
      </c>
      <c r="G1401" s="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t="s">
        <v>2939</v>
      </c>
      <c r="B1402" t="s">
        <v>2940</v>
      </c>
      <c r="C1402">
        <v>-35.897500000000001</v>
      </c>
      <c r="D1402">
        <v>150.145556</v>
      </c>
      <c r="E1402" t="str">
        <f>RIGHT(Airports[[#This Row],[ICAO]],3)</f>
        <v>MRY</v>
      </c>
      <c r="G1402" s="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t="s">
        <v>2941</v>
      </c>
      <c r="B1403" t="s">
        <v>2942</v>
      </c>
      <c r="C1403">
        <v>-19.508333</v>
      </c>
      <c r="D1403">
        <v>138.37</v>
      </c>
      <c r="E1403" t="str">
        <f>RIGHT(Airports[[#This Row],[ICAO]],3)</f>
        <v>MSE</v>
      </c>
      <c r="G1403" s="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t="s">
        <v>2943</v>
      </c>
      <c r="B1404" t="s">
        <v>2944</v>
      </c>
      <c r="C1404">
        <v>-16.978332999999999</v>
      </c>
      <c r="D1404">
        <v>130.55500000000001</v>
      </c>
      <c r="E1404" t="str">
        <f>RIGHT(Airports[[#This Row],[ICAO]],3)</f>
        <v>MSF</v>
      </c>
      <c r="G1404" s="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t="s">
        <v>2945</v>
      </c>
      <c r="B1405" t="s">
        <v>2946</v>
      </c>
      <c r="C1405">
        <v>-67.600832999999994</v>
      </c>
      <c r="D1405">
        <v>62.832777999999998</v>
      </c>
      <c r="E1405" t="str">
        <f>RIGHT(Airports[[#This Row],[ICAO]],3)</f>
        <v>MSI</v>
      </c>
      <c r="G1405" s="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t="s">
        <v>2947</v>
      </c>
      <c r="B1406" t="s">
        <v>2948</v>
      </c>
      <c r="C1406">
        <v>-29.801943999999999</v>
      </c>
      <c r="D1406">
        <v>117.708889</v>
      </c>
      <c r="E1406" t="str">
        <f>RIGHT(Airports[[#This Row],[ICAO]],3)</f>
        <v>MSN</v>
      </c>
      <c r="G1406" s="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t="s">
        <v>2949</v>
      </c>
      <c r="B1407" t="s">
        <v>2950</v>
      </c>
      <c r="C1407">
        <v>-18.116667</v>
      </c>
      <c r="D1407">
        <v>144.283333</v>
      </c>
      <c r="E1407" t="str">
        <f>RIGHT(Airports[[#This Row],[ICAO]],3)</f>
        <v>MSP</v>
      </c>
      <c r="G1407" s="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t="s">
        <v>2951</v>
      </c>
      <c r="B1408" t="s">
        <v>2952</v>
      </c>
      <c r="C1408">
        <v>-18.45</v>
      </c>
      <c r="D1408">
        <v>143.30000000000001</v>
      </c>
      <c r="E1408" t="str">
        <f>RIGHT(Airports[[#This Row],[ICAO]],3)</f>
        <v>MSR</v>
      </c>
      <c r="G1408" s="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t="s">
        <v>2953</v>
      </c>
      <c r="B1409" t="s">
        <v>2954</v>
      </c>
      <c r="C1409">
        <v>-26.89</v>
      </c>
      <c r="D1409">
        <v>115.96083299999999</v>
      </c>
      <c r="E1409" t="str">
        <f>RIGHT(Airports[[#This Row],[ICAO]],3)</f>
        <v>MSS</v>
      </c>
      <c r="G1409" s="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t="s">
        <v>2955</v>
      </c>
      <c r="B1410" t="s">
        <v>2956</v>
      </c>
      <c r="C1410">
        <v>-21.628333000000001</v>
      </c>
      <c r="D1410">
        <v>117.08</v>
      </c>
      <c r="E1410" t="str">
        <f>RIGHT(Airports[[#This Row],[ICAO]],3)</f>
        <v>MST</v>
      </c>
      <c r="G1410" s="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t="s">
        <v>2957</v>
      </c>
      <c r="B1411" t="s">
        <v>2958</v>
      </c>
      <c r="C1411">
        <v>-22.45</v>
      </c>
      <c r="D1411">
        <v>116.05</v>
      </c>
      <c r="E1411" t="str">
        <f>RIGHT(Airports[[#This Row],[ICAO]],3)</f>
        <v>MSW</v>
      </c>
      <c r="G1411" s="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t="s">
        <v>2959</v>
      </c>
      <c r="B1412" t="s">
        <v>2960</v>
      </c>
      <c r="C1412">
        <v>-11.933332999999999</v>
      </c>
      <c r="D1412">
        <v>135.083056</v>
      </c>
      <c r="E1412" t="str">
        <f>RIGHT(Airports[[#This Row],[ICAO]],3)</f>
        <v>MSX</v>
      </c>
      <c r="G1412" s="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t="s">
        <v>2961</v>
      </c>
      <c r="B1413" t="s">
        <v>2962</v>
      </c>
      <c r="C1413">
        <v>-18.806111000000001</v>
      </c>
      <c r="D1413">
        <v>137.07499999999999</v>
      </c>
      <c r="E1413" t="str">
        <f>RIGHT(Airports[[#This Row],[ICAO]],3)</f>
        <v>MTA</v>
      </c>
      <c r="G1413" s="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t="s">
        <v>2963</v>
      </c>
      <c r="B1414" t="s">
        <v>2964</v>
      </c>
      <c r="C1414">
        <v>-22.583333</v>
      </c>
      <c r="D1414">
        <v>144.533333</v>
      </c>
      <c r="E1414" t="str">
        <f>RIGHT(Airports[[#This Row],[ICAO]],3)</f>
        <v>MTB</v>
      </c>
      <c r="G1414" s="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t="s">
        <v>2965</v>
      </c>
      <c r="B1415" t="s">
        <v>2966</v>
      </c>
      <c r="C1415">
        <v>-28.833333</v>
      </c>
      <c r="D1415">
        <v>134.35833299999999</v>
      </c>
      <c r="E1415" t="str">
        <f>RIGHT(Airports[[#This Row],[ICAO]],3)</f>
        <v>MTC</v>
      </c>
      <c r="G1415" s="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t="s">
        <v>2967</v>
      </c>
      <c r="B1416" t="s">
        <v>2968</v>
      </c>
      <c r="C1416">
        <v>-33.831465000000001</v>
      </c>
      <c r="D1416">
        <v>115.114987</v>
      </c>
      <c r="E1416" t="str">
        <f>RIGHT(Airports[[#This Row],[ICAO]],3)</f>
        <v>MTF</v>
      </c>
      <c r="G1416" s="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t="s">
        <v>2969</v>
      </c>
      <c r="B1417" t="s">
        <v>2970</v>
      </c>
      <c r="C1417">
        <v>-37.745556000000001</v>
      </c>
      <c r="D1417">
        <v>140.78527800000001</v>
      </c>
      <c r="E1417" t="str">
        <f>RIGHT(Airports[[#This Row],[ICAO]],3)</f>
        <v>MTG</v>
      </c>
      <c r="G1417" s="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t="s">
        <v>2971</v>
      </c>
      <c r="B1418" t="s">
        <v>2972</v>
      </c>
      <c r="C1418">
        <v>-16.662500000000001</v>
      </c>
      <c r="D1418">
        <v>139.178056</v>
      </c>
      <c r="E1418" t="str">
        <f>RIGHT(Airports[[#This Row],[ICAO]],3)</f>
        <v>MTI</v>
      </c>
      <c r="G1418" s="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t="s">
        <v>2973</v>
      </c>
      <c r="B1419" t="s">
        <v>2974</v>
      </c>
      <c r="C1419">
        <v>-16.704722</v>
      </c>
      <c r="D1419">
        <v>131.73416700000001</v>
      </c>
      <c r="E1419" t="str">
        <f>RIGHT(Airports[[#This Row],[ICAO]],3)</f>
        <v>MTJ</v>
      </c>
      <c r="G1419" s="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t="s">
        <v>2975</v>
      </c>
      <c r="B1420" t="s">
        <v>2976</v>
      </c>
      <c r="C1420">
        <v>-12.078889</v>
      </c>
      <c r="D1420">
        <v>136.27027799999999</v>
      </c>
      <c r="E1420" t="str">
        <f>RIGHT(Airports[[#This Row],[ICAO]],3)</f>
        <v>MTM</v>
      </c>
      <c r="G1420" s="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t="s">
        <v>2977</v>
      </c>
      <c r="B1421" t="s">
        <v>2978</v>
      </c>
      <c r="C1421">
        <v>-24.516389</v>
      </c>
      <c r="D1421">
        <v>150</v>
      </c>
      <c r="E1421" t="str">
        <f>RIGHT(Airports[[#This Row],[ICAO]],3)</f>
        <v>MTN</v>
      </c>
      <c r="G1421" s="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t="s">
        <v>2979</v>
      </c>
      <c r="B1422" t="s">
        <v>2980</v>
      </c>
      <c r="C1422">
        <v>-24.892222</v>
      </c>
      <c r="D1422">
        <v>151.101944</v>
      </c>
      <c r="E1422" t="str">
        <f>RIGHT(Airports[[#This Row],[ICAO]],3)</f>
        <v>MTO</v>
      </c>
      <c r="G1422" s="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t="s">
        <v>2981</v>
      </c>
      <c r="B1423" t="s">
        <v>2982</v>
      </c>
      <c r="C1423">
        <v>-33.535556</v>
      </c>
      <c r="D1423">
        <v>119.950278</v>
      </c>
      <c r="E1423" t="str">
        <f>RIGHT(Airports[[#This Row],[ICAO]],3)</f>
        <v>MTS</v>
      </c>
      <c r="G1423" s="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t="s">
        <v>2983</v>
      </c>
      <c r="B1424" t="s">
        <v>2984</v>
      </c>
      <c r="C1424">
        <v>-27.628056000000001</v>
      </c>
      <c r="D1424">
        <v>150.492222</v>
      </c>
      <c r="E1424" t="str">
        <f>RIGHT(Airports[[#This Row],[ICAO]],3)</f>
        <v>MTU</v>
      </c>
      <c r="G1424" s="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t="s">
        <v>2985</v>
      </c>
      <c r="B1425" t="s">
        <v>2986</v>
      </c>
      <c r="C1425">
        <v>-31.473610999999998</v>
      </c>
      <c r="D1425">
        <v>139.111389</v>
      </c>
      <c r="E1425" t="str">
        <f>RIGHT(Airports[[#This Row],[ICAO]],3)</f>
        <v>MTW</v>
      </c>
      <c r="G1425" s="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t="s">
        <v>2987</v>
      </c>
      <c r="B1426" t="s">
        <v>2988</v>
      </c>
      <c r="C1426">
        <v>-26.061667</v>
      </c>
      <c r="D1426">
        <v>135.246667</v>
      </c>
      <c r="E1426" t="str">
        <f>RIGHT(Airports[[#This Row],[ICAO]],3)</f>
        <v>MTX</v>
      </c>
      <c r="G1426" s="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t="s">
        <v>2989</v>
      </c>
      <c r="B1427" t="s">
        <v>2990</v>
      </c>
      <c r="C1427">
        <v>-16.433056000000001</v>
      </c>
      <c r="D1427">
        <v>126.099722</v>
      </c>
      <c r="E1427" t="str">
        <f>RIGHT(Airports[[#This Row],[ICAO]],3)</f>
        <v>MTZ</v>
      </c>
      <c r="G1427" s="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t="s">
        <v>2991</v>
      </c>
      <c r="B1428" t="s">
        <v>2992</v>
      </c>
      <c r="C1428">
        <v>-24.875</v>
      </c>
      <c r="D1428">
        <v>151.91666699999999</v>
      </c>
      <c r="E1428" t="str">
        <f>RIGHT(Airports[[#This Row],[ICAO]],3)</f>
        <v>MUA</v>
      </c>
      <c r="G1428" s="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t="s">
        <v>2993</v>
      </c>
      <c r="B1429" t="s">
        <v>2994</v>
      </c>
      <c r="C1429">
        <v>-26.399722000000001</v>
      </c>
      <c r="D1429">
        <v>152.38305600000001</v>
      </c>
      <c r="E1429" t="str">
        <f>RIGHT(Airports[[#This Row],[ICAO]],3)</f>
        <v>MUB</v>
      </c>
      <c r="G1429" s="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t="s">
        <v>2995</v>
      </c>
      <c r="B1430" t="s">
        <v>2996</v>
      </c>
      <c r="C1430">
        <v>-20.658055999999998</v>
      </c>
      <c r="D1430">
        <v>120.07472199999999</v>
      </c>
      <c r="E1430" t="str">
        <f>RIGHT(Airports[[#This Row],[ICAO]],3)</f>
        <v>MUC</v>
      </c>
      <c r="G1430" s="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t="s">
        <v>2997</v>
      </c>
      <c r="B1431" t="s">
        <v>2998</v>
      </c>
      <c r="C1431">
        <v>-14.391667</v>
      </c>
      <c r="D1431">
        <v>132.39416700000001</v>
      </c>
      <c r="E1431" t="str">
        <f>RIGHT(Airports[[#This Row],[ICAO]],3)</f>
        <v>MUD</v>
      </c>
      <c r="G1431" s="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t="s">
        <v>2999</v>
      </c>
      <c r="B1432" t="s">
        <v>3000</v>
      </c>
      <c r="C1432">
        <v>-12.098333</v>
      </c>
      <c r="D1432">
        <v>132.88972200000001</v>
      </c>
      <c r="E1432" t="str">
        <f>RIGHT(Airports[[#This Row],[ICAO]],3)</f>
        <v>MUE</v>
      </c>
      <c r="G1432" s="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t="s">
        <v>3001</v>
      </c>
      <c r="B1433" t="s">
        <v>3002</v>
      </c>
      <c r="C1433">
        <v>-28.009167000000001</v>
      </c>
      <c r="D1433">
        <v>138.653333</v>
      </c>
      <c r="E1433" t="str">
        <f>RIGHT(Airports[[#This Row],[ICAO]],3)</f>
        <v>MUG</v>
      </c>
      <c r="G1433" s="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t="s">
        <v>3003</v>
      </c>
      <c r="B1434" t="s">
        <v>3004</v>
      </c>
      <c r="C1434">
        <v>-12.166667</v>
      </c>
      <c r="D1434">
        <v>136.16666699999999</v>
      </c>
      <c r="E1434" t="str">
        <f>RIGHT(Airports[[#This Row],[ICAO]],3)</f>
        <v>MUH</v>
      </c>
      <c r="G1434" s="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t="s">
        <v>3005</v>
      </c>
      <c r="B1435" t="s">
        <v>3006</v>
      </c>
      <c r="C1435">
        <v>-22.366111</v>
      </c>
      <c r="D1435">
        <v>118.680556</v>
      </c>
      <c r="E1435" t="str">
        <f>RIGHT(Airports[[#This Row],[ICAO]],3)</f>
        <v>MUJ</v>
      </c>
      <c r="G1435" s="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t="s">
        <v>3007</v>
      </c>
      <c r="B1436" t="s">
        <v>3008</v>
      </c>
      <c r="C1436">
        <v>-28.351389000000001</v>
      </c>
      <c r="D1436">
        <v>138.65111099999999</v>
      </c>
      <c r="E1436" t="str">
        <f>RIGHT(Airports[[#This Row],[ICAO]],3)</f>
        <v>MUK</v>
      </c>
      <c r="G1436" s="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t="s">
        <v>3009</v>
      </c>
      <c r="B1437" t="s">
        <v>3010</v>
      </c>
      <c r="C1437">
        <v>-32.510278</v>
      </c>
      <c r="D1437">
        <v>115.833333</v>
      </c>
      <c r="E1437" t="str">
        <f>RIGHT(Airports[[#This Row],[ICAO]],3)</f>
        <v>MUL</v>
      </c>
      <c r="G1437" s="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t="s">
        <v>3011</v>
      </c>
      <c r="B1438" t="s">
        <v>3012</v>
      </c>
      <c r="C1438">
        <v>-12.359722</v>
      </c>
      <c r="D1438">
        <v>134.13972200000001</v>
      </c>
      <c r="E1438" t="str">
        <f>RIGHT(Airports[[#This Row],[ICAO]],3)</f>
        <v>MUM</v>
      </c>
      <c r="G1438" s="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t="s">
        <v>3013</v>
      </c>
      <c r="B1439" t="s">
        <v>3014</v>
      </c>
      <c r="C1439">
        <v>-13.8</v>
      </c>
      <c r="D1439">
        <v>134.433333</v>
      </c>
      <c r="E1439" t="str">
        <f>RIGHT(Airports[[#This Row],[ICAO]],3)</f>
        <v>MUN</v>
      </c>
      <c r="G1439" s="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t="s">
        <v>3015</v>
      </c>
      <c r="B1440" t="s">
        <v>3016</v>
      </c>
      <c r="C1440">
        <v>-25.899722000000001</v>
      </c>
      <c r="D1440">
        <v>131.66666699999999</v>
      </c>
      <c r="E1440" t="str">
        <f>RIGHT(Airports[[#This Row],[ICAO]],3)</f>
        <v>MUP</v>
      </c>
      <c r="G1440" s="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t="s">
        <v>3017</v>
      </c>
      <c r="B1441" t="s">
        <v>3018</v>
      </c>
      <c r="C1441">
        <v>-28.331111</v>
      </c>
      <c r="D1441">
        <v>153.413611</v>
      </c>
      <c r="E1441" t="str">
        <f>RIGHT(Airports[[#This Row],[ICAO]],3)</f>
        <v>MUR</v>
      </c>
      <c r="G1441" s="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t="s">
        <v>3019</v>
      </c>
      <c r="B1442" t="s">
        <v>3020</v>
      </c>
      <c r="C1442">
        <v>-24.413333000000002</v>
      </c>
      <c r="D1442">
        <v>147.244722</v>
      </c>
      <c r="E1442" t="str">
        <f>RIGHT(Airports[[#This Row],[ICAO]],3)</f>
        <v>MUS</v>
      </c>
      <c r="G1442" s="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t="s">
        <v>3021</v>
      </c>
      <c r="B1443" t="s">
        <v>3022</v>
      </c>
      <c r="C1443">
        <v>-26.383056</v>
      </c>
      <c r="D1443">
        <v>117.333333</v>
      </c>
      <c r="E1443" t="str">
        <f>RIGHT(Airports[[#This Row],[ICAO]],3)</f>
        <v>MUX</v>
      </c>
      <c r="G1443" s="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t="s">
        <v>3023</v>
      </c>
      <c r="B1444" t="s">
        <v>3024</v>
      </c>
      <c r="C1444">
        <v>-16.865278</v>
      </c>
      <c r="D1444">
        <v>144.87944400000001</v>
      </c>
      <c r="E1444" t="str">
        <f>RIGHT(Airports[[#This Row],[ICAO]],3)</f>
        <v>MUZ</v>
      </c>
      <c r="G1444" s="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t="s">
        <v>3025</v>
      </c>
      <c r="B1445" t="s">
        <v>3026</v>
      </c>
      <c r="C1445">
        <v>-33.284999999999997</v>
      </c>
      <c r="D1445">
        <v>151.21277799999999</v>
      </c>
      <c r="E1445" t="str">
        <f>RIGHT(Airports[[#This Row],[ICAO]],3)</f>
        <v>MVM</v>
      </c>
      <c r="G1445" s="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t="s">
        <v>3027</v>
      </c>
      <c r="B1446" t="s">
        <v>3028</v>
      </c>
      <c r="C1446">
        <v>-26.4</v>
      </c>
      <c r="D1446">
        <v>147.123333</v>
      </c>
      <c r="E1446" t="str">
        <f>RIGHT(Airports[[#This Row],[ICAO]],3)</f>
        <v>MVN</v>
      </c>
      <c r="G1446" s="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t="s">
        <v>3029</v>
      </c>
      <c r="B1447" t="s">
        <v>3030</v>
      </c>
      <c r="C1447">
        <v>-12.659722</v>
      </c>
      <c r="D1447">
        <v>124.542778</v>
      </c>
      <c r="E1447" t="str">
        <f>RIGHT(Airports[[#This Row],[ICAO]],3)</f>
        <v>MVT</v>
      </c>
      <c r="G1447" s="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t="s">
        <v>3031</v>
      </c>
      <c r="B1448" t="s">
        <v>3032</v>
      </c>
      <c r="C1448">
        <v>-14.083055999999999</v>
      </c>
      <c r="D1448">
        <v>133.81638899999999</v>
      </c>
      <c r="E1448" t="str">
        <f>RIGHT(Airports[[#This Row],[ICAO]],3)</f>
        <v>MVY</v>
      </c>
      <c r="G1448" s="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t="s">
        <v>3033</v>
      </c>
      <c r="B1449" t="s">
        <v>3034</v>
      </c>
      <c r="C1449">
        <v>-28.475277999999999</v>
      </c>
      <c r="D1449">
        <v>115.5175</v>
      </c>
      <c r="E1449" t="str">
        <f>RIGHT(Airports[[#This Row],[ICAO]],3)</f>
        <v>MWA</v>
      </c>
      <c r="G1449" s="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t="s">
        <v>3035</v>
      </c>
      <c r="B1450" t="s">
        <v>3036</v>
      </c>
      <c r="C1450">
        <v>-36.9925</v>
      </c>
      <c r="D1450">
        <v>140.25111100000001</v>
      </c>
      <c r="E1450" t="str">
        <f>RIGHT(Airports[[#This Row],[ICAO]],3)</f>
        <v>MWD</v>
      </c>
      <c r="G1450" s="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t="s">
        <v>3037</v>
      </c>
      <c r="B1451" t="s">
        <v>3038</v>
      </c>
      <c r="C1451">
        <v>-12.672222</v>
      </c>
      <c r="D1451">
        <v>124.539444</v>
      </c>
      <c r="E1451" t="str">
        <f>RIGHT(Airports[[#This Row],[ICAO]],3)</f>
        <v>MWH</v>
      </c>
      <c r="G1451" s="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t="s">
        <v>3039</v>
      </c>
      <c r="B1452" t="s">
        <v>3040</v>
      </c>
      <c r="C1452">
        <v>-24.383056</v>
      </c>
      <c r="D1452">
        <v>148.333056</v>
      </c>
      <c r="E1452" t="str">
        <f>RIGHT(Airports[[#This Row],[ICAO]],3)</f>
        <v>MWN</v>
      </c>
      <c r="G1452" s="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t="s">
        <v>3041</v>
      </c>
      <c r="B1453" t="s">
        <v>3042</v>
      </c>
      <c r="C1453">
        <v>-31.717500000000001</v>
      </c>
      <c r="D1453">
        <v>136.42861099999999</v>
      </c>
      <c r="E1453" t="str">
        <f>RIGHT(Airports[[#This Row],[ICAO]],3)</f>
        <v>MWO</v>
      </c>
      <c r="G1453" s="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t="s">
        <v>3043</v>
      </c>
      <c r="B1454" t="s">
        <v>3044</v>
      </c>
      <c r="C1454">
        <v>-31.959167000000001</v>
      </c>
      <c r="D1454">
        <v>116.185278</v>
      </c>
      <c r="E1454" t="str">
        <f>RIGHT(Airports[[#This Row],[ICAO]],3)</f>
        <v>MWR</v>
      </c>
      <c r="G1454" s="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t="s">
        <v>3045</v>
      </c>
      <c r="B1455" t="s">
        <v>1388</v>
      </c>
      <c r="C1455">
        <v>-23.366667</v>
      </c>
      <c r="D1455">
        <v>139.649722</v>
      </c>
      <c r="E1455" t="str">
        <f>RIGHT(Airports[[#This Row],[ICAO]],3)</f>
        <v>MWX</v>
      </c>
      <c r="G1455" s="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t="s">
        <v>3046</v>
      </c>
      <c r="B1456" t="s">
        <v>3047</v>
      </c>
      <c r="C1456">
        <v>-11.55</v>
      </c>
      <c r="D1456">
        <v>130.583056</v>
      </c>
      <c r="E1456" t="str">
        <f>RIGHT(Airports[[#This Row],[ICAO]],3)</f>
        <v>MXC</v>
      </c>
      <c r="G1456" s="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t="s">
        <v>3048</v>
      </c>
      <c r="B1457" t="s">
        <v>3049</v>
      </c>
      <c r="C1457">
        <v>-12.654722</v>
      </c>
      <c r="D1457">
        <v>134.774722</v>
      </c>
      <c r="E1457" t="str">
        <f>RIGHT(Airports[[#This Row],[ICAO]],3)</f>
        <v>MYA</v>
      </c>
      <c r="G1457" s="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t="s">
        <v>3050</v>
      </c>
      <c r="B1458" t="s">
        <v>3051</v>
      </c>
      <c r="C1458">
        <v>-25.513332999999999</v>
      </c>
      <c r="D1458">
        <v>152.715</v>
      </c>
      <c r="E1458" t="str">
        <f>RIGHT(Airports[[#This Row],[ICAO]],3)</f>
        <v>MYB</v>
      </c>
      <c r="G1458" s="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t="s">
        <v>3052</v>
      </c>
      <c r="B1459" t="s">
        <v>3053</v>
      </c>
      <c r="C1459">
        <v>-16.966667000000001</v>
      </c>
      <c r="D1459">
        <v>135.776667</v>
      </c>
      <c r="E1459" t="str">
        <f>RIGHT(Airports[[#This Row],[ICAO]],3)</f>
        <v>MYH</v>
      </c>
      <c r="G1459" s="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t="s">
        <v>3054</v>
      </c>
      <c r="B1460" t="s">
        <v>3055</v>
      </c>
      <c r="C1460">
        <v>-25.093333000000001</v>
      </c>
      <c r="D1460">
        <v>119.754722</v>
      </c>
      <c r="E1460" t="str">
        <f>RIGHT(Airports[[#This Row],[ICAO]],3)</f>
        <v>MYI</v>
      </c>
      <c r="G1460" s="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t="s">
        <v>3056</v>
      </c>
      <c r="B1461" t="s">
        <v>3057</v>
      </c>
      <c r="C1461">
        <v>-18.116667</v>
      </c>
      <c r="D1461">
        <v>124.266667</v>
      </c>
      <c r="E1461" t="str">
        <f>RIGHT(Airports[[#This Row],[ICAO]],3)</f>
        <v>MYR</v>
      </c>
      <c r="G1461" s="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t="s">
        <v>3058</v>
      </c>
      <c r="B1462" t="s">
        <v>3059</v>
      </c>
      <c r="C1462">
        <v>-33.789444000000003</v>
      </c>
      <c r="D1462">
        <v>121.95694399999999</v>
      </c>
      <c r="E1462" t="str">
        <f>RIGHT(Airports[[#This Row],[ICAO]],3)</f>
        <v>MYU</v>
      </c>
      <c r="G1462" s="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t="s">
        <v>3060</v>
      </c>
      <c r="B1463" t="s">
        <v>2795</v>
      </c>
      <c r="C1463">
        <v>-24.659721999999999</v>
      </c>
      <c r="D1463">
        <v>134.03138899999999</v>
      </c>
      <c r="E1463" t="str">
        <f>RIGHT(Airports[[#This Row],[ICAO]],3)</f>
        <v>MYV</v>
      </c>
      <c r="G1463" s="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t="s">
        <v>3061</v>
      </c>
      <c r="B1464" t="s">
        <v>3062</v>
      </c>
      <c r="C1464">
        <v>-21.048333</v>
      </c>
      <c r="D1464">
        <v>134.683333</v>
      </c>
      <c r="E1464" t="str">
        <f>RIGHT(Airports[[#This Row],[ICAO]],3)</f>
        <v>MYW</v>
      </c>
      <c r="G1464" s="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t="s">
        <v>3063</v>
      </c>
      <c r="B1465" t="s">
        <v>3064</v>
      </c>
      <c r="C1465">
        <v>-15.045</v>
      </c>
      <c r="D1465">
        <v>143.76166699999999</v>
      </c>
      <c r="E1465" t="str">
        <f>RIGHT(Airports[[#This Row],[ICAO]],3)</f>
        <v>MYY</v>
      </c>
      <c r="G1465" s="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t="s">
        <v>3065</v>
      </c>
      <c r="B1466" t="s">
        <v>3066</v>
      </c>
      <c r="C1466">
        <v>-29.666388999999999</v>
      </c>
      <c r="D1466">
        <v>121.02500000000001</v>
      </c>
      <c r="E1466" t="str">
        <f>RIGHT(Airports[[#This Row],[ICAO]],3)</f>
        <v>MZI</v>
      </c>
      <c r="G1466" s="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t="s">
        <v>3067</v>
      </c>
      <c r="B1467" t="s">
        <v>3068</v>
      </c>
      <c r="C1467">
        <v>-30.673055999999999</v>
      </c>
      <c r="D1467">
        <v>152.984444</v>
      </c>
      <c r="E1467" t="str">
        <f>RIGHT(Airports[[#This Row],[ICAO]],3)</f>
        <v>NAA</v>
      </c>
      <c r="F1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t="s">
        <v>3069</v>
      </c>
      <c r="B1468" t="s">
        <v>3070</v>
      </c>
      <c r="C1468">
        <v>-12.308332999999999</v>
      </c>
      <c r="D1468">
        <v>133.3125</v>
      </c>
      <c r="E1468" t="str">
        <f>RIGHT(Airports[[#This Row],[ICAO]],3)</f>
        <v>NAB</v>
      </c>
      <c r="F1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t="s">
        <v>3071</v>
      </c>
      <c r="B1469" t="s">
        <v>3072</v>
      </c>
      <c r="C1469">
        <v>-12.533333000000001</v>
      </c>
      <c r="D1469">
        <v>135.19972200000001</v>
      </c>
      <c r="E1469" t="str">
        <f>RIGHT(Airports[[#This Row],[ICAO]],3)</f>
        <v>NAL</v>
      </c>
      <c r="F1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t="s">
        <v>3073</v>
      </c>
      <c r="B1470" t="s">
        <v>3074</v>
      </c>
      <c r="C1470">
        <v>-26.691666999999999</v>
      </c>
      <c r="D1470">
        <v>151.98666700000001</v>
      </c>
      <c r="E1470" t="str">
        <f>RIGHT(Airports[[#This Row],[ICAO]],3)</f>
        <v>NAN</v>
      </c>
      <c r="F1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t="s">
        <v>3075</v>
      </c>
      <c r="B1471" t="s">
        <v>3076</v>
      </c>
      <c r="C1471">
        <v>-27.558333000000001</v>
      </c>
      <c r="D1471">
        <v>141.13333299999999</v>
      </c>
      <c r="E1471" t="str">
        <f>RIGHT(Airports[[#This Row],[ICAO]],3)</f>
        <v>NAP</v>
      </c>
      <c r="F1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t="s">
        <v>3077</v>
      </c>
      <c r="B1472" t="s">
        <v>3078</v>
      </c>
      <c r="C1472">
        <v>-34.702221999999999</v>
      </c>
      <c r="D1472">
        <v>146.51222200000001</v>
      </c>
      <c r="E1472" t="str">
        <f>RIGHT(Airports[[#This Row],[ICAO]],3)</f>
        <v>NAR</v>
      </c>
      <c r="F1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t="s">
        <v>3079</v>
      </c>
      <c r="B1473" t="s">
        <v>3080</v>
      </c>
      <c r="C1473">
        <v>-15.586944000000001</v>
      </c>
      <c r="D1473">
        <v>135.43</v>
      </c>
      <c r="E1473" t="str">
        <f>RIGHT(Airports[[#This Row],[ICAO]],3)</f>
        <v>NAT</v>
      </c>
      <c r="F1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t="s">
        <v>3081</v>
      </c>
      <c r="B1474" t="s">
        <v>3082</v>
      </c>
      <c r="C1474">
        <v>-34.033056000000002</v>
      </c>
      <c r="D1474">
        <v>115.733056</v>
      </c>
      <c r="E1474" t="str">
        <f>RIGHT(Airports[[#This Row],[ICAO]],3)</f>
        <v>NAU</v>
      </c>
      <c r="F1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t="s">
        <v>3083</v>
      </c>
      <c r="B1475" t="s">
        <v>3084</v>
      </c>
      <c r="C1475">
        <v>-43.096111000000001</v>
      </c>
      <c r="D1475">
        <v>147.74</v>
      </c>
      <c r="E1475" t="str">
        <f>RIGHT(Airports[[#This Row],[ICAO]],3)</f>
        <v>NBA</v>
      </c>
      <c r="F1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t="s">
        <v>3085</v>
      </c>
      <c r="B1476" t="s">
        <v>3086</v>
      </c>
      <c r="C1476">
        <v>-24.1</v>
      </c>
      <c r="D1476">
        <v>143.149722</v>
      </c>
      <c r="E1476" t="str">
        <f>RIGHT(Airports[[#This Row],[ICAO]],3)</f>
        <v>NBH</v>
      </c>
      <c r="F1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t="s">
        <v>3087</v>
      </c>
      <c r="B1477" t="s">
        <v>3088</v>
      </c>
      <c r="C1477">
        <v>-21.702221999999999</v>
      </c>
      <c r="D1477">
        <v>148.694444</v>
      </c>
      <c r="E1477" t="str">
        <f>RIGHT(Airports[[#This Row],[ICAO]],3)</f>
        <v>NBO</v>
      </c>
      <c r="F1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t="s">
        <v>3089</v>
      </c>
      <c r="B1478" t="s">
        <v>3090</v>
      </c>
      <c r="C1478">
        <v>-30.319167</v>
      </c>
      <c r="D1478">
        <v>149.82722200000001</v>
      </c>
      <c r="E1478" t="str">
        <f>RIGHT(Airports[[#This Row],[ICAO]],3)</f>
        <v>NBR</v>
      </c>
      <c r="F1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t="s">
        <v>3091</v>
      </c>
      <c r="B1479" t="s">
        <v>3092</v>
      </c>
      <c r="C1479">
        <v>-34.896943999999998</v>
      </c>
      <c r="D1479">
        <v>144.46277799999999</v>
      </c>
      <c r="E1479" t="str">
        <f>RIGHT(Airports[[#This Row],[ICAO]],3)</f>
        <v>NBS</v>
      </c>
      <c r="F1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t="s">
        <v>3093</v>
      </c>
      <c r="B1480" t="s">
        <v>3094</v>
      </c>
      <c r="C1480">
        <v>-11.319167</v>
      </c>
      <c r="D1480">
        <v>132.120833</v>
      </c>
      <c r="E1480" t="str">
        <f>RIGHT(Airports[[#This Row],[ICAO]],3)</f>
        <v>NBY</v>
      </c>
      <c r="F1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t="s">
        <v>3095</v>
      </c>
      <c r="B1481" t="s">
        <v>3096</v>
      </c>
      <c r="C1481">
        <v>-27.816666999999999</v>
      </c>
      <c r="D1481">
        <v>142.583056</v>
      </c>
      <c r="E1481" t="str">
        <f>RIGHT(Airports[[#This Row],[ICAO]],3)</f>
        <v>NCD</v>
      </c>
      <c r="F1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t="s">
        <v>3097</v>
      </c>
      <c r="B1482" t="s">
        <v>3098</v>
      </c>
      <c r="C1482">
        <v>-25.683056000000001</v>
      </c>
      <c r="D1482">
        <v>134.833056</v>
      </c>
      <c r="E1482" t="str">
        <f>RIGHT(Airports[[#This Row],[ICAO]],3)</f>
        <v>NCS</v>
      </c>
      <c r="F1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t="s">
        <v>3099</v>
      </c>
      <c r="B1483" t="s">
        <v>3100</v>
      </c>
      <c r="C1483">
        <v>-17.376944000000002</v>
      </c>
      <c r="D1483">
        <v>133.40444400000001</v>
      </c>
      <c r="E1483" t="str">
        <f>RIGHT(Airports[[#This Row],[ICAO]],3)</f>
        <v>NCW</v>
      </c>
      <c r="F1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t="s">
        <v>3101</v>
      </c>
      <c r="B1484" t="s">
        <v>3102</v>
      </c>
      <c r="C1484">
        <v>-33.083055999999999</v>
      </c>
      <c r="D1484">
        <v>119</v>
      </c>
      <c r="E1484" t="str">
        <f>RIGHT(Airports[[#This Row],[ICAO]],3)</f>
        <v>NDG</v>
      </c>
      <c r="F1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t="s">
        <v>3103</v>
      </c>
      <c r="B1485" t="s">
        <v>3104</v>
      </c>
      <c r="C1485">
        <v>-21.083333</v>
      </c>
      <c r="D1485">
        <v>146.149722</v>
      </c>
      <c r="E1485" t="str">
        <f>RIGHT(Airports[[#This Row],[ICAO]],3)</f>
        <v>NDS</v>
      </c>
      <c r="F1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t="s">
        <v>3105</v>
      </c>
      <c r="B1486" t="s">
        <v>3106</v>
      </c>
      <c r="C1486">
        <v>-24.233332999999998</v>
      </c>
      <c r="D1486">
        <v>147.613056</v>
      </c>
      <c r="E1486" t="str">
        <f>RIGHT(Airports[[#This Row],[ICAO]],3)</f>
        <v>NDW</v>
      </c>
      <c r="F1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t="s">
        <v>3107</v>
      </c>
      <c r="B1487" t="s">
        <v>3108</v>
      </c>
      <c r="C1487">
        <v>-29.116667</v>
      </c>
      <c r="D1487">
        <v>150.01666700000001</v>
      </c>
      <c r="E1487" t="str">
        <f>RIGHT(Airports[[#This Row],[ICAO]],3)</f>
        <v>NEE</v>
      </c>
      <c r="F1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t="s">
        <v>3109</v>
      </c>
      <c r="B1488" t="s">
        <v>3110</v>
      </c>
      <c r="C1488">
        <v>-10.623333000000001</v>
      </c>
      <c r="D1488">
        <v>126.033333</v>
      </c>
      <c r="E1488" t="str">
        <f>RIGHT(Airports[[#This Row],[ICAO]],3)</f>
        <v>NEN</v>
      </c>
      <c r="F1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t="s">
        <v>3111</v>
      </c>
      <c r="B1489" t="s">
        <v>3112</v>
      </c>
      <c r="C1489">
        <v>-33.727778000000001</v>
      </c>
      <c r="D1489">
        <v>150.6825</v>
      </c>
      <c r="E1489" t="str">
        <f>RIGHT(Airports[[#This Row],[ICAO]],3)</f>
        <v>NEP</v>
      </c>
      <c r="F1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t="s">
        <v>3113</v>
      </c>
      <c r="B1490" t="s">
        <v>3114</v>
      </c>
      <c r="C1490">
        <v>-18.504999999999999</v>
      </c>
      <c r="D1490">
        <v>124.397222</v>
      </c>
      <c r="E1490" t="str">
        <f>RIGHT(Airports[[#This Row],[ICAO]],3)</f>
        <v>NER</v>
      </c>
      <c r="F1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t="s">
        <v>3115</v>
      </c>
      <c r="B1491" t="s">
        <v>3116</v>
      </c>
      <c r="C1491">
        <v>-17.299721999999999</v>
      </c>
      <c r="D1491">
        <v>129.283333</v>
      </c>
      <c r="E1491" t="str">
        <f>RIGHT(Airports[[#This Row],[ICAO]],3)</f>
        <v>NES</v>
      </c>
      <c r="F1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t="s">
        <v>3117</v>
      </c>
      <c r="B1492" t="s">
        <v>3118</v>
      </c>
      <c r="C1492">
        <v>-32.585000000000001</v>
      </c>
      <c r="D1492">
        <v>141.45166699999999</v>
      </c>
      <c r="E1492" t="str">
        <f>RIGHT(Airports[[#This Row],[ICAO]],3)</f>
        <v>NET</v>
      </c>
      <c r="F1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t="s">
        <v>3119</v>
      </c>
      <c r="B1493" t="s">
        <v>3120</v>
      </c>
      <c r="C1493">
        <v>-21.171666999999999</v>
      </c>
      <c r="D1493">
        <v>147.90888899999999</v>
      </c>
      <c r="E1493" t="str">
        <f>RIGHT(Airports[[#This Row],[ICAO]],3)</f>
        <v>NEW</v>
      </c>
      <c r="F1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t="s">
        <v>3121</v>
      </c>
      <c r="B1494" t="s">
        <v>3122</v>
      </c>
      <c r="C1494">
        <v>-19.161943999999998</v>
      </c>
      <c r="D1494">
        <v>146.853611</v>
      </c>
      <c r="E1494" t="str">
        <f>RIGHT(Airports[[#This Row],[ICAO]],3)</f>
        <v>NEY</v>
      </c>
      <c r="F1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t="s">
        <v>3123</v>
      </c>
      <c r="B1495" t="s">
        <v>3124</v>
      </c>
      <c r="C1495">
        <v>-26.875833</v>
      </c>
      <c r="D1495">
        <v>150.31111100000001</v>
      </c>
      <c r="E1495" t="str">
        <f>RIGHT(Airports[[#This Row],[ICAO]],3)</f>
        <v>NGM</v>
      </c>
      <c r="F1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t="s">
        <v>3125</v>
      </c>
      <c r="B1496" t="s">
        <v>3126</v>
      </c>
      <c r="C1496">
        <v>-12.5625</v>
      </c>
      <c r="D1496">
        <v>134.27277799999999</v>
      </c>
      <c r="E1496" t="str">
        <f>RIGHT(Airports[[#This Row],[ICAO]],3)</f>
        <v>NGT</v>
      </c>
      <c r="F1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t="s">
        <v>3127</v>
      </c>
      <c r="B1497" t="s">
        <v>3128</v>
      </c>
      <c r="C1497">
        <v>-14.722778</v>
      </c>
      <c r="D1497">
        <v>134.7475</v>
      </c>
      <c r="E1497" t="str">
        <f>RIGHT(Airports[[#This Row],[ICAO]],3)</f>
        <v>NGU</v>
      </c>
      <c r="F1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t="s">
        <v>3129</v>
      </c>
      <c r="B1498" t="s">
        <v>3130</v>
      </c>
      <c r="C1498">
        <v>-21.401667</v>
      </c>
      <c r="D1498">
        <v>114.08666700000001</v>
      </c>
      <c r="E1498" t="str">
        <f>RIGHT(Airports[[#This Row],[ICAO]],3)</f>
        <v>NGV</v>
      </c>
      <c r="F1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t="s">
        <v>3131</v>
      </c>
      <c r="B1499" t="s">
        <v>3132</v>
      </c>
      <c r="C1499">
        <v>-36.783889000000002</v>
      </c>
      <c r="D1499">
        <v>145.03694400000001</v>
      </c>
      <c r="E1499" t="str">
        <f>RIGHT(Airports[[#This Row],[ICAO]],3)</f>
        <v>NGW</v>
      </c>
      <c r="F1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t="s">
        <v>3133</v>
      </c>
      <c r="B1500" t="s">
        <v>3134</v>
      </c>
      <c r="C1500">
        <v>-36.311110999999997</v>
      </c>
      <c r="D1500">
        <v>141.64444399999999</v>
      </c>
      <c r="E1500" t="str">
        <f>RIGHT(Airports[[#This Row],[ICAO]],3)</f>
        <v>NHL</v>
      </c>
      <c r="F1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t="s">
        <v>3135</v>
      </c>
      <c r="B1501" t="s">
        <v>3136</v>
      </c>
      <c r="C1501">
        <v>-28.35</v>
      </c>
      <c r="D1501">
        <v>114.69972199999999</v>
      </c>
      <c r="E1501" t="str">
        <f>RIGHT(Airports[[#This Row],[ICAO]],3)</f>
        <v>NHP</v>
      </c>
      <c r="F1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t="s">
        <v>3137</v>
      </c>
      <c r="B1502" t="s">
        <v>3138</v>
      </c>
      <c r="C1502">
        <v>-22.728611000000001</v>
      </c>
      <c r="D1502">
        <v>131.14777799999999</v>
      </c>
      <c r="E1502" t="str">
        <f>RIGHT(Airports[[#This Row],[ICAO]],3)</f>
        <v>NHV</v>
      </c>
      <c r="F1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t="s">
        <v>3139</v>
      </c>
      <c r="B1503" t="s">
        <v>3140</v>
      </c>
      <c r="C1503">
        <v>-18.049721999999999</v>
      </c>
      <c r="D1503">
        <v>128.899722</v>
      </c>
      <c r="E1503" t="str">
        <f>RIGHT(Airports[[#This Row],[ICAO]],3)</f>
        <v>NIC</v>
      </c>
      <c r="F1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t="s">
        <v>3141</v>
      </c>
      <c r="B1504" t="s">
        <v>3142</v>
      </c>
      <c r="C1504">
        <v>-32.527777999999998</v>
      </c>
      <c r="D1504">
        <v>136.495</v>
      </c>
      <c r="E1504" t="str">
        <f>RIGHT(Airports[[#This Row],[ICAO]],3)</f>
        <v>NIG</v>
      </c>
      <c r="F1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t="s">
        <v>3143</v>
      </c>
      <c r="B1505" t="s">
        <v>3144</v>
      </c>
      <c r="C1505">
        <v>-21.431944000000001</v>
      </c>
      <c r="D1505">
        <v>114.07</v>
      </c>
      <c r="E1505" t="str">
        <f>RIGHT(Airports[[#This Row],[ICAO]],3)</f>
        <v>NJY</v>
      </c>
      <c r="F1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t="s">
        <v>3145</v>
      </c>
      <c r="B1506" t="s">
        <v>3146</v>
      </c>
      <c r="C1506">
        <v>-18.5</v>
      </c>
      <c r="D1506">
        <v>124.833333</v>
      </c>
      <c r="E1506" t="str">
        <f>RIGHT(Airports[[#This Row],[ICAO]],3)</f>
        <v>NKA</v>
      </c>
      <c r="F1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t="s">
        <v>3147</v>
      </c>
      <c r="B1507" t="s">
        <v>3148</v>
      </c>
      <c r="C1507">
        <v>-34.363056</v>
      </c>
      <c r="D1507">
        <v>150.33805599999999</v>
      </c>
      <c r="E1507" t="str">
        <f>RIGHT(Airports[[#This Row],[ICAO]],3)</f>
        <v>NKG</v>
      </c>
      <c r="F1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t="s">
        <v>3149</v>
      </c>
      <c r="B1508" t="s">
        <v>3150</v>
      </c>
      <c r="C1508">
        <v>-36.099722</v>
      </c>
      <c r="D1508">
        <v>145.433333</v>
      </c>
      <c r="E1508" t="str">
        <f>RIGHT(Airports[[#This Row],[ICAO]],3)</f>
        <v>NKH</v>
      </c>
      <c r="F1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t="s">
        <v>3151</v>
      </c>
      <c r="B1509" t="s">
        <v>3152</v>
      </c>
      <c r="C1509">
        <v>-15.576667</v>
      </c>
      <c r="D1509">
        <v>130.47499999999999</v>
      </c>
      <c r="E1509" t="str">
        <f>RIGHT(Airports[[#This Row],[ICAO]],3)</f>
        <v>NKR</v>
      </c>
      <c r="F1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t="s">
        <v>3153</v>
      </c>
      <c r="B1510" t="s">
        <v>3154</v>
      </c>
      <c r="C1510">
        <v>-34.683332999999998</v>
      </c>
      <c r="D1510">
        <v>139.649722</v>
      </c>
      <c r="E1510" t="str">
        <f>RIGHT(Airports[[#This Row],[ICAO]],3)</f>
        <v>NLD</v>
      </c>
      <c r="F1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t="s">
        <v>3155</v>
      </c>
      <c r="B1511" t="s">
        <v>3156</v>
      </c>
      <c r="C1511">
        <v>-17.616667</v>
      </c>
      <c r="D1511">
        <v>126.733056</v>
      </c>
      <c r="E1511" t="str">
        <f>RIGHT(Airports[[#This Row],[ICAO]],3)</f>
        <v>NLH</v>
      </c>
      <c r="F1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t="s">
        <v>3157</v>
      </c>
      <c r="B1512" t="s">
        <v>3158</v>
      </c>
      <c r="C1512">
        <v>-19.203056</v>
      </c>
      <c r="D1512">
        <v>145.77166700000001</v>
      </c>
      <c r="E1512" t="str">
        <f>RIGHT(Airports[[#This Row],[ICAO]],3)</f>
        <v>NMN</v>
      </c>
      <c r="F1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t="s">
        <v>3159</v>
      </c>
      <c r="B1513" t="s">
        <v>3160</v>
      </c>
      <c r="C1513">
        <v>-20.588611</v>
      </c>
      <c r="D1513">
        <v>139.33861099999999</v>
      </c>
      <c r="E1513" t="str">
        <f>RIGHT(Airports[[#This Row],[ICAO]],3)</f>
        <v>NMY</v>
      </c>
      <c r="F1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t="s">
        <v>3161</v>
      </c>
      <c r="B1514" t="s">
        <v>3162</v>
      </c>
      <c r="C1514">
        <v>-38.069721999999999</v>
      </c>
      <c r="D1514">
        <v>145.57333299999999</v>
      </c>
      <c r="E1514" t="str">
        <f>RIGHT(Airports[[#This Row],[ICAO]],3)</f>
        <v>NNG</v>
      </c>
      <c r="F1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t="s">
        <v>3163</v>
      </c>
      <c r="B1515" t="s">
        <v>3164</v>
      </c>
      <c r="C1515">
        <v>-28.295832999999998</v>
      </c>
      <c r="D1515">
        <v>153.32638900000001</v>
      </c>
      <c r="E1515" t="str">
        <f>RIGHT(Airports[[#This Row],[ICAO]],3)</f>
        <v>NOB</v>
      </c>
      <c r="F1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t="s">
        <v>3165</v>
      </c>
      <c r="B1516" t="s">
        <v>3166</v>
      </c>
      <c r="C1516">
        <v>-27.716667000000001</v>
      </c>
      <c r="D1516">
        <v>142.71166700000001</v>
      </c>
      <c r="E1516" t="str">
        <f>RIGHT(Airports[[#This Row],[ICAO]],3)</f>
        <v>NOC</v>
      </c>
      <c r="F1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t="s">
        <v>3167</v>
      </c>
      <c r="B1517" t="s">
        <v>3168</v>
      </c>
      <c r="C1517">
        <v>-19.333333</v>
      </c>
      <c r="D1517">
        <v>138.333056</v>
      </c>
      <c r="E1517" t="str">
        <f>RIGHT(Airports[[#This Row],[ICAO]],3)</f>
        <v>NOF</v>
      </c>
      <c r="F1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t="s">
        <v>3169</v>
      </c>
      <c r="B1518" t="s">
        <v>3170</v>
      </c>
      <c r="C1518">
        <v>-16.425000000000001</v>
      </c>
      <c r="D1518">
        <v>145.989722</v>
      </c>
      <c r="E1518" t="str">
        <f>RIGHT(Airports[[#This Row],[ICAO]],3)</f>
        <v>NOM</v>
      </c>
      <c r="F1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t="s">
        <v>3171</v>
      </c>
      <c r="B1519" t="s">
        <v>3172</v>
      </c>
      <c r="C1519">
        <v>-32.283056000000002</v>
      </c>
      <c r="D1519">
        <v>123.666389</v>
      </c>
      <c r="E1519" t="str">
        <f>RIGHT(Airports[[#This Row],[ICAO]],3)</f>
        <v>NON</v>
      </c>
      <c r="F1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t="s">
        <v>3173</v>
      </c>
      <c r="B1520" t="s">
        <v>3174</v>
      </c>
      <c r="C1520">
        <v>-28.0425</v>
      </c>
      <c r="D1520">
        <v>143.558333</v>
      </c>
      <c r="E1520" t="str">
        <f>RIGHT(Airports[[#This Row],[ICAO]],3)</f>
        <v>NOO</v>
      </c>
      <c r="F1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t="s">
        <v>3175</v>
      </c>
      <c r="B1521" t="s">
        <v>3176</v>
      </c>
      <c r="C1521">
        <v>-28.675000000000001</v>
      </c>
      <c r="D1521">
        <v>146.375</v>
      </c>
      <c r="E1521" t="str">
        <f>RIGHT(Airports[[#This Row],[ICAO]],3)</f>
        <v>NOR</v>
      </c>
      <c r="F1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t="s">
        <v>3177</v>
      </c>
      <c r="B1522" t="s">
        <v>3178</v>
      </c>
      <c r="C1522">
        <v>-31.845278</v>
      </c>
      <c r="D1522">
        <v>123.19194400000001</v>
      </c>
      <c r="E1522" t="str">
        <f>RIGHT(Airports[[#This Row],[ICAO]],3)</f>
        <v>NOV</v>
      </c>
      <c r="F1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t="s">
        <v>3179</v>
      </c>
      <c r="B1523" t="s">
        <v>3180</v>
      </c>
      <c r="C1523">
        <v>-28.483332999999998</v>
      </c>
      <c r="D1523">
        <v>135.9</v>
      </c>
      <c r="E1523" t="str">
        <f>RIGHT(Airports[[#This Row],[ICAO]],3)</f>
        <v>NPA</v>
      </c>
      <c r="F1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t="s">
        <v>3181</v>
      </c>
      <c r="B1524" t="s">
        <v>3182</v>
      </c>
      <c r="C1524">
        <v>-22.533055999999998</v>
      </c>
      <c r="D1524">
        <v>132.76305600000001</v>
      </c>
      <c r="E1524" t="str">
        <f>RIGHT(Airports[[#This Row],[ICAO]],3)</f>
        <v>NPB</v>
      </c>
      <c r="F1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t="s">
        <v>3183</v>
      </c>
      <c r="B1525" t="s">
        <v>3184</v>
      </c>
      <c r="C1525">
        <v>-17.333333</v>
      </c>
      <c r="D1525">
        <v>124.849722</v>
      </c>
      <c r="E1525" t="str">
        <f>RIGHT(Airports[[#This Row],[ICAO]],3)</f>
        <v>NPD</v>
      </c>
      <c r="F1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t="s">
        <v>3185</v>
      </c>
      <c r="B1526" t="s">
        <v>3186</v>
      </c>
      <c r="C1526">
        <v>-10.950832999999999</v>
      </c>
      <c r="D1526">
        <v>142.45944399999999</v>
      </c>
      <c r="E1526" t="str">
        <f>RIGHT(Airports[[#This Row],[ICAO]],3)</f>
        <v>NPE</v>
      </c>
      <c r="F1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t="s">
        <v>3187</v>
      </c>
      <c r="B1527" t="s">
        <v>3188</v>
      </c>
      <c r="C1527">
        <v>-32.581389000000001</v>
      </c>
      <c r="D1527">
        <v>115.88972200000001</v>
      </c>
      <c r="E1527" t="str">
        <f>RIGHT(Airports[[#This Row],[ICAO]],3)</f>
        <v>NPJ</v>
      </c>
      <c r="F1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t="s">
        <v>3189</v>
      </c>
      <c r="B1528" t="s">
        <v>3190</v>
      </c>
      <c r="C1528">
        <v>-30.895</v>
      </c>
      <c r="D1528">
        <v>140.968333</v>
      </c>
      <c r="E1528" t="str">
        <f>RIGHT(Airports[[#This Row],[ICAO]],3)</f>
        <v>NQI</v>
      </c>
      <c r="F1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t="s">
        <v>3191</v>
      </c>
      <c r="B1529" t="s">
        <v>3192</v>
      </c>
      <c r="C1529">
        <v>-32.116667</v>
      </c>
      <c r="D1529">
        <v>118.416667</v>
      </c>
      <c r="E1529" t="str">
        <f>RIGHT(Airports[[#This Row],[ICAO]],3)</f>
        <v>NRB</v>
      </c>
      <c r="F1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t="s">
        <v>3193</v>
      </c>
      <c r="B1530" t="s">
        <v>3194</v>
      </c>
      <c r="C1530">
        <v>-36.985278000000001</v>
      </c>
      <c r="D1530">
        <v>140.72499999999999</v>
      </c>
      <c r="E1530" t="str">
        <f>RIGHT(Airports[[#This Row],[ICAO]],3)</f>
        <v>NRC</v>
      </c>
      <c r="F1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t="s">
        <v>3195</v>
      </c>
      <c r="B1531" t="s">
        <v>3196</v>
      </c>
      <c r="C1531">
        <v>-32.93</v>
      </c>
      <c r="D1531">
        <v>117.08</v>
      </c>
      <c r="E1531" t="str">
        <f>RIGHT(Airports[[#This Row],[ICAO]],3)</f>
        <v>NRG</v>
      </c>
      <c r="F1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t="s">
        <v>3197</v>
      </c>
      <c r="B1532" t="s">
        <v>3198</v>
      </c>
      <c r="C1532">
        <v>-32.879443999999999</v>
      </c>
      <c r="D1532">
        <v>151.728611</v>
      </c>
      <c r="E1532" t="str">
        <f>RIGHT(Airports[[#This Row],[ICAO]],3)</f>
        <v>NRH</v>
      </c>
      <c r="F1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t="s">
        <v>3199</v>
      </c>
      <c r="B1533" t="s">
        <v>3200</v>
      </c>
      <c r="C1533">
        <v>-28.55</v>
      </c>
      <c r="D1533">
        <v>141.91666699999999</v>
      </c>
      <c r="E1533" t="str">
        <f>RIGHT(Airports[[#This Row],[ICAO]],3)</f>
        <v>NRL</v>
      </c>
      <c r="F1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t="s">
        <v>3201</v>
      </c>
      <c r="B1534" t="s">
        <v>3202</v>
      </c>
      <c r="C1534">
        <v>-32.214444</v>
      </c>
      <c r="D1534">
        <v>148.22472200000001</v>
      </c>
      <c r="E1534" t="str">
        <f>RIGHT(Airports[[#This Row],[ICAO]],3)</f>
        <v>NRM</v>
      </c>
      <c r="F1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t="s">
        <v>3203</v>
      </c>
      <c r="B1535" t="s">
        <v>3204</v>
      </c>
      <c r="C1535">
        <v>-25.666388999999999</v>
      </c>
      <c r="D1535">
        <v>150.833056</v>
      </c>
      <c r="E1535" t="str">
        <f>RIGHT(Airports[[#This Row],[ICAO]],3)</f>
        <v>NRN</v>
      </c>
      <c r="F1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t="s">
        <v>3205</v>
      </c>
      <c r="B1536" t="s">
        <v>3206</v>
      </c>
      <c r="C1536">
        <v>-22.645</v>
      </c>
      <c r="D1536">
        <v>130.565</v>
      </c>
      <c r="E1536" t="str">
        <f>RIGHT(Airports[[#This Row],[ICAO]],3)</f>
        <v>NRR</v>
      </c>
      <c r="F1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t="s">
        <v>3207</v>
      </c>
      <c r="B1537" t="s">
        <v>3208</v>
      </c>
      <c r="C1537">
        <v>-33.797221999999998</v>
      </c>
      <c r="D1537">
        <v>120.208056</v>
      </c>
      <c r="E1537" t="str">
        <f>RIGHT(Airports[[#This Row],[ICAO]],3)</f>
        <v>NRV</v>
      </c>
      <c r="F1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t="s">
        <v>3209</v>
      </c>
      <c r="B1538" t="s">
        <v>3210</v>
      </c>
      <c r="C1538">
        <v>-26.423333</v>
      </c>
      <c r="D1538">
        <v>153.063333</v>
      </c>
      <c r="E1538" t="str">
        <f>RIGHT(Airports[[#This Row],[ICAO]],3)</f>
        <v>NSH</v>
      </c>
      <c r="F1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t="s">
        <v>3211</v>
      </c>
      <c r="B1539" t="s">
        <v>3212</v>
      </c>
      <c r="C1539">
        <v>-32.209443999999998</v>
      </c>
      <c r="D1539">
        <v>121.75444400000001</v>
      </c>
      <c r="E1539" t="str">
        <f>RIGHT(Airports[[#This Row],[ICAO]],3)</f>
        <v>NSM</v>
      </c>
      <c r="F1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t="s">
        <v>3213</v>
      </c>
      <c r="B1540" t="s">
        <v>3214</v>
      </c>
      <c r="C1540">
        <v>-17.677499999999998</v>
      </c>
      <c r="D1540">
        <v>141.068333</v>
      </c>
      <c r="E1540" t="str">
        <f>RIGHT(Airports[[#This Row],[ICAO]],3)</f>
        <v>NTH</v>
      </c>
      <c r="F1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t="s">
        <v>3215</v>
      </c>
      <c r="B1541" t="s">
        <v>3216</v>
      </c>
      <c r="C1541">
        <v>-28.3</v>
      </c>
      <c r="D1541">
        <v>113.59611099999999</v>
      </c>
      <c r="E1541" t="str">
        <f>RIGHT(Airports[[#This Row],[ICAO]],3)</f>
        <v>NTI</v>
      </c>
      <c r="F1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t="s">
        <v>3217</v>
      </c>
      <c r="B1542" t="s">
        <v>3218</v>
      </c>
      <c r="C1542">
        <v>-21.533055999999998</v>
      </c>
      <c r="D1542">
        <v>134</v>
      </c>
      <c r="E1542" t="str">
        <f>RIGHT(Airports[[#This Row],[ICAO]],3)</f>
        <v>NTJ</v>
      </c>
      <c r="F1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t="s">
        <v>3219</v>
      </c>
      <c r="B1543" t="s">
        <v>3220</v>
      </c>
      <c r="C1543">
        <v>-32.922322999999999</v>
      </c>
      <c r="D1543">
        <v>151.78628499999999</v>
      </c>
      <c r="E1543" t="str">
        <f>RIGHT(Airports[[#This Row],[ICAO]],3)</f>
        <v>NTL</v>
      </c>
      <c r="F1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t="s">
        <v>3221</v>
      </c>
      <c r="B1544" t="s">
        <v>3222</v>
      </c>
      <c r="C1544">
        <v>-31.625833</v>
      </c>
      <c r="D1544">
        <v>116.684444</v>
      </c>
      <c r="E1544" t="str">
        <f>RIGHT(Airports[[#This Row],[ICAO]],3)</f>
        <v>NTM</v>
      </c>
      <c r="F1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t="s">
        <v>3223</v>
      </c>
      <c r="B1545" t="s">
        <v>3224</v>
      </c>
      <c r="C1545">
        <v>-17.684999999999999</v>
      </c>
      <c r="D1545">
        <v>141.070278</v>
      </c>
      <c r="E1545" t="str">
        <f>RIGHT(Airports[[#This Row],[ICAO]],3)</f>
        <v>NTN</v>
      </c>
      <c r="F1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t="s">
        <v>3225</v>
      </c>
      <c r="B1546" t="s">
        <v>3226</v>
      </c>
      <c r="C1546">
        <v>-31.441110999999999</v>
      </c>
      <c r="D1546">
        <v>130.90222199999999</v>
      </c>
      <c r="E1546" t="str">
        <f>RIGHT(Airports[[#This Row],[ICAO]],3)</f>
        <v>NUB</v>
      </c>
      <c r="F1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t="s">
        <v>3227</v>
      </c>
      <c r="B1547" t="s">
        <v>3228</v>
      </c>
      <c r="C1547">
        <v>-23.997222000000001</v>
      </c>
      <c r="D1547">
        <v>135.421389</v>
      </c>
      <c r="E1547" t="str">
        <f>RIGHT(Airports[[#This Row],[ICAO]],3)</f>
        <v>NUE</v>
      </c>
      <c r="F1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t="s">
        <v>3229</v>
      </c>
      <c r="B1548" t="s">
        <v>3230</v>
      </c>
      <c r="C1548">
        <v>-21.912777999999999</v>
      </c>
      <c r="D1548">
        <v>120.198611</v>
      </c>
      <c r="E1548" t="str">
        <f>RIGHT(Airports[[#This Row],[ICAO]],3)</f>
        <v>NUL</v>
      </c>
      <c r="F1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t="s">
        <v>3231</v>
      </c>
      <c r="B1549" t="s">
        <v>3232</v>
      </c>
      <c r="C1549">
        <v>-14.271667000000001</v>
      </c>
      <c r="D1549">
        <v>135.716667</v>
      </c>
      <c r="E1549" t="str">
        <f>RIGHT(Airports[[#This Row],[ICAO]],3)</f>
        <v>NUM</v>
      </c>
      <c r="F1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t="s">
        <v>3233</v>
      </c>
      <c r="B1550" t="s">
        <v>3234</v>
      </c>
      <c r="C1550">
        <v>-15.816388999999999</v>
      </c>
      <c r="D1550">
        <v>134.149722</v>
      </c>
      <c r="E1550" t="str">
        <f>RIGHT(Airports[[#This Row],[ICAO]],3)</f>
        <v>NUT</v>
      </c>
      <c r="F1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t="s">
        <v>3235</v>
      </c>
      <c r="B1551" t="s">
        <v>3236</v>
      </c>
      <c r="C1551">
        <v>-20.6</v>
      </c>
      <c r="D1551">
        <v>146.30000000000001</v>
      </c>
      <c r="E1551" t="str">
        <f>RIGHT(Airports[[#This Row],[ICAO]],3)</f>
        <v>NVD</v>
      </c>
      <c r="F1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t="s">
        <v>3237</v>
      </c>
      <c r="B1552" t="s">
        <v>3238</v>
      </c>
      <c r="C1552">
        <v>-30.842222</v>
      </c>
      <c r="D1552">
        <v>135.296944</v>
      </c>
      <c r="E1552" t="str">
        <f>RIGHT(Airports[[#This Row],[ICAO]],3)</f>
        <v>NWL</v>
      </c>
      <c r="F1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t="s">
        <v>3239</v>
      </c>
      <c r="B1553" t="s">
        <v>3240</v>
      </c>
      <c r="C1553">
        <v>-18.473610999999998</v>
      </c>
      <c r="D1553">
        <v>140.225278</v>
      </c>
      <c r="E1553" t="str">
        <f>RIGHT(Airports[[#This Row],[ICAO]],3)</f>
        <v>NWM</v>
      </c>
      <c r="F1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t="s">
        <v>3241</v>
      </c>
      <c r="B1554" t="s">
        <v>3242</v>
      </c>
      <c r="C1554">
        <v>-23.417777999999998</v>
      </c>
      <c r="D1554">
        <v>119.802778</v>
      </c>
      <c r="E1554" t="str">
        <f>RIGHT(Airports[[#This Row],[ICAO]],3)</f>
        <v>NWN</v>
      </c>
      <c r="F1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t="s">
        <v>3243</v>
      </c>
      <c r="B1555" t="s">
        <v>3244</v>
      </c>
      <c r="C1555">
        <v>-30.688611000000002</v>
      </c>
      <c r="D1555">
        <v>148.13305600000001</v>
      </c>
      <c r="E1555" t="str">
        <f>RIGHT(Airports[[#This Row],[ICAO]],3)</f>
        <v>NWY</v>
      </c>
      <c r="F1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t="s">
        <v>3245</v>
      </c>
      <c r="B1556" t="s">
        <v>3246</v>
      </c>
      <c r="C1556">
        <v>-23.033055999999998</v>
      </c>
      <c r="D1556">
        <v>115.033056</v>
      </c>
      <c r="E1556" t="str">
        <f>RIGHT(Airports[[#This Row],[ICAO]],3)</f>
        <v>NYG</v>
      </c>
      <c r="F1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t="s">
        <v>3247</v>
      </c>
      <c r="B1557" t="s">
        <v>3248</v>
      </c>
      <c r="C1557">
        <v>-32.053888999999998</v>
      </c>
      <c r="D1557">
        <v>146.31222199999999</v>
      </c>
      <c r="E1557" t="str">
        <f>RIGHT(Airports[[#This Row],[ICAO]],3)</f>
        <v>NYM</v>
      </c>
      <c r="F1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t="s">
        <v>3249</v>
      </c>
      <c r="B1558" t="s">
        <v>3250</v>
      </c>
      <c r="C1558">
        <v>-31.551110999999999</v>
      </c>
      <c r="D1558">
        <v>147.202778</v>
      </c>
      <c r="E1558" t="str">
        <f>RIGHT(Airports[[#This Row],[ICAO]],3)</f>
        <v>NYN</v>
      </c>
      <c r="F1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t="s">
        <v>3251</v>
      </c>
      <c r="B1559" t="s">
        <v>3252</v>
      </c>
      <c r="C1559">
        <v>-26.187778000000002</v>
      </c>
      <c r="D1559">
        <v>130.19222199999999</v>
      </c>
      <c r="E1559" t="str">
        <f>RIGHT(Airports[[#This Row],[ICAO]],3)</f>
        <v>NYP</v>
      </c>
      <c r="F1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t="s">
        <v>3253</v>
      </c>
      <c r="B1560" t="s">
        <v>3254</v>
      </c>
      <c r="C1560">
        <v>-25.383056</v>
      </c>
      <c r="D1560">
        <v>135.41666699999999</v>
      </c>
      <c r="E1560" t="str">
        <f>RIGHT(Airports[[#This Row],[ICAO]],3)</f>
        <v>OAD</v>
      </c>
      <c r="F1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t="s">
        <v>3255</v>
      </c>
      <c r="B1561" t="s">
        <v>3256</v>
      </c>
      <c r="C1561">
        <v>-12.475277999999999</v>
      </c>
      <c r="D1561">
        <v>134.96083300000001</v>
      </c>
      <c r="E1561" t="str">
        <f>RIGHT(Airports[[#This Row],[ICAO]],3)</f>
        <v>OAF</v>
      </c>
      <c r="F1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t="s">
        <v>3257</v>
      </c>
      <c r="B1562" t="s">
        <v>3258</v>
      </c>
      <c r="C1562">
        <v>-16.433056000000001</v>
      </c>
      <c r="D1562">
        <v>123.05</v>
      </c>
      <c r="E1562" t="str">
        <f>RIGHT(Airports[[#This Row],[ICAO]],3)</f>
        <v>OAP</v>
      </c>
      <c r="F1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t="s">
        <v>3259</v>
      </c>
      <c r="B1563" t="s">
        <v>3260</v>
      </c>
      <c r="C1563">
        <v>-35.086666999999998</v>
      </c>
      <c r="D1563">
        <v>139.15944400000001</v>
      </c>
      <c r="E1563" t="str">
        <f>RIGHT(Airports[[#This Row],[ICAO]],3)</f>
        <v>OAR</v>
      </c>
      <c r="F1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t="s">
        <v>3261</v>
      </c>
      <c r="B1564" t="s">
        <v>3262</v>
      </c>
      <c r="C1564">
        <v>-34.083888999999999</v>
      </c>
      <c r="D1564">
        <v>150.56027800000001</v>
      </c>
      <c r="E1564" t="str">
        <f>RIGHT(Airports[[#This Row],[ICAO]],3)</f>
        <v>OAS</v>
      </c>
      <c r="F1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t="s">
        <v>3263</v>
      </c>
      <c r="B1565" t="s">
        <v>3264</v>
      </c>
      <c r="C1565">
        <v>-23.059722000000001</v>
      </c>
      <c r="D1565">
        <v>148.494722</v>
      </c>
      <c r="E1565" t="str">
        <f>RIGHT(Airports[[#This Row],[ICAO]],3)</f>
        <v>OAY</v>
      </c>
      <c r="F1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t="s">
        <v>3265</v>
      </c>
      <c r="B1566" t="s">
        <v>3266</v>
      </c>
      <c r="C1566">
        <v>-33.700833000000003</v>
      </c>
      <c r="D1566">
        <v>149.85583299999999</v>
      </c>
      <c r="E1566" t="str">
        <f>RIGHT(Airports[[#This Row],[ICAO]],3)</f>
        <v>OBE</v>
      </c>
      <c r="F1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t="s">
        <v>3267</v>
      </c>
      <c r="B1567" t="s">
        <v>3268</v>
      </c>
      <c r="C1567">
        <v>-24.533055999999998</v>
      </c>
      <c r="D1567">
        <v>149.55000000000001</v>
      </c>
      <c r="E1567" t="str">
        <f>RIGHT(Airports[[#This Row],[ICAO]],3)</f>
        <v>OBM</v>
      </c>
      <c r="F1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t="s">
        <v>3269</v>
      </c>
      <c r="B1568" t="s">
        <v>3270</v>
      </c>
      <c r="C1568">
        <v>-21.234722000000001</v>
      </c>
      <c r="D1568">
        <v>139.033333</v>
      </c>
      <c r="E1568" t="str">
        <f>RIGHT(Airports[[#This Row],[ICAO]],3)</f>
        <v>OBN</v>
      </c>
      <c r="F1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t="s">
        <v>3271</v>
      </c>
      <c r="B1569" t="s">
        <v>3272</v>
      </c>
      <c r="C1569">
        <v>-31.966111000000001</v>
      </c>
      <c r="D1569">
        <v>152.591667</v>
      </c>
      <c r="E1569" t="str">
        <f>RIGHT(Airports[[#This Row],[ICAO]],3)</f>
        <v>OBR</v>
      </c>
      <c r="F1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t="s">
        <v>3273</v>
      </c>
      <c r="B1570" t="s">
        <v>3274</v>
      </c>
      <c r="C1570">
        <v>-33.755833000000003</v>
      </c>
      <c r="D1570">
        <v>148.012778</v>
      </c>
      <c r="E1570" t="str">
        <f>RIGHT(Airports[[#This Row],[ICAO]],3)</f>
        <v>OCA</v>
      </c>
      <c r="F1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t="s">
        <v>3275</v>
      </c>
      <c r="B1571" t="s">
        <v>3276</v>
      </c>
      <c r="C1571">
        <v>-23.056388999999999</v>
      </c>
      <c r="D1571">
        <v>148.49555599999999</v>
      </c>
      <c r="E1571" t="str">
        <f>RIGHT(Airports[[#This Row],[ICAO]],3)</f>
        <v>OCC</v>
      </c>
      <c r="F1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t="s">
        <v>3277</v>
      </c>
      <c r="B1572" t="s">
        <v>3278</v>
      </c>
      <c r="C1572">
        <v>-25.35</v>
      </c>
      <c r="D1572">
        <v>142.63305600000001</v>
      </c>
      <c r="E1572" t="str">
        <f>RIGHT(Airports[[#This Row],[ICAO]],3)</f>
        <v>ODL</v>
      </c>
      <c r="F1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t="s">
        <v>3279</v>
      </c>
      <c r="B1573" t="s">
        <v>3280</v>
      </c>
      <c r="C1573">
        <v>-33.317222000000001</v>
      </c>
      <c r="D1573">
        <v>149.148056</v>
      </c>
      <c r="E1573" t="str">
        <f>RIGHT(Airports[[#This Row],[ICAO]],3)</f>
        <v>OEH</v>
      </c>
      <c r="F1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t="s">
        <v>3281</v>
      </c>
      <c r="B1574" t="s">
        <v>3282</v>
      </c>
      <c r="C1574">
        <v>-12.325278000000001</v>
      </c>
      <c r="D1574">
        <v>133.00555600000001</v>
      </c>
      <c r="E1574" t="str">
        <f>RIGHT(Airports[[#This Row],[ICAO]],3)</f>
        <v>OEN</v>
      </c>
      <c r="F1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t="s">
        <v>3283</v>
      </c>
      <c r="B1575" t="s">
        <v>3284</v>
      </c>
      <c r="C1575">
        <v>-20.399722000000001</v>
      </c>
      <c r="D1575">
        <v>143.19972200000001</v>
      </c>
      <c r="E1575" t="str">
        <f>RIGHT(Airports[[#This Row],[ICAO]],3)</f>
        <v>OGD</v>
      </c>
      <c r="F1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t="s">
        <v>3285</v>
      </c>
      <c r="B1576" t="s">
        <v>3286</v>
      </c>
      <c r="C1576">
        <v>-22.063056</v>
      </c>
      <c r="D1576">
        <v>144.141111</v>
      </c>
      <c r="E1576" t="str">
        <f>RIGHT(Airports[[#This Row],[ICAO]],3)</f>
        <v>OIT</v>
      </c>
      <c r="F1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t="s">
        <v>3287</v>
      </c>
      <c r="B1577" t="s">
        <v>3288</v>
      </c>
      <c r="C1577">
        <v>-19.591667000000001</v>
      </c>
      <c r="D1577">
        <v>116.435</v>
      </c>
      <c r="E1577" t="str">
        <f>RIGHT(Airports[[#This Row],[ICAO]],3)</f>
        <v>OKA</v>
      </c>
      <c r="F1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t="s">
        <v>3289</v>
      </c>
      <c r="B1578" t="s">
        <v>3290</v>
      </c>
      <c r="C1578">
        <v>-22.299721999999999</v>
      </c>
      <c r="D1578">
        <v>145.96638899999999</v>
      </c>
      <c r="E1578" t="str">
        <f>RIGHT(Airports[[#This Row],[ICAO]],3)</f>
        <v>OKE</v>
      </c>
      <c r="F1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t="s">
        <v>3291</v>
      </c>
      <c r="B1579" t="s">
        <v>3292</v>
      </c>
      <c r="C1579">
        <v>-31.666388999999999</v>
      </c>
      <c r="D1579">
        <v>137.058333</v>
      </c>
      <c r="E1579" t="str">
        <f>RIGHT(Airports[[#This Row],[ICAO]],3)</f>
        <v>OKH</v>
      </c>
      <c r="F1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t="s">
        <v>3293</v>
      </c>
      <c r="B1580" t="s">
        <v>3294</v>
      </c>
      <c r="C1580">
        <v>-29.506667</v>
      </c>
      <c r="D1580">
        <v>130.86833300000001</v>
      </c>
      <c r="E1580" t="str">
        <f>RIGHT(Airports[[#This Row],[ICAO]],3)</f>
        <v>OKV</v>
      </c>
      <c r="F1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t="s">
        <v>3295</v>
      </c>
      <c r="B1581" t="s">
        <v>3296</v>
      </c>
      <c r="C1581">
        <v>-38.286389</v>
      </c>
      <c r="D1581">
        <v>143.679722</v>
      </c>
      <c r="E1581" t="str">
        <f>RIGHT(Airports[[#This Row],[ICAO]],3)</f>
        <v>OLA</v>
      </c>
      <c r="F1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t="s">
        <v>3297</v>
      </c>
      <c r="B1582" t="s">
        <v>3298</v>
      </c>
      <c r="C1582">
        <v>-30.484999999999999</v>
      </c>
      <c r="D1582">
        <v>136.876667</v>
      </c>
      <c r="E1582" t="str">
        <f>RIGHT(Airports[[#This Row],[ICAO]],3)</f>
        <v>OLD</v>
      </c>
      <c r="F1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t="s">
        <v>3299</v>
      </c>
      <c r="B1583" t="s">
        <v>3300</v>
      </c>
      <c r="C1583">
        <v>-39.844721999999997</v>
      </c>
      <c r="D1583">
        <v>145.81805600000001</v>
      </c>
      <c r="E1583" t="str">
        <f>RIGHT(Airports[[#This Row],[ICAO]],3)</f>
        <v>OLL</v>
      </c>
      <c r="F1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t="s">
        <v>3301</v>
      </c>
      <c r="B1584" t="s">
        <v>3302</v>
      </c>
      <c r="C1584">
        <v>-29.628333000000001</v>
      </c>
      <c r="D1584">
        <v>150.194444</v>
      </c>
      <c r="E1584" t="str">
        <f>RIGHT(Airports[[#This Row],[ICAO]],3)</f>
        <v>OLO</v>
      </c>
      <c r="F1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t="s">
        <v>3303</v>
      </c>
      <c r="B1585" t="s">
        <v>3304</v>
      </c>
      <c r="C1585">
        <v>-21.668333000000001</v>
      </c>
      <c r="D1585">
        <v>115.113056</v>
      </c>
      <c r="E1585" t="str">
        <f>RIGHT(Airports[[#This Row],[ICAO]],3)</f>
        <v>OLW</v>
      </c>
      <c r="F1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t="s">
        <v>3305</v>
      </c>
      <c r="B1586" t="s">
        <v>3306</v>
      </c>
      <c r="C1586">
        <v>-31.018611</v>
      </c>
      <c r="D1586">
        <v>147.71194399999999</v>
      </c>
      <c r="E1586" t="str">
        <f>RIGHT(Airports[[#This Row],[ICAO]],3)</f>
        <v>OLY</v>
      </c>
      <c r="F1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t="s">
        <v>3307</v>
      </c>
      <c r="B1587" t="s">
        <v>3308</v>
      </c>
      <c r="C1587">
        <v>-28.760278</v>
      </c>
      <c r="D1587">
        <v>141.20861099999999</v>
      </c>
      <c r="E1587" t="str">
        <f>RIGHT(Airports[[#This Row],[ICAO]],3)</f>
        <v>OMI</v>
      </c>
      <c r="F1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t="s">
        <v>3309</v>
      </c>
      <c r="B1588" t="s">
        <v>3310</v>
      </c>
      <c r="C1588">
        <v>-37.096666999999997</v>
      </c>
      <c r="D1588">
        <v>147.593333</v>
      </c>
      <c r="E1588" t="str">
        <f>RIGHT(Airports[[#This Row],[ICAO]],3)</f>
        <v>OMO</v>
      </c>
      <c r="F1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t="s">
        <v>3311</v>
      </c>
      <c r="B1589" t="s">
        <v>3312</v>
      </c>
      <c r="C1589">
        <v>-23.305</v>
      </c>
      <c r="D1589">
        <v>145.01472200000001</v>
      </c>
      <c r="E1589" t="str">
        <f>RIGHT(Airports[[#This Row],[ICAO]],3)</f>
        <v>ONE</v>
      </c>
      <c r="F1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t="s">
        <v>3313</v>
      </c>
      <c r="B1590" t="s">
        <v>3314</v>
      </c>
      <c r="C1590">
        <v>-27.56</v>
      </c>
      <c r="D1590">
        <v>135.44499999999999</v>
      </c>
      <c r="E1590" t="str">
        <f>RIGHT(Airports[[#This Row],[ICAO]],3)</f>
        <v>OOD</v>
      </c>
      <c r="F1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t="s">
        <v>3315</v>
      </c>
      <c r="B1591" t="s">
        <v>3316</v>
      </c>
      <c r="C1591">
        <v>-30.618333</v>
      </c>
      <c r="D1591">
        <v>130.40611100000001</v>
      </c>
      <c r="E1591" t="str">
        <f>RIGHT(Airports[[#This Row],[ICAO]],3)</f>
        <v>OOK</v>
      </c>
      <c r="F1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t="s">
        <v>3317</v>
      </c>
      <c r="B1592" t="s">
        <v>3318</v>
      </c>
      <c r="C1592">
        <v>-28.099443999999998</v>
      </c>
      <c r="D1592">
        <v>140.196944</v>
      </c>
      <c r="E1592" t="str">
        <f>RIGHT(Airports[[#This Row],[ICAO]],3)</f>
        <v>OOM</v>
      </c>
      <c r="F1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t="s">
        <v>3319</v>
      </c>
      <c r="B1593" t="s">
        <v>3320</v>
      </c>
      <c r="C1593">
        <v>-16.333333</v>
      </c>
      <c r="D1593">
        <v>131.5</v>
      </c>
      <c r="E1593" t="str">
        <f>RIGHT(Airports[[#This Row],[ICAO]],3)</f>
        <v>OOO</v>
      </c>
      <c r="F1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t="s">
        <v>3321</v>
      </c>
      <c r="B1594" t="s">
        <v>3322</v>
      </c>
      <c r="C1594">
        <v>-12.580556</v>
      </c>
      <c r="D1594">
        <v>131.72999999999999</v>
      </c>
      <c r="F1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t="s">
        <v>3323</v>
      </c>
      <c r="B1595" t="s">
        <v>3324</v>
      </c>
      <c r="C1595">
        <v>-18.634443999999998</v>
      </c>
      <c r="D1595">
        <v>146.493056</v>
      </c>
      <c r="E1595" t="str">
        <f>RIGHT(Airports[[#This Row],[ICAO]],3)</f>
        <v>OPH</v>
      </c>
      <c r="F15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t="s">
        <v>3325</v>
      </c>
      <c r="B1596" t="s">
        <v>3326</v>
      </c>
      <c r="C1596">
        <v>-24.833333</v>
      </c>
      <c r="D1596">
        <v>149.48333299999999</v>
      </c>
      <c r="E1596" t="str">
        <f>RIGHT(Airports[[#This Row],[ICAO]],3)</f>
        <v>OPK</v>
      </c>
      <c r="F15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t="s">
        <v>3327</v>
      </c>
      <c r="B1597" t="s">
        <v>3328</v>
      </c>
      <c r="C1597">
        <v>-31.693055999999999</v>
      </c>
      <c r="D1597">
        <v>126.58805599999999</v>
      </c>
      <c r="E1597" t="str">
        <f>RIGHT(Airports[[#This Row],[ICAO]],3)</f>
        <v>ORA</v>
      </c>
      <c r="F15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t="s">
        <v>3329</v>
      </c>
      <c r="B1598" t="s">
        <v>3330</v>
      </c>
      <c r="C1598">
        <v>-37.790278000000001</v>
      </c>
      <c r="D1598">
        <v>148.609722</v>
      </c>
      <c r="E1598" t="str">
        <f>RIGHT(Airports[[#This Row],[ICAO]],3)</f>
        <v>ORB</v>
      </c>
      <c r="F15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t="s">
        <v>3331</v>
      </c>
      <c r="B1599" t="s">
        <v>3332</v>
      </c>
      <c r="C1599">
        <v>-24.95</v>
      </c>
      <c r="D1599">
        <v>153.30000000000001</v>
      </c>
      <c r="E1599" t="str">
        <f>RIGHT(Airports[[#This Row],[ICAO]],3)</f>
        <v>ORC</v>
      </c>
      <c r="F15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t="s">
        <v>3333</v>
      </c>
      <c r="B1600" t="s">
        <v>3334</v>
      </c>
      <c r="C1600">
        <v>-33.378056000000001</v>
      </c>
      <c r="D1600">
        <v>149.12555599999999</v>
      </c>
      <c r="E1600" t="str">
        <f>RIGHT(Airports[[#This Row],[ICAO]],3)</f>
        <v>ORG</v>
      </c>
      <c r="F16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t="s">
        <v>3335</v>
      </c>
      <c r="B1601" t="s">
        <v>3336</v>
      </c>
      <c r="C1601">
        <v>-33.783056000000002</v>
      </c>
      <c r="D1601">
        <v>122.94972199999999</v>
      </c>
      <c r="E1601" t="str">
        <f>RIGHT(Airports[[#This Row],[ICAO]],3)</f>
        <v>ORL</v>
      </c>
      <c r="F16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t="s">
        <v>3337</v>
      </c>
      <c r="B1602" t="s">
        <v>3338</v>
      </c>
      <c r="C1602">
        <v>-14.816667000000001</v>
      </c>
      <c r="D1602">
        <v>133.69999999999999</v>
      </c>
      <c r="E1602" t="str">
        <f>RIGHT(Airports[[#This Row],[ICAO]],3)</f>
        <v>ORO</v>
      </c>
      <c r="F16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t="s">
        <v>3339</v>
      </c>
      <c r="B1603" t="s">
        <v>3340</v>
      </c>
      <c r="C1603">
        <v>-32.791666999999997</v>
      </c>
      <c r="D1603">
        <v>138.66666699999999</v>
      </c>
      <c r="E1603" t="str">
        <f>RIGHT(Airports[[#This Row],[ICAO]],3)</f>
        <v>ORR</v>
      </c>
      <c r="F16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t="s">
        <v>3341</v>
      </c>
      <c r="B1604" t="s">
        <v>3330</v>
      </c>
      <c r="C1604">
        <v>-37.712499999999999</v>
      </c>
      <c r="D1604">
        <v>148.453889</v>
      </c>
      <c r="E1604" t="str">
        <f>RIGHT(Airports[[#This Row],[ICAO]],3)</f>
        <v>ORS</v>
      </c>
      <c r="F16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t="s">
        <v>3342</v>
      </c>
      <c r="B1605" t="s">
        <v>3343</v>
      </c>
      <c r="C1605">
        <v>-21.905833000000001</v>
      </c>
      <c r="D1605">
        <v>136.068333</v>
      </c>
      <c r="E1605" t="str">
        <f>RIGHT(Airports[[#This Row],[ICAO]],3)</f>
        <v>ORT</v>
      </c>
      <c r="F16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t="s">
        <v>3344</v>
      </c>
      <c r="B1606" t="s">
        <v>3345</v>
      </c>
      <c r="C1606">
        <v>-28.616667</v>
      </c>
      <c r="D1606">
        <v>151.11666700000001</v>
      </c>
      <c r="E1606" t="str">
        <f>RIGHT(Airports[[#This Row],[ICAO]],3)</f>
        <v>ORU</v>
      </c>
      <c r="F16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t="s">
        <v>3346</v>
      </c>
      <c r="B1607" t="s">
        <v>3347</v>
      </c>
      <c r="C1607">
        <v>-17.340833</v>
      </c>
      <c r="D1607">
        <v>128.91166699999999</v>
      </c>
      <c r="E1607" t="str">
        <f>RIGHT(Airports[[#This Row],[ICAO]],3)</f>
        <v>ORV</v>
      </c>
      <c r="F16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t="s">
        <v>3348</v>
      </c>
      <c r="B1608" t="s">
        <v>3349</v>
      </c>
      <c r="C1608">
        <v>-29.199166999999999</v>
      </c>
      <c r="D1608">
        <v>121.438056</v>
      </c>
      <c r="E1608" t="str">
        <f>RIGHT(Airports[[#This Row],[ICAO]],3)</f>
        <v>ORW</v>
      </c>
      <c r="F16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t="s">
        <v>3350</v>
      </c>
      <c r="B1609" t="s">
        <v>3351</v>
      </c>
      <c r="C1609">
        <v>-22.081666999999999</v>
      </c>
      <c r="D1609">
        <v>140.556667</v>
      </c>
      <c r="E1609" t="str">
        <f>RIGHT(Airports[[#This Row],[ICAO]],3)</f>
        <v>OSB</v>
      </c>
      <c r="F16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t="s">
        <v>3352</v>
      </c>
      <c r="B1610" t="s">
        <v>3353</v>
      </c>
      <c r="C1610">
        <v>-14.358611</v>
      </c>
      <c r="D1610">
        <v>126.016667</v>
      </c>
      <c r="E1610" t="str">
        <f>RIGHT(Airports[[#This Row],[ICAO]],3)</f>
        <v>OSI</v>
      </c>
      <c r="F16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t="s">
        <v>3354</v>
      </c>
      <c r="B1611" t="s">
        <v>3355</v>
      </c>
      <c r="C1611">
        <v>-23.831666999999999</v>
      </c>
      <c r="D1611">
        <v>150.806667</v>
      </c>
      <c r="E1611" t="str">
        <f>RIGHT(Airports[[#This Row],[ICAO]],3)</f>
        <v>OSN</v>
      </c>
      <c r="F16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t="s">
        <v>3356</v>
      </c>
      <c r="B1612" t="s">
        <v>3357</v>
      </c>
      <c r="C1612">
        <v>-17.443055999999999</v>
      </c>
      <c r="D1612">
        <v>144.64500000000001</v>
      </c>
      <c r="E1612" t="str">
        <f>RIGHT(Airports[[#This Row],[ICAO]],3)</f>
        <v>OTN</v>
      </c>
      <c r="F16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t="s">
        <v>3358</v>
      </c>
      <c r="B1613" t="s">
        <v>3359</v>
      </c>
      <c r="C1613">
        <v>-28.614722</v>
      </c>
      <c r="D1613">
        <v>118.841667</v>
      </c>
      <c r="E1613" t="str">
        <f>RIGHT(Airports[[#This Row],[ICAO]],3)</f>
        <v>OUN</v>
      </c>
      <c r="F16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t="s">
        <v>3360</v>
      </c>
      <c r="B1614" t="s">
        <v>3361</v>
      </c>
      <c r="C1614">
        <v>-35.088611</v>
      </c>
      <c r="D1614">
        <v>142.35472200000001</v>
      </c>
      <c r="E1614" t="str">
        <f>RIGHT(Airports[[#This Row],[ICAO]],3)</f>
        <v>OUY</v>
      </c>
      <c r="F16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t="s">
        <v>3362</v>
      </c>
      <c r="B1615" t="s">
        <v>3363</v>
      </c>
      <c r="C1615">
        <v>-27.569444000000001</v>
      </c>
      <c r="D1615">
        <v>152.975278</v>
      </c>
      <c r="E1615" t="str">
        <f>RIGHT(Airports[[#This Row],[ICAO]],3)</f>
        <v>OXL</v>
      </c>
      <c r="F16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t="s">
        <v>3364</v>
      </c>
      <c r="B1616" t="s">
        <v>3365</v>
      </c>
      <c r="C1616">
        <v>-25.236667000000001</v>
      </c>
      <c r="D1616">
        <v>152.54333299999999</v>
      </c>
      <c r="E1616" t="str">
        <f>RIGHT(Airports[[#This Row],[ICAO]],3)</f>
        <v>PAC</v>
      </c>
      <c r="G1616" s="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t="s">
        <v>3366</v>
      </c>
      <c r="B1617" t="s">
        <v>3367</v>
      </c>
      <c r="C1617">
        <v>-34.945</v>
      </c>
      <c r="D1617">
        <v>138.53055599999999</v>
      </c>
      <c r="F161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t="s">
        <v>3368</v>
      </c>
      <c r="B1618" t="s">
        <v>3369</v>
      </c>
      <c r="C1618">
        <v>-32.506943999999997</v>
      </c>
      <c r="D1618">
        <v>137.716667</v>
      </c>
      <c r="E1618" t="str">
        <f>RIGHT(Airports[[#This Row],[ICAO]],3)</f>
        <v>PAG</v>
      </c>
      <c r="G1618" s="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t="s">
        <v>3370</v>
      </c>
      <c r="B1619" t="s">
        <v>3371</v>
      </c>
      <c r="C1619">
        <v>-14.078611</v>
      </c>
      <c r="D1619">
        <v>143.63305600000001</v>
      </c>
      <c r="E1619" t="str">
        <f>RIGHT(Airports[[#This Row],[ICAO]],3)</f>
        <v>PAK</v>
      </c>
      <c r="G1619" s="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t="s">
        <v>3372</v>
      </c>
      <c r="B1620" t="s">
        <v>3373</v>
      </c>
      <c r="C1620">
        <v>-16.107500000000002</v>
      </c>
      <c r="D1620">
        <v>144.776667</v>
      </c>
      <c r="E1620" t="str">
        <f>RIGHT(Airports[[#This Row],[ICAO]],3)</f>
        <v>PAL</v>
      </c>
      <c r="G1620" s="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t="s">
        <v>3374</v>
      </c>
      <c r="B1621" t="s">
        <v>3375</v>
      </c>
      <c r="C1621">
        <v>-18.755278000000001</v>
      </c>
      <c r="D1621">
        <v>146.581389</v>
      </c>
      <c r="E1621" t="str">
        <f>RIGHT(Airports[[#This Row],[ICAO]],3)</f>
        <v>PAM</v>
      </c>
      <c r="G1621" s="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t="s">
        <v>3376</v>
      </c>
      <c r="B1622" t="s">
        <v>3377</v>
      </c>
      <c r="C1622">
        <v>-23.321667000000001</v>
      </c>
      <c r="D1622">
        <v>150.36333300000001</v>
      </c>
      <c r="E1622" t="str">
        <f>RIGHT(Airports[[#This Row],[ICAO]],3)</f>
        <v>PAN</v>
      </c>
      <c r="G1622" s="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t="s">
        <v>3378</v>
      </c>
      <c r="B1623" t="s">
        <v>3379</v>
      </c>
      <c r="C1623">
        <v>-43.104444000000001</v>
      </c>
      <c r="D1623">
        <v>147.85916700000001</v>
      </c>
      <c r="E1623" t="str">
        <f>RIGHT(Airports[[#This Row],[ICAO]],3)</f>
        <v>PAR</v>
      </c>
      <c r="G1623" s="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t="s">
        <v>3380</v>
      </c>
      <c r="B1624" t="s">
        <v>3381</v>
      </c>
      <c r="C1624">
        <v>-10.191388999999999</v>
      </c>
      <c r="D1624">
        <v>142.34138899999999</v>
      </c>
      <c r="E1624" t="str">
        <f>RIGHT(Airports[[#This Row],[ICAO]],3)</f>
        <v>PAU</v>
      </c>
      <c r="G1624" s="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t="s">
        <v>3382</v>
      </c>
      <c r="B1625" t="s">
        <v>3383</v>
      </c>
      <c r="C1625">
        <v>-23.241111</v>
      </c>
      <c r="D1625">
        <v>131.90694400000001</v>
      </c>
      <c r="E1625" t="str">
        <f>RIGHT(Airports[[#This Row],[ICAO]],3)</f>
        <v>PAY</v>
      </c>
      <c r="G1625" s="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t="s">
        <v>3384</v>
      </c>
      <c r="B1626" t="s">
        <v>3385</v>
      </c>
      <c r="C1626">
        <v>-38.606667000000002</v>
      </c>
      <c r="D1626">
        <v>142.90611100000001</v>
      </c>
      <c r="E1626" t="str">
        <f>RIGHT(Airports[[#This Row],[ICAO]],3)</f>
        <v>PBH</v>
      </c>
      <c r="G1626" s="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t="s">
        <v>3386</v>
      </c>
      <c r="B1627" t="s">
        <v>3387</v>
      </c>
      <c r="C1627">
        <v>-11.223889</v>
      </c>
      <c r="D1627">
        <v>132.26750000000001</v>
      </c>
      <c r="E1627" t="str">
        <f>RIGHT(Airports[[#This Row],[ICAO]],3)</f>
        <v>PBM</v>
      </c>
      <c r="G1627" s="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t="s">
        <v>3388</v>
      </c>
      <c r="B1628" t="s">
        <v>3389</v>
      </c>
      <c r="C1628">
        <v>-33.598610999999998</v>
      </c>
      <c r="D1628">
        <v>137.93472199999999</v>
      </c>
      <c r="E1628" t="str">
        <f>RIGHT(Airports[[#This Row],[ICAO]],3)</f>
        <v>PBN</v>
      </c>
      <c r="G1628" s="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t="s">
        <v>3390</v>
      </c>
      <c r="B1629" t="s">
        <v>3391</v>
      </c>
      <c r="C1629">
        <v>-23.171111</v>
      </c>
      <c r="D1629">
        <v>117.745278</v>
      </c>
      <c r="E1629" t="str">
        <f>RIGHT(Airports[[#This Row],[ICAO]],3)</f>
        <v>PBO</v>
      </c>
      <c r="G1629" s="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t="s">
        <v>3392</v>
      </c>
      <c r="B1630" t="s">
        <v>3393</v>
      </c>
      <c r="C1630">
        <v>-12.188611</v>
      </c>
      <c r="D1630">
        <v>96.830556000000001</v>
      </c>
      <c r="F1630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t="s">
        <v>3394</v>
      </c>
      <c r="B1631" t="s">
        <v>3395</v>
      </c>
      <c r="C1631">
        <v>-33.373055999999998</v>
      </c>
      <c r="D1631">
        <v>142.58500000000001</v>
      </c>
      <c r="E1631" t="str">
        <f>RIGHT(Airports[[#This Row],[ICAO]],3)</f>
        <v>PCE</v>
      </c>
      <c r="G1631" s="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t="s">
        <v>3396</v>
      </c>
      <c r="B1632" t="s">
        <v>3397</v>
      </c>
      <c r="C1632">
        <v>-35.369999999999997</v>
      </c>
      <c r="D1632">
        <v>142.19388900000001</v>
      </c>
      <c r="E1632" t="str">
        <f>RIGHT(Airports[[#This Row],[ICAO]],3)</f>
        <v>PCH</v>
      </c>
      <c r="G1632" s="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t="s">
        <v>3398</v>
      </c>
      <c r="B1633" t="s">
        <v>3399</v>
      </c>
      <c r="C1633">
        <v>-11.766389</v>
      </c>
      <c r="D1633">
        <v>130.86666700000001</v>
      </c>
      <c r="E1633" t="str">
        <f>RIGHT(Airports[[#This Row],[ICAO]],3)</f>
        <v>PCM</v>
      </c>
      <c r="G1633" s="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t="s">
        <v>3400</v>
      </c>
      <c r="B1634" t="s">
        <v>3401</v>
      </c>
      <c r="C1634">
        <v>-28.2</v>
      </c>
      <c r="D1634">
        <v>120.433333</v>
      </c>
      <c r="E1634" t="str">
        <f>RIGHT(Airports[[#This Row],[ICAO]],3)</f>
        <v>PCS</v>
      </c>
      <c r="G1634" s="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t="s">
        <v>3402</v>
      </c>
      <c r="B1635" t="s">
        <v>3403</v>
      </c>
      <c r="C1635">
        <v>-11.35</v>
      </c>
      <c r="D1635">
        <v>132.583056</v>
      </c>
      <c r="E1635" t="str">
        <f>RIGHT(Airports[[#This Row],[ICAO]],3)</f>
        <v>PDD</v>
      </c>
      <c r="G1635" s="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t="s">
        <v>3404</v>
      </c>
      <c r="B1636" t="s">
        <v>3405</v>
      </c>
      <c r="C1636">
        <v>-35.206944</v>
      </c>
      <c r="D1636">
        <v>149.670556</v>
      </c>
      <c r="E1636" t="str">
        <f>RIGHT(Airports[[#This Row],[ICAO]],3)</f>
        <v>PDF</v>
      </c>
      <c r="G1636" s="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t="s">
        <v>3406</v>
      </c>
      <c r="B1637" t="s">
        <v>3407</v>
      </c>
      <c r="C1637">
        <v>-26.118333</v>
      </c>
      <c r="D1637">
        <v>139.40027799999999</v>
      </c>
      <c r="E1637" t="str">
        <f>RIGHT(Airports[[#This Row],[ICAO]],3)</f>
        <v>PDI</v>
      </c>
      <c r="G1637" s="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t="s">
        <v>3408</v>
      </c>
      <c r="B1638" t="s">
        <v>3409</v>
      </c>
      <c r="C1638">
        <v>-31.783055999999998</v>
      </c>
      <c r="D1638">
        <v>115.8</v>
      </c>
      <c r="E1638" t="str">
        <f>RIGHT(Airports[[#This Row],[ICAO]],3)</f>
        <v>PDK</v>
      </c>
      <c r="G1638" s="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t="s">
        <v>3410</v>
      </c>
      <c r="B1639" t="s">
        <v>3411</v>
      </c>
      <c r="C1639">
        <v>-12.414721999999999</v>
      </c>
      <c r="D1639">
        <v>130.876667</v>
      </c>
      <c r="F163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t="s">
        <v>3412</v>
      </c>
      <c r="B1640" t="s">
        <v>3413</v>
      </c>
      <c r="C1640">
        <v>-20.116667</v>
      </c>
      <c r="D1640">
        <v>119.583333</v>
      </c>
      <c r="E1640" t="str">
        <f>RIGHT(Airports[[#This Row],[ICAO]],3)</f>
        <v>PDO</v>
      </c>
      <c r="G1640" s="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t="s">
        <v>3414</v>
      </c>
      <c r="B1641" t="s">
        <v>3415</v>
      </c>
      <c r="C1641">
        <v>-24.538889000000001</v>
      </c>
      <c r="D1641">
        <v>148.89444399999999</v>
      </c>
      <c r="E1641" t="str">
        <f>RIGHT(Airports[[#This Row],[ICAO]],3)</f>
        <v>PDS</v>
      </c>
      <c r="G1641" s="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t="s">
        <v>3416</v>
      </c>
      <c r="B1642" t="s">
        <v>3417</v>
      </c>
      <c r="C1642">
        <v>-36.610556000000003</v>
      </c>
      <c r="D1642">
        <v>140.50194400000001</v>
      </c>
      <c r="E1642" t="str">
        <f>RIGHT(Airports[[#This Row],[ICAO]],3)</f>
        <v>PDY</v>
      </c>
      <c r="G1642" s="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t="s">
        <v>3418</v>
      </c>
      <c r="B1643" t="s">
        <v>3419</v>
      </c>
      <c r="C1643">
        <v>-31.667777999999998</v>
      </c>
      <c r="D1643">
        <v>116.015</v>
      </c>
      <c r="E1643" t="str">
        <f>RIGHT(Airports[[#This Row],[ICAO]],3)</f>
        <v>PEA</v>
      </c>
      <c r="G1643" s="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t="s">
        <v>3420</v>
      </c>
      <c r="B1644" t="s">
        <v>3421</v>
      </c>
      <c r="C1644">
        <v>-34.702500000000001</v>
      </c>
      <c r="D1644">
        <v>138.620833</v>
      </c>
      <c r="F1644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t="s">
        <v>3422</v>
      </c>
      <c r="B1645" t="s">
        <v>3423</v>
      </c>
      <c r="C1645">
        <v>-37.513333000000003</v>
      </c>
      <c r="D1645">
        <v>144.69833299999999</v>
      </c>
      <c r="E1645" t="str">
        <f>RIGHT(Airports[[#This Row],[ICAO]],3)</f>
        <v>PEF</v>
      </c>
      <c r="G1645" s="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t="s">
        <v>3424</v>
      </c>
      <c r="B1646" t="s">
        <v>3425</v>
      </c>
      <c r="C1646">
        <v>-28.828333000000001</v>
      </c>
      <c r="D1646">
        <v>118.83</v>
      </c>
      <c r="E1646" t="str">
        <f>RIGHT(Airports[[#This Row],[ICAO]],3)</f>
        <v>PEN</v>
      </c>
      <c r="G1646" s="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t="s">
        <v>3426</v>
      </c>
      <c r="B1647" t="s">
        <v>3427</v>
      </c>
      <c r="C1647">
        <v>-14.144166999999999</v>
      </c>
      <c r="D1647">
        <v>130.09055599999999</v>
      </c>
      <c r="E1647" t="str">
        <f>RIGHT(Airports[[#This Row],[ICAO]],3)</f>
        <v>PEP</v>
      </c>
      <c r="G1647" s="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t="s">
        <v>3428</v>
      </c>
      <c r="B1648" t="s">
        <v>3429</v>
      </c>
      <c r="C1648">
        <v>-35.343611000000003</v>
      </c>
      <c r="D1648">
        <v>149.91638900000001</v>
      </c>
      <c r="E1648" t="str">
        <f>RIGHT(Airports[[#This Row],[ICAO]],3)</f>
        <v>PER</v>
      </c>
      <c r="G1648" s="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t="s">
        <v>3430</v>
      </c>
      <c r="B1649" t="s">
        <v>3431</v>
      </c>
      <c r="C1649">
        <v>-33.833333000000003</v>
      </c>
      <c r="D1649">
        <v>142.651667</v>
      </c>
      <c r="E1649" t="str">
        <f>RIGHT(Airports[[#This Row],[ICAO]],3)</f>
        <v>PET</v>
      </c>
      <c r="G1649" s="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t="s">
        <v>3432</v>
      </c>
      <c r="B1650" t="s">
        <v>3433</v>
      </c>
      <c r="C1650">
        <v>-38.361944000000001</v>
      </c>
      <c r="D1650">
        <v>142.264444</v>
      </c>
      <c r="E1650" t="str">
        <f>RIGHT(Airports[[#This Row],[ICAO]],3)</f>
        <v>PFA</v>
      </c>
      <c r="G1650" s="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t="s">
        <v>3434</v>
      </c>
      <c r="B1651" t="s">
        <v>3435</v>
      </c>
      <c r="C1651">
        <v>-33.020000000000003</v>
      </c>
      <c r="D1651">
        <v>115.701667</v>
      </c>
      <c r="G1651" s="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t="s">
        <v>3436</v>
      </c>
      <c r="B1652" t="s">
        <v>3437</v>
      </c>
      <c r="C1652">
        <v>-36.229166999999997</v>
      </c>
      <c r="D1652">
        <v>149.14944399999999</v>
      </c>
      <c r="E1652" t="str">
        <f>RIGHT(Airports[[#This Row],[ICAO]],3)</f>
        <v>PFT</v>
      </c>
      <c r="G1652" s="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t="s">
        <v>3438</v>
      </c>
      <c r="B1653" t="s">
        <v>3439</v>
      </c>
      <c r="C1653">
        <v>-16.816666999999999</v>
      </c>
      <c r="D1653">
        <v>131.216667</v>
      </c>
      <c r="E1653" t="str">
        <f>RIGHT(Airports[[#This Row],[ICAO]],3)</f>
        <v>PGH</v>
      </c>
      <c r="G1653" s="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t="s">
        <v>3440</v>
      </c>
      <c r="B1654" t="s">
        <v>3441</v>
      </c>
      <c r="C1654">
        <v>-12.269166999999999</v>
      </c>
      <c r="D1654">
        <v>136.818333</v>
      </c>
      <c r="F1654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t="s">
        <v>3442</v>
      </c>
      <c r="B1655" t="s">
        <v>3443</v>
      </c>
      <c r="C1655">
        <v>-38.628889000000001</v>
      </c>
      <c r="D1655">
        <v>143.04055600000001</v>
      </c>
      <c r="E1655" t="str">
        <f>RIGHT(Airports[[#This Row],[ICAO]],3)</f>
        <v>PHP</v>
      </c>
      <c r="G1655" s="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t="s">
        <v>3444</v>
      </c>
      <c r="B1656" t="s">
        <v>3445</v>
      </c>
      <c r="C1656">
        <v>-22.386944</v>
      </c>
      <c r="D1656">
        <v>133.06027800000001</v>
      </c>
      <c r="E1656" t="str">
        <f>RIGHT(Airports[[#This Row],[ICAO]],3)</f>
        <v>PHS</v>
      </c>
      <c r="G1656" s="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t="s">
        <v>3446</v>
      </c>
      <c r="B1657" t="s">
        <v>3447</v>
      </c>
      <c r="C1657">
        <v>-11.699722</v>
      </c>
      <c r="D1657">
        <v>130.19972200000001</v>
      </c>
      <c r="E1657" t="str">
        <f>RIGHT(Airports[[#This Row],[ICAO]],3)</f>
        <v>PHU</v>
      </c>
      <c r="G1657" s="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t="s">
        <v>3448</v>
      </c>
      <c r="B1658" t="s">
        <v>3449</v>
      </c>
      <c r="C1658">
        <v>-19.616667</v>
      </c>
      <c r="D1658">
        <v>146.53055599999999</v>
      </c>
      <c r="E1658" t="str">
        <f>RIGHT(Airports[[#This Row],[ICAO]],3)</f>
        <v>PIC</v>
      </c>
      <c r="G1658" s="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t="s">
        <v>3450</v>
      </c>
      <c r="B1659" t="s">
        <v>3451</v>
      </c>
      <c r="C1659">
        <v>-38.520000000000003</v>
      </c>
      <c r="D1659">
        <v>145.32666699999999</v>
      </c>
      <c r="E1659" t="str">
        <f>RIGHT(Airports[[#This Row],[ICAO]],3)</f>
        <v>PID</v>
      </c>
      <c r="G1659" s="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t="s">
        <v>3452</v>
      </c>
      <c r="B1660" t="s">
        <v>3453</v>
      </c>
      <c r="C1660">
        <v>-15.6875</v>
      </c>
      <c r="D1660">
        <v>143.56305599999999</v>
      </c>
      <c r="E1660" t="str">
        <f>RIGHT(Airports[[#This Row],[ICAO]],3)</f>
        <v>PIN</v>
      </c>
      <c r="G1660" s="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t="s">
        <v>3454</v>
      </c>
      <c r="B1661" t="s">
        <v>3455</v>
      </c>
      <c r="C1661">
        <v>-33.377499999999998</v>
      </c>
      <c r="D1661">
        <v>149.519722</v>
      </c>
      <c r="E1661" t="str">
        <f>RIGHT(Airports[[#This Row],[ICAO]],3)</f>
        <v>PIP</v>
      </c>
      <c r="G1661" s="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t="s">
        <v>3456</v>
      </c>
      <c r="B1662" t="s">
        <v>3457</v>
      </c>
      <c r="C1662">
        <v>-33.238889</v>
      </c>
      <c r="D1662">
        <v>137.995</v>
      </c>
      <c r="E1662" t="str">
        <f>RIGHT(Airports[[#This Row],[ICAO]],3)</f>
        <v>PIR</v>
      </c>
      <c r="G1662" s="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t="s">
        <v>3458</v>
      </c>
      <c r="B1663" t="s">
        <v>3459</v>
      </c>
      <c r="C1663">
        <v>-27.191666999999999</v>
      </c>
      <c r="D1663">
        <v>116.291389</v>
      </c>
      <c r="E1663" t="str">
        <f>RIGHT(Airports[[#This Row],[ICAO]],3)</f>
        <v>PIX</v>
      </c>
      <c r="G1663" s="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t="s">
        <v>3460</v>
      </c>
      <c r="B1664" t="s">
        <v>3461</v>
      </c>
      <c r="C1664">
        <v>-29.423055999999999</v>
      </c>
      <c r="D1664">
        <v>116.280278</v>
      </c>
      <c r="E1664" t="str">
        <f>RIGHT(Airports[[#This Row],[ICAO]],3)</f>
        <v>PJI</v>
      </c>
      <c r="G1664" s="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t="s">
        <v>3462</v>
      </c>
      <c r="B1665" t="s">
        <v>3463</v>
      </c>
      <c r="C1665">
        <v>-15.952500000000001</v>
      </c>
      <c r="D1665">
        <v>125.053611</v>
      </c>
      <c r="E1665" t="str">
        <f>RIGHT(Airports[[#This Row],[ICAO]],3)</f>
        <v>PJN</v>
      </c>
      <c r="G1665" s="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t="s">
        <v>3464</v>
      </c>
      <c r="B1666" t="s">
        <v>3465</v>
      </c>
      <c r="C1666">
        <v>-32.097499999999997</v>
      </c>
      <c r="D1666">
        <v>115.881111</v>
      </c>
      <c r="F1666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t="s">
        <v>3466</v>
      </c>
      <c r="B1667" t="s">
        <v>3467</v>
      </c>
      <c r="C1667">
        <v>-20.712222000000001</v>
      </c>
      <c r="D1667">
        <v>116.77333299999999</v>
      </c>
      <c r="F166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t="s">
        <v>3468</v>
      </c>
      <c r="B1668" t="s">
        <v>3469</v>
      </c>
      <c r="C1668">
        <v>-28.25</v>
      </c>
      <c r="D1668">
        <v>135.899722</v>
      </c>
      <c r="E1668" t="str">
        <f>RIGHT(Airports[[#This Row],[ICAO]],3)</f>
        <v>PKE</v>
      </c>
      <c r="G1668" s="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t="s">
        <v>3470</v>
      </c>
      <c r="B1669" t="s">
        <v>3471</v>
      </c>
      <c r="C1669">
        <v>-30.789444</v>
      </c>
      <c r="D1669">
        <v>121.46166700000001</v>
      </c>
      <c r="F166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t="s">
        <v>3472</v>
      </c>
      <c r="B1670" t="s">
        <v>3473</v>
      </c>
      <c r="C1670">
        <v>-32.730556</v>
      </c>
      <c r="D1670">
        <v>148.211389</v>
      </c>
      <c r="E1670" t="str">
        <f>RIGHT(Airports[[#This Row],[ICAO]],3)</f>
        <v>PKH</v>
      </c>
      <c r="G1670" s="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t="s">
        <v>3474</v>
      </c>
      <c r="B1671" t="s">
        <v>3475</v>
      </c>
      <c r="C1671">
        <v>-30.399722000000001</v>
      </c>
      <c r="D1671">
        <v>136.391389</v>
      </c>
      <c r="E1671" t="str">
        <f>RIGHT(Airports[[#This Row],[ICAO]],3)</f>
        <v>PKI</v>
      </c>
      <c r="G1671" s="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t="s">
        <v>3476</v>
      </c>
      <c r="B1672" t="s">
        <v>3477</v>
      </c>
      <c r="C1672">
        <v>-36.999443999999997</v>
      </c>
      <c r="D1672">
        <v>145.06277800000001</v>
      </c>
      <c r="E1672" t="str">
        <f>RIGHT(Airports[[#This Row],[ICAO]],3)</f>
        <v>PKL</v>
      </c>
      <c r="G1672" s="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t="s">
        <v>3478</v>
      </c>
      <c r="B1673" t="s">
        <v>3479</v>
      </c>
      <c r="C1673">
        <v>-33.131388999999999</v>
      </c>
      <c r="D1673">
        <v>148.23916700000001</v>
      </c>
      <c r="E1673" t="str">
        <f>RIGHT(Airports[[#This Row],[ICAO]],3)</f>
        <v>PKS</v>
      </c>
      <c r="G1673" s="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t="s">
        <v>3480</v>
      </c>
      <c r="B1674" t="s">
        <v>3481</v>
      </c>
      <c r="C1674">
        <v>-14.25</v>
      </c>
      <c r="D1674">
        <v>129.529167</v>
      </c>
      <c r="E1674" t="str">
        <f>RIGHT(Airports[[#This Row],[ICAO]],3)</f>
        <v>PKT</v>
      </c>
      <c r="G1674" s="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t="s">
        <v>3482</v>
      </c>
      <c r="B1675" t="s">
        <v>3483</v>
      </c>
      <c r="C1675">
        <v>-15.778055999999999</v>
      </c>
      <c r="D1675">
        <v>128.70750000000001</v>
      </c>
      <c r="E1675" t="str">
        <f>RIGHT(Airports[[#This Row],[ICAO]],3)</f>
        <v>PKU</v>
      </c>
      <c r="G1675" s="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t="s">
        <v>3484</v>
      </c>
      <c r="B1676" t="s">
        <v>3485</v>
      </c>
      <c r="C1676">
        <v>-19.996110999999999</v>
      </c>
      <c r="D1676">
        <v>115.368611</v>
      </c>
      <c r="E1676" t="str">
        <f>RIGHT(Airports[[#This Row],[ICAO]],3)</f>
        <v>PLA</v>
      </c>
      <c r="G1676" s="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t="s">
        <v>3486</v>
      </c>
      <c r="B1677" t="s">
        <v>3487</v>
      </c>
      <c r="C1677">
        <v>-33.605277999999998</v>
      </c>
      <c r="D1677">
        <v>151.3175</v>
      </c>
      <c r="E1677" t="str">
        <f>RIGHT(Airports[[#This Row],[ICAO]],3)</f>
        <v>PLB</v>
      </c>
      <c r="G1677" s="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t="s">
        <v>3488</v>
      </c>
      <c r="B1678" t="s">
        <v>3489</v>
      </c>
      <c r="C1678">
        <v>-34.605277999999998</v>
      </c>
      <c r="D1678">
        <v>135.880278</v>
      </c>
      <c r="E1678" t="str">
        <f>RIGHT(Airports[[#This Row],[ICAO]],3)</f>
        <v>PLC</v>
      </c>
      <c r="G1678" s="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t="s">
        <v>3490</v>
      </c>
      <c r="B1679" t="s">
        <v>3491</v>
      </c>
      <c r="C1679">
        <v>-29.445277999999998</v>
      </c>
      <c r="D1679">
        <v>153.26666700000001</v>
      </c>
      <c r="E1679" t="str">
        <f>RIGHT(Airports[[#This Row],[ICAO]],3)</f>
        <v>PLI</v>
      </c>
      <c r="G1679" s="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t="s">
        <v>3492</v>
      </c>
      <c r="B1680" t="s">
        <v>3493</v>
      </c>
      <c r="C1680">
        <v>-22.235555999999999</v>
      </c>
      <c r="D1680">
        <v>114.088611</v>
      </c>
      <c r="F1680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t="s">
        <v>3494</v>
      </c>
      <c r="B1681" t="s">
        <v>3495</v>
      </c>
      <c r="C1681">
        <v>-31.043889</v>
      </c>
      <c r="D1681">
        <v>152.93611100000001</v>
      </c>
      <c r="E1681" t="str">
        <f>RIGHT(Airports[[#This Row],[ICAO]],3)</f>
        <v>PLS</v>
      </c>
      <c r="G1681" s="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t="s">
        <v>3496</v>
      </c>
      <c r="B1682" t="s">
        <v>3497</v>
      </c>
      <c r="C1682">
        <v>-27.427778</v>
      </c>
      <c r="D1682">
        <v>153.52194399999999</v>
      </c>
      <c r="E1682" t="str">
        <f>RIGHT(Airports[[#This Row],[ICAO]],3)</f>
        <v>PLT</v>
      </c>
      <c r="G1682" s="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t="s">
        <v>3498</v>
      </c>
      <c r="B1683" t="s">
        <v>3499</v>
      </c>
      <c r="C1683">
        <v>-25.316666999999999</v>
      </c>
      <c r="D1683">
        <v>119.423333</v>
      </c>
      <c r="E1683" t="str">
        <f>RIGHT(Airports[[#This Row],[ICAO]],3)</f>
        <v>PLU</v>
      </c>
      <c r="G1683" s="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t="s">
        <v>3500</v>
      </c>
      <c r="B1684" t="s">
        <v>3501</v>
      </c>
      <c r="C1684">
        <v>-32.053055999999998</v>
      </c>
      <c r="D1684">
        <v>139.871667</v>
      </c>
      <c r="E1684" t="str">
        <f>RIGHT(Airports[[#This Row],[ICAO]],3)</f>
        <v>PMB</v>
      </c>
      <c r="G1684" s="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t="s">
        <v>3502</v>
      </c>
      <c r="B1685" t="s">
        <v>3503</v>
      </c>
      <c r="C1685">
        <v>-29.717777999999999</v>
      </c>
      <c r="D1685">
        <v>135.52444399999999</v>
      </c>
      <c r="E1685" t="str">
        <f>RIGHT(Airports[[#This Row],[ICAO]],3)</f>
        <v>PMH</v>
      </c>
      <c r="G1685" s="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t="s">
        <v>3504</v>
      </c>
      <c r="B1686" t="s">
        <v>3505</v>
      </c>
      <c r="C1686">
        <v>-14.897500000000001</v>
      </c>
      <c r="D1686">
        <v>141.61083300000001</v>
      </c>
      <c r="E1686" t="str">
        <f>RIGHT(Airports[[#This Row],[ICAO]],3)</f>
        <v>PMP</v>
      </c>
      <c r="G1686" s="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t="s">
        <v>3506</v>
      </c>
      <c r="B1687" t="s">
        <v>3507</v>
      </c>
      <c r="C1687">
        <v>-31.435832999999999</v>
      </c>
      <c r="D1687">
        <v>152.86333300000001</v>
      </c>
      <c r="E1687" t="str">
        <f>RIGHT(Airports[[#This Row],[ICAO]],3)</f>
        <v>PMQ</v>
      </c>
      <c r="G1687" s="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t="s">
        <v>3508</v>
      </c>
      <c r="B1688" t="s">
        <v>3509</v>
      </c>
      <c r="C1688">
        <v>-18.038333000000002</v>
      </c>
      <c r="D1688">
        <v>144.88333299999999</v>
      </c>
      <c r="E1688" t="str">
        <f>RIGHT(Airports[[#This Row],[ICAO]],3)</f>
        <v>PNA</v>
      </c>
      <c r="G1688" s="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t="s">
        <v>3510</v>
      </c>
      <c r="B1689" t="s">
        <v>3511</v>
      </c>
      <c r="C1689">
        <v>-20.533332999999999</v>
      </c>
      <c r="D1689">
        <v>145.36666700000001</v>
      </c>
      <c r="E1689" t="str">
        <f>RIGHT(Airports[[#This Row],[ICAO]],3)</f>
        <v>PND</v>
      </c>
      <c r="G1689" s="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t="s">
        <v>3512</v>
      </c>
      <c r="B1690" t="s">
        <v>3513</v>
      </c>
      <c r="C1690">
        <v>-31.920278</v>
      </c>
      <c r="D1690">
        <v>133.005278</v>
      </c>
      <c r="E1690" t="str">
        <f>RIGHT(Airports[[#This Row],[ICAO]],3)</f>
        <v>PNG</v>
      </c>
      <c r="G1690" s="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t="s">
        <v>3514</v>
      </c>
      <c r="B1691" t="s">
        <v>3515</v>
      </c>
      <c r="C1691">
        <v>-26.518332999999998</v>
      </c>
      <c r="D1691">
        <v>122.811667</v>
      </c>
      <c r="E1691" t="str">
        <f>RIGHT(Airports[[#This Row],[ICAO]],3)</f>
        <v>PNI</v>
      </c>
      <c r="G1691" s="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t="s">
        <v>3516</v>
      </c>
      <c r="B1692" t="s">
        <v>3517</v>
      </c>
      <c r="C1692">
        <v>-35.258333</v>
      </c>
      <c r="D1692">
        <v>140.94472200000001</v>
      </c>
      <c r="E1692" t="str">
        <f>RIGHT(Airports[[#This Row],[ICAO]],3)</f>
        <v>PNN</v>
      </c>
      <c r="G1692" s="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t="s">
        <v>3518</v>
      </c>
      <c r="B1693" t="s">
        <v>3519</v>
      </c>
      <c r="C1693">
        <v>-30.260278</v>
      </c>
      <c r="D1693">
        <v>151.629167</v>
      </c>
      <c r="E1693" t="str">
        <f>RIGHT(Airports[[#This Row],[ICAO]],3)</f>
        <v>PNR</v>
      </c>
      <c r="G1693" s="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t="s">
        <v>3520</v>
      </c>
      <c r="B1694" t="s">
        <v>3521</v>
      </c>
      <c r="C1694">
        <v>-21.649722000000001</v>
      </c>
      <c r="D1694">
        <v>116.3</v>
      </c>
      <c r="E1694" t="str">
        <f>RIGHT(Airports[[#This Row],[ICAO]],3)</f>
        <v>PNW</v>
      </c>
      <c r="G1694" s="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t="s">
        <v>3522</v>
      </c>
      <c r="B1695" t="s">
        <v>3523</v>
      </c>
      <c r="C1695">
        <v>-31.429444</v>
      </c>
      <c r="D1695">
        <v>140.424722</v>
      </c>
      <c r="E1695" t="str">
        <f>RIGHT(Airports[[#This Row],[ICAO]],3)</f>
        <v>POA</v>
      </c>
      <c r="G1695" s="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t="s">
        <v>3524</v>
      </c>
      <c r="B1696" t="s">
        <v>3525</v>
      </c>
      <c r="C1696">
        <v>-38.318055999999999</v>
      </c>
      <c r="D1696">
        <v>141.47111100000001</v>
      </c>
      <c r="E1696" t="str">
        <f>RIGHT(Airports[[#This Row],[ICAO]],3)</f>
        <v>POD</v>
      </c>
      <c r="G1696" s="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t="s">
        <v>3526</v>
      </c>
      <c r="B1697" t="s">
        <v>3527</v>
      </c>
      <c r="C1697">
        <v>-36.717778000000003</v>
      </c>
      <c r="D1697">
        <v>146.88999999999999</v>
      </c>
      <c r="E1697" t="str">
        <f>RIGHT(Airports[[#This Row],[ICAO]],3)</f>
        <v>POK</v>
      </c>
      <c r="G1697" s="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t="s">
        <v>3528</v>
      </c>
      <c r="B1698" t="s">
        <v>3529</v>
      </c>
      <c r="C1698">
        <v>-29.7775</v>
      </c>
      <c r="D1698">
        <v>122.2675</v>
      </c>
      <c r="E1698" t="str">
        <f>RIGHT(Airports[[#This Row],[ICAO]],3)</f>
        <v>POP</v>
      </c>
      <c r="G1698" s="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t="s">
        <v>3530</v>
      </c>
      <c r="B1699" t="s">
        <v>3531</v>
      </c>
      <c r="C1699">
        <v>-16.95</v>
      </c>
      <c r="D1699">
        <v>145.75805600000001</v>
      </c>
      <c r="E1699" t="str">
        <f>RIGHT(Airports[[#This Row],[ICAO]],3)</f>
        <v>POT</v>
      </c>
      <c r="G1699" s="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t="s">
        <v>3532</v>
      </c>
      <c r="B1700" t="s">
        <v>3533</v>
      </c>
      <c r="C1700">
        <v>-24.816666999999999</v>
      </c>
      <c r="D1700">
        <v>141.46638899999999</v>
      </c>
      <c r="E1700" t="str">
        <f>RIGHT(Airports[[#This Row],[ICAO]],3)</f>
        <v>PPA</v>
      </c>
      <c r="G1700" s="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t="s">
        <v>3534</v>
      </c>
      <c r="B1701" t="s">
        <v>3535</v>
      </c>
      <c r="C1701">
        <v>-20.377777999999999</v>
      </c>
      <c r="D1701">
        <v>118.626389</v>
      </c>
      <c r="F170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t="s">
        <v>3536</v>
      </c>
      <c r="B1702" t="s">
        <v>3537</v>
      </c>
      <c r="C1702">
        <v>-34.793332999999997</v>
      </c>
      <c r="D1702">
        <v>138.63305600000001</v>
      </c>
      <c r="E1702" t="str">
        <f>RIGHT(Airports[[#This Row],[ICAO]],3)</f>
        <v>PPF</v>
      </c>
      <c r="G1702" s="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t="s">
        <v>3538</v>
      </c>
      <c r="B1703" t="s">
        <v>3539</v>
      </c>
      <c r="C1703">
        <v>-31.940277999999999</v>
      </c>
      <c r="D1703">
        <v>115.966944</v>
      </c>
      <c r="F1703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t="s">
        <v>3540</v>
      </c>
      <c r="B1704" t="s">
        <v>3541</v>
      </c>
      <c r="C1704">
        <v>-13.153333</v>
      </c>
      <c r="D1704">
        <v>142.77694399999999</v>
      </c>
      <c r="E1704" t="str">
        <f>RIGHT(Airports[[#This Row],[ICAO]],3)</f>
        <v>PPS</v>
      </c>
      <c r="G1704" s="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t="s">
        <v>3542</v>
      </c>
      <c r="B1705" t="s">
        <v>3543</v>
      </c>
      <c r="C1705">
        <v>-27.387778000000001</v>
      </c>
      <c r="D1705">
        <v>153.02444399999999</v>
      </c>
      <c r="E1705" t="str">
        <f>RIGHT(Airports[[#This Row],[ICAO]],3)</f>
        <v>PRC</v>
      </c>
      <c r="G1705" s="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t="s">
        <v>3544</v>
      </c>
      <c r="B1706" t="s">
        <v>3545</v>
      </c>
      <c r="C1706">
        <v>-27.500278000000002</v>
      </c>
      <c r="D1706">
        <v>153.03388899999999</v>
      </c>
      <c r="E1706" t="str">
        <f>RIGHT(Airports[[#This Row],[ICAO]],3)</f>
        <v>PRI</v>
      </c>
      <c r="G1706" s="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t="s">
        <v>3546</v>
      </c>
      <c r="B1707" t="s">
        <v>3547</v>
      </c>
      <c r="C1707">
        <v>-12.557221999999999</v>
      </c>
      <c r="D1707">
        <v>143.121667</v>
      </c>
      <c r="E1707" t="str">
        <f>RIGHT(Airports[[#This Row],[ICAO]],3)</f>
        <v>PRV</v>
      </c>
      <c r="G1707" s="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t="s">
        <v>3548</v>
      </c>
      <c r="B1708" t="s">
        <v>3549</v>
      </c>
      <c r="C1708">
        <v>-10.720556</v>
      </c>
      <c r="D1708">
        <v>142.46388899999999</v>
      </c>
      <c r="E1708" t="str">
        <f>RIGHT(Airports[[#This Row],[ICAO]],3)</f>
        <v>PSB</v>
      </c>
      <c r="G1708" s="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t="s">
        <v>3550</v>
      </c>
      <c r="B1709" t="s">
        <v>3551</v>
      </c>
      <c r="C1709">
        <v>-40.498333000000002</v>
      </c>
      <c r="D1709">
        <v>148.33666700000001</v>
      </c>
      <c r="E1709" t="str">
        <f>RIGHT(Airports[[#This Row],[ICAO]],3)</f>
        <v>PSI</v>
      </c>
      <c r="G1709" s="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t="s">
        <v>3552</v>
      </c>
      <c r="B1710" t="s">
        <v>3553</v>
      </c>
      <c r="C1710">
        <v>-36.405278000000003</v>
      </c>
      <c r="D1710">
        <v>148.41472200000001</v>
      </c>
      <c r="E1710" t="str">
        <f>RIGHT(Airports[[#This Row],[ICAO]],3)</f>
        <v>PSR</v>
      </c>
      <c r="G1710" s="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t="s">
        <v>3554</v>
      </c>
      <c r="B1711" t="s">
        <v>3555</v>
      </c>
      <c r="C1711">
        <v>-33.005000000000003</v>
      </c>
      <c r="D1711">
        <v>138.848333</v>
      </c>
      <c r="E1711" t="str">
        <f>RIGHT(Airports[[#This Row],[ICAO]],3)</f>
        <v>PTB</v>
      </c>
      <c r="G1711" s="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t="s">
        <v>3556</v>
      </c>
      <c r="B1712" t="s">
        <v>3557</v>
      </c>
      <c r="C1712">
        <v>-16.483332999999998</v>
      </c>
      <c r="D1712">
        <v>145.458056</v>
      </c>
      <c r="E1712" t="str">
        <f>RIGHT(Airports[[#This Row],[ICAO]],3)</f>
        <v>PTD</v>
      </c>
      <c r="G1712" s="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t="s">
        <v>3558</v>
      </c>
      <c r="B1713" t="s">
        <v>3559</v>
      </c>
      <c r="C1713">
        <v>-15.383333</v>
      </c>
      <c r="D1713">
        <v>124.666667</v>
      </c>
      <c r="E1713" t="str">
        <f>RIGHT(Airports[[#This Row],[ICAO]],3)</f>
        <v>PTG</v>
      </c>
      <c r="G1713" s="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t="s">
        <v>3560</v>
      </c>
      <c r="B1714" t="s">
        <v>3561</v>
      </c>
      <c r="C1714">
        <v>-24.613056</v>
      </c>
      <c r="D1714">
        <v>126.32333300000001</v>
      </c>
      <c r="E1714" t="str">
        <f>RIGHT(Airports[[#This Row],[ICAO]],3)</f>
        <v>PTJ</v>
      </c>
      <c r="G1714" s="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t="s">
        <v>3562</v>
      </c>
      <c r="B1715" t="s">
        <v>3563</v>
      </c>
      <c r="C1715">
        <v>-24.133056</v>
      </c>
      <c r="D1715">
        <v>144.583056</v>
      </c>
      <c r="E1715" t="str">
        <f>RIGHT(Airports[[#This Row],[ICAO]],3)</f>
        <v>PTL</v>
      </c>
      <c r="G1715" s="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t="s">
        <v>3564</v>
      </c>
      <c r="B1716" t="s">
        <v>3565</v>
      </c>
      <c r="C1716">
        <v>-14.521110999999999</v>
      </c>
      <c r="D1716">
        <v>132.37777800000001</v>
      </c>
      <c r="F1716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t="s">
        <v>3566</v>
      </c>
      <c r="B1717" t="s">
        <v>3567</v>
      </c>
      <c r="C1717">
        <v>-38.316389000000001</v>
      </c>
      <c r="D1717">
        <v>144.71638899999999</v>
      </c>
      <c r="E1717" t="str">
        <f>RIGHT(Airports[[#This Row],[ICAO]],3)</f>
        <v>PTS</v>
      </c>
      <c r="G1717" s="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t="s">
        <v>3568</v>
      </c>
      <c r="B1718" t="s">
        <v>3569</v>
      </c>
      <c r="C1718">
        <v>-31.483332999999998</v>
      </c>
      <c r="D1718">
        <v>137.48333299999999</v>
      </c>
      <c r="E1718" t="str">
        <f>RIGHT(Airports[[#This Row],[ICAO]],3)</f>
        <v>PTT</v>
      </c>
      <c r="G1718" s="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t="s">
        <v>3570</v>
      </c>
      <c r="B1719" t="s">
        <v>3571</v>
      </c>
      <c r="C1719">
        <v>-14.339444</v>
      </c>
      <c r="D1719">
        <v>129.86444399999999</v>
      </c>
      <c r="E1719" t="str">
        <f>RIGHT(Airports[[#This Row],[ICAO]],3)</f>
        <v>PUA</v>
      </c>
      <c r="G1719" s="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t="s">
        <v>3572</v>
      </c>
      <c r="B1720" t="s">
        <v>3573</v>
      </c>
      <c r="C1720">
        <v>-16.721944000000001</v>
      </c>
      <c r="D1720">
        <v>137.42333300000001</v>
      </c>
      <c r="E1720" t="str">
        <f>RIGHT(Airports[[#This Row],[ICAO]],3)</f>
        <v>PUG</v>
      </c>
      <c r="G1720" s="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t="s">
        <v>3574</v>
      </c>
      <c r="B1721" t="s">
        <v>3575</v>
      </c>
      <c r="C1721">
        <v>-19.444444000000001</v>
      </c>
      <c r="D1721">
        <v>146.41111100000001</v>
      </c>
      <c r="E1721" t="str">
        <f>RIGHT(Airports[[#This Row],[ICAO]],3)</f>
        <v>PUK</v>
      </c>
      <c r="G1721" s="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t="s">
        <v>3576</v>
      </c>
      <c r="B1722" t="s">
        <v>3577</v>
      </c>
      <c r="C1722">
        <v>-22.066666999999999</v>
      </c>
      <c r="D1722">
        <v>123.166389</v>
      </c>
      <c r="E1722" t="str">
        <f>RIGHT(Airports[[#This Row],[ICAO]],3)</f>
        <v>PUN</v>
      </c>
      <c r="G1722" s="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t="s">
        <v>3578</v>
      </c>
      <c r="B1723" t="s">
        <v>3579</v>
      </c>
      <c r="C1723">
        <v>-26.645833</v>
      </c>
      <c r="D1723">
        <v>142.595</v>
      </c>
      <c r="E1723" t="str">
        <f>RIGHT(Airports[[#This Row],[ICAO]],3)</f>
        <v>PVD</v>
      </c>
      <c r="G1723" s="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t="s">
        <v>3580</v>
      </c>
      <c r="B1724" t="s">
        <v>3581</v>
      </c>
      <c r="C1724">
        <v>-16</v>
      </c>
      <c r="D1724">
        <v>144.06638899999999</v>
      </c>
      <c r="E1724" t="str">
        <f>RIGHT(Airports[[#This Row],[ICAO]],3)</f>
        <v>PVI</v>
      </c>
      <c r="G1724" s="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t="s">
        <v>3582</v>
      </c>
      <c r="B1725" t="s">
        <v>3583</v>
      </c>
      <c r="C1725">
        <v>-21.213332999999999</v>
      </c>
      <c r="D1725">
        <v>149.026667</v>
      </c>
      <c r="E1725" t="str">
        <f>RIGHT(Airports[[#This Row],[ICAO]],3)</f>
        <v>PVP</v>
      </c>
      <c r="G1725" s="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t="s">
        <v>3584</v>
      </c>
      <c r="B1726" t="s">
        <v>3585</v>
      </c>
      <c r="C1726">
        <v>-34.186667</v>
      </c>
      <c r="D1726">
        <v>138.16305600000001</v>
      </c>
      <c r="E1726" t="str">
        <f>RIGHT(Airports[[#This Row],[ICAO]],3)</f>
        <v>PWF</v>
      </c>
      <c r="G1726" s="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t="s">
        <v>3586</v>
      </c>
      <c r="B1727" t="s">
        <v>3587</v>
      </c>
      <c r="C1727">
        <v>-27.733332999999998</v>
      </c>
      <c r="D1727">
        <v>151.63333299999999</v>
      </c>
      <c r="E1727" t="str">
        <f>RIGHT(Airports[[#This Row],[ICAO]],3)</f>
        <v>PWH</v>
      </c>
      <c r="G1727" s="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t="s">
        <v>3588</v>
      </c>
      <c r="B1728" t="s">
        <v>3589</v>
      </c>
      <c r="C1728">
        <v>-31.144166999999999</v>
      </c>
      <c r="D1728">
        <v>136.81694400000001</v>
      </c>
      <c r="F1728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t="s">
        <v>3590</v>
      </c>
      <c r="B1729" t="s">
        <v>3591</v>
      </c>
      <c r="C1729">
        <v>-10.450556000000001</v>
      </c>
      <c r="D1729">
        <v>105.69027800000001</v>
      </c>
      <c r="E1729" t="str">
        <f>RIGHT(Airports[[#This Row],[ICAO]],3)</f>
        <v>PXM</v>
      </c>
      <c r="G1729" s="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t="s">
        <v>3592</v>
      </c>
      <c r="B1730" t="s">
        <v>3593</v>
      </c>
      <c r="C1730">
        <v>-21.211666999999998</v>
      </c>
      <c r="D1730">
        <v>149.07666699999999</v>
      </c>
      <c r="E1730" t="str">
        <f>RIGHT(Airports[[#This Row],[ICAO]],3)</f>
        <v>PYA</v>
      </c>
      <c r="G1730" s="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t="s">
        <v>3594</v>
      </c>
      <c r="B1731" t="s">
        <v>3595</v>
      </c>
      <c r="C1731">
        <v>-36.061388999999998</v>
      </c>
      <c r="D1731">
        <v>144.126667</v>
      </c>
      <c r="E1731" t="str">
        <f>RIGHT(Airports[[#This Row],[ICAO]],3)</f>
        <v>PYD</v>
      </c>
      <c r="G1731" s="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t="s">
        <v>3596</v>
      </c>
      <c r="B1732" t="s">
        <v>3597</v>
      </c>
      <c r="C1732">
        <v>-29.262222000000001</v>
      </c>
      <c r="D1732">
        <v>117.669444</v>
      </c>
      <c r="E1732" t="str">
        <f>RIGHT(Airports[[#This Row],[ICAO]],3)</f>
        <v>PYF</v>
      </c>
      <c r="G1732" s="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t="s">
        <v>3598</v>
      </c>
      <c r="B1733" t="s">
        <v>3599</v>
      </c>
      <c r="C1733">
        <v>-21.539166999999999</v>
      </c>
      <c r="D1733">
        <v>114.115278</v>
      </c>
      <c r="E1733" t="str">
        <f>RIGHT(Airports[[#This Row],[ICAO]],3)</f>
        <v>PYV</v>
      </c>
      <c r="G1733" s="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t="s">
        <v>3600</v>
      </c>
      <c r="B1734" t="s">
        <v>3601</v>
      </c>
      <c r="C1734">
        <v>-30.899722000000001</v>
      </c>
      <c r="D1734">
        <v>147.833056</v>
      </c>
      <c r="E1734" t="str">
        <f>RIGHT(Airports[[#This Row],[ICAO]],3)</f>
        <v>QBE</v>
      </c>
      <c r="F17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t="s">
        <v>3602</v>
      </c>
      <c r="B1735" t="s">
        <v>3603</v>
      </c>
      <c r="C1735">
        <v>-35.853889000000002</v>
      </c>
      <c r="D1735">
        <v>143.51416699999999</v>
      </c>
      <c r="E1735" t="str">
        <f>RIGHT(Airports[[#This Row],[ICAO]],3)</f>
        <v>QBK</v>
      </c>
      <c r="F17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t="s">
        <v>3604</v>
      </c>
      <c r="B1736" t="s">
        <v>3605</v>
      </c>
      <c r="C1736">
        <v>-38.266388999999997</v>
      </c>
      <c r="D1736">
        <v>144.66666699999999</v>
      </c>
      <c r="E1736" t="str">
        <f>RIGHT(Airports[[#This Row],[ICAO]],3)</f>
        <v>QCF</v>
      </c>
      <c r="F17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t="s">
        <v>3606</v>
      </c>
      <c r="B1737" t="s">
        <v>3607</v>
      </c>
      <c r="C1737">
        <v>-23.766667000000002</v>
      </c>
      <c r="D1737">
        <v>151.193611</v>
      </c>
      <c r="E1737" t="str">
        <f>RIGHT(Airports[[#This Row],[ICAO]],3)</f>
        <v>QCI</v>
      </c>
      <c r="F17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t="s">
        <v>3608</v>
      </c>
      <c r="B1738" t="s">
        <v>3609</v>
      </c>
      <c r="C1738">
        <v>-32.006667</v>
      </c>
      <c r="D1738">
        <v>117.41500000000001</v>
      </c>
      <c r="E1738" t="str">
        <f>RIGHT(Airports[[#This Row],[ICAO]],3)</f>
        <v>QDG</v>
      </c>
      <c r="F17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t="s">
        <v>3610</v>
      </c>
      <c r="B1739" t="s">
        <v>3611</v>
      </c>
      <c r="C1739">
        <v>-31.498611</v>
      </c>
      <c r="D1739">
        <v>150.518056</v>
      </c>
      <c r="E1739" t="str">
        <f>RIGHT(Airports[[#This Row],[ICAO]],3)</f>
        <v>QDI</v>
      </c>
      <c r="F17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t="s">
        <v>3612</v>
      </c>
      <c r="B1740" t="s">
        <v>3613</v>
      </c>
      <c r="C1740">
        <v>-26.608611</v>
      </c>
      <c r="D1740">
        <v>144.25722200000001</v>
      </c>
      <c r="E1740" t="str">
        <f>RIGHT(Airports[[#This Row],[ICAO]],3)</f>
        <v>QLP</v>
      </c>
      <c r="F17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t="s">
        <v>3614</v>
      </c>
      <c r="B1741" t="s">
        <v>3615</v>
      </c>
      <c r="C1741">
        <v>-42.075555999999999</v>
      </c>
      <c r="D1741">
        <v>145.530833</v>
      </c>
      <c r="E1741" t="str">
        <f>RIGHT(Airports[[#This Row],[ICAO]],3)</f>
        <v>QNS</v>
      </c>
      <c r="F17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t="s">
        <v>3616</v>
      </c>
      <c r="B1742" t="s">
        <v>3617</v>
      </c>
      <c r="C1742">
        <v>-32.32</v>
      </c>
      <c r="D1742">
        <v>138.10166699999999</v>
      </c>
      <c r="E1742" t="str">
        <f>RIGHT(Airports[[#This Row],[ICAO]],3)</f>
        <v>QRN</v>
      </c>
      <c r="F17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t="s">
        <v>3618</v>
      </c>
      <c r="B1743" t="s">
        <v>3619</v>
      </c>
      <c r="C1743">
        <v>-32.403055999999999</v>
      </c>
      <c r="D1743">
        <v>151.016111</v>
      </c>
      <c r="E1743" t="str">
        <f>RIGHT(Airports[[#This Row],[ICAO]],3)</f>
        <v>RAC</v>
      </c>
      <c r="F17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t="s">
        <v>3620</v>
      </c>
      <c r="B1744" t="s">
        <v>3621</v>
      </c>
      <c r="C1744">
        <v>-11.63</v>
      </c>
      <c r="D1744">
        <v>130.301389</v>
      </c>
      <c r="E1744" t="str">
        <f>RIGHT(Airports[[#This Row],[ICAO]],3)</f>
        <v>RAK</v>
      </c>
      <c r="F17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t="s">
        <v>3622</v>
      </c>
      <c r="B1745" t="s">
        <v>3623</v>
      </c>
      <c r="C1745">
        <v>-26.133333</v>
      </c>
      <c r="D1745">
        <v>143.02527799999999</v>
      </c>
      <c r="E1745" t="str">
        <f>RIGHT(Airports[[#This Row],[ICAO]],3)</f>
        <v>RAM</v>
      </c>
      <c r="F17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t="s">
        <v>3624</v>
      </c>
      <c r="B1746" t="s">
        <v>3625</v>
      </c>
      <c r="C1746">
        <v>-16.920832999999998</v>
      </c>
      <c r="D1746">
        <v>145.77888899999999</v>
      </c>
      <c r="E1746" t="str">
        <f>RIGHT(Airports[[#This Row],[ICAO]],3)</f>
        <v>RAP</v>
      </c>
      <c r="F17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t="s">
        <v>3626</v>
      </c>
      <c r="B1747" t="s">
        <v>3627</v>
      </c>
      <c r="C1747">
        <v>-29.305555999999999</v>
      </c>
      <c r="D1747">
        <v>149.697778</v>
      </c>
      <c r="E1747" t="str">
        <f>RIGHT(Airports[[#This Row],[ICAO]],3)</f>
        <v>RAR</v>
      </c>
      <c r="F17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t="s">
        <v>3628</v>
      </c>
      <c r="B1748" t="s">
        <v>3629</v>
      </c>
      <c r="C1748">
        <v>-28.72</v>
      </c>
      <c r="D1748">
        <v>113.783889</v>
      </c>
      <c r="E1748" t="str">
        <f>RIGHT(Airports[[#This Row],[ICAO]],3)</f>
        <v>RAT</v>
      </c>
      <c r="F17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t="s">
        <v>3630</v>
      </c>
      <c r="B1749" t="s">
        <v>3631</v>
      </c>
      <c r="C1749">
        <v>-31.016667000000002</v>
      </c>
      <c r="D1749">
        <v>125.325</v>
      </c>
      <c r="E1749" t="str">
        <f>RIGHT(Airports[[#This Row],[ICAO]],3)</f>
        <v>RAW</v>
      </c>
      <c r="F17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t="s">
        <v>3632</v>
      </c>
      <c r="B1750" t="s">
        <v>3633</v>
      </c>
      <c r="C1750">
        <v>-33.869999999999997</v>
      </c>
      <c r="D1750">
        <v>151.26305600000001</v>
      </c>
      <c r="E1750" t="str">
        <f>RIGHT(Airports[[#This Row],[ICAO]],3)</f>
        <v>RAY</v>
      </c>
      <c r="F17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t="s">
        <v>3634</v>
      </c>
      <c r="B1751" t="s">
        <v>3635</v>
      </c>
      <c r="C1751">
        <v>-25.855</v>
      </c>
      <c r="D1751">
        <v>153.070278</v>
      </c>
      <c r="E1751" t="str">
        <f>RIGHT(Airports[[#This Row],[ICAO]],3)</f>
        <v>RBB</v>
      </c>
      <c r="F17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t="s">
        <v>3636</v>
      </c>
      <c r="B1752" t="s">
        <v>3637</v>
      </c>
      <c r="C1752">
        <v>-27.45</v>
      </c>
      <c r="D1752">
        <v>153.02777800000001</v>
      </c>
      <c r="E1752" t="str">
        <f>RIGHT(Airports[[#This Row],[ICAO]],3)</f>
        <v>RBC</v>
      </c>
      <c r="F17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t="s">
        <v>3638</v>
      </c>
      <c r="B1753" t="s">
        <v>3639</v>
      </c>
      <c r="C1753">
        <v>-37.176389</v>
      </c>
      <c r="D1753">
        <v>139.80444399999999</v>
      </c>
      <c r="E1753" t="str">
        <f>RIGHT(Airports[[#This Row],[ICAO]],3)</f>
        <v>RBE</v>
      </c>
      <c r="F17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t="s">
        <v>3640</v>
      </c>
      <c r="B1754" t="s">
        <v>3641</v>
      </c>
      <c r="C1754">
        <v>-27.446943999999998</v>
      </c>
      <c r="D1754">
        <v>153.028333</v>
      </c>
      <c r="E1754" t="str">
        <f>RIGHT(Airports[[#This Row],[ICAO]],3)</f>
        <v>RBH</v>
      </c>
      <c r="F17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t="s">
        <v>3642</v>
      </c>
      <c r="B1755" t="s">
        <v>3643</v>
      </c>
      <c r="C1755">
        <v>-12.425000000000001</v>
      </c>
      <c r="D1755">
        <v>130.973333</v>
      </c>
      <c r="E1755" t="str">
        <f>RIGHT(Airports[[#This Row],[ICAO]],3)</f>
        <v>RBK</v>
      </c>
      <c r="F17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t="s">
        <v>3644</v>
      </c>
      <c r="B1756" t="s">
        <v>3645</v>
      </c>
      <c r="C1756">
        <v>-17.183056000000001</v>
      </c>
      <c r="D1756">
        <v>137.766389</v>
      </c>
      <c r="E1756" t="str">
        <f>RIGHT(Airports[[#This Row],[ICAO]],3)</f>
        <v>RBM</v>
      </c>
      <c r="F17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t="s">
        <v>3646</v>
      </c>
      <c r="B1757" t="s">
        <v>3647</v>
      </c>
      <c r="C1757">
        <v>-16.718333000000001</v>
      </c>
      <c r="D1757">
        <v>136.94499999999999</v>
      </c>
      <c r="E1757" t="str">
        <f>RIGHT(Airports[[#This Row],[ICAO]],3)</f>
        <v>RBR</v>
      </c>
      <c r="F17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t="s">
        <v>3648</v>
      </c>
      <c r="B1758" t="s">
        <v>3649</v>
      </c>
      <c r="C1758">
        <v>-20.216667000000001</v>
      </c>
      <c r="D1758">
        <v>130</v>
      </c>
      <c r="E1758" t="str">
        <f>RIGHT(Airports[[#This Row],[ICAO]],3)</f>
        <v>RBT</v>
      </c>
      <c r="F17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t="s">
        <v>3650</v>
      </c>
      <c r="B1759" t="s">
        <v>3651</v>
      </c>
      <c r="C1759">
        <v>-13.643333</v>
      </c>
      <c r="D1759">
        <v>142.641111</v>
      </c>
      <c r="E1759" t="str">
        <f>RIGHT(Airports[[#This Row],[ICAO]],3)</f>
        <v>RBY</v>
      </c>
      <c r="F17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t="s">
        <v>3652</v>
      </c>
      <c r="B1760" t="s">
        <v>3653</v>
      </c>
      <c r="C1760">
        <v>-27.578889</v>
      </c>
      <c r="D1760">
        <v>153.130833</v>
      </c>
      <c r="E1760" t="str">
        <f>RIGHT(Airports[[#This Row],[ICAO]],3)</f>
        <v>RCD</v>
      </c>
      <c r="F17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t="s">
        <v>3654</v>
      </c>
      <c r="B1761" t="s">
        <v>3655</v>
      </c>
      <c r="C1761">
        <v>-27.579671999999999</v>
      </c>
      <c r="D1761">
        <v>152.856559</v>
      </c>
      <c r="E1761" t="str">
        <f>RIGHT(Airports[[#This Row],[ICAO]],3)</f>
        <v>RDF</v>
      </c>
      <c r="F17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t="s">
        <v>3656</v>
      </c>
      <c r="B1762" t="s">
        <v>3657</v>
      </c>
      <c r="C1762">
        <v>-21.966667000000001</v>
      </c>
      <c r="D1762">
        <v>119.016667</v>
      </c>
      <c r="E1762" t="str">
        <f>RIGHT(Airports[[#This Row],[ICAO]],3)</f>
        <v>RDM</v>
      </c>
      <c r="F17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t="s">
        <v>3658</v>
      </c>
      <c r="B1763" t="s">
        <v>3659</v>
      </c>
      <c r="C1763">
        <v>-17.129166999999999</v>
      </c>
      <c r="D1763">
        <v>144.39611099999999</v>
      </c>
      <c r="E1763" t="str">
        <f>RIGHT(Airports[[#This Row],[ICAO]],3)</f>
        <v>RDN</v>
      </c>
      <c r="F17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t="s">
        <v>3660</v>
      </c>
      <c r="B1764" t="s">
        <v>3661</v>
      </c>
      <c r="C1764">
        <v>-20.024999999999999</v>
      </c>
      <c r="D1764">
        <v>116.31</v>
      </c>
      <c r="E1764" t="str">
        <f>RIGHT(Airports[[#This Row],[ICAO]],3)</f>
        <v>RDP</v>
      </c>
      <c r="F17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t="s">
        <v>3662</v>
      </c>
      <c r="B1765" t="s">
        <v>3663</v>
      </c>
      <c r="C1765">
        <v>-20.575278000000001</v>
      </c>
      <c r="D1765">
        <v>143.300556</v>
      </c>
      <c r="E1765" t="str">
        <f>RIGHT(Airports[[#This Row],[ICAO]],3)</f>
        <v>RDS</v>
      </c>
      <c r="F17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t="s">
        <v>3664</v>
      </c>
      <c r="B1766" t="s">
        <v>3665</v>
      </c>
      <c r="C1766">
        <v>-27.131388999999999</v>
      </c>
      <c r="D1766">
        <v>118.27972200000001</v>
      </c>
      <c r="E1766" t="str">
        <f>RIGHT(Airports[[#This Row],[ICAO]],3)</f>
        <v>RDY</v>
      </c>
      <c r="F17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t="s">
        <v>3666</v>
      </c>
      <c r="B1767" t="s">
        <v>3667</v>
      </c>
      <c r="C1767">
        <v>-27.206666999999999</v>
      </c>
      <c r="D1767">
        <v>153.067778</v>
      </c>
      <c r="E1767" t="str">
        <f>RIGHT(Airports[[#This Row],[ICAO]],3)</f>
        <v>RED</v>
      </c>
      <c r="F17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t="s">
        <v>3668</v>
      </c>
      <c r="B1768" t="s">
        <v>3669</v>
      </c>
      <c r="C1768">
        <v>-32.558332999999998</v>
      </c>
      <c r="D1768">
        <v>151.95833300000001</v>
      </c>
      <c r="E1768" t="str">
        <f>RIGHT(Airports[[#This Row],[ICAO]],3)</f>
        <v>REM</v>
      </c>
      <c r="F17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t="s">
        <v>3670</v>
      </c>
      <c r="B1769" t="s">
        <v>3671</v>
      </c>
      <c r="C1769">
        <v>-34.196389000000003</v>
      </c>
      <c r="D1769">
        <v>140.673889</v>
      </c>
      <c r="E1769" t="str">
        <f>RIGHT(Airports[[#This Row],[ICAO]],3)</f>
        <v>REN</v>
      </c>
      <c r="F17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t="s">
        <v>3672</v>
      </c>
      <c r="B1770" t="s">
        <v>3673</v>
      </c>
      <c r="C1770">
        <v>-25.216667000000001</v>
      </c>
      <c r="D1770">
        <v>143.30000000000001</v>
      </c>
      <c r="E1770" t="str">
        <f>RIGHT(Airports[[#This Row],[ICAO]],3)</f>
        <v>RES</v>
      </c>
      <c r="F17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t="s">
        <v>3674</v>
      </c>
      <c r="B1771" t="s">
        <v>3675</v>
      </c>
      <c r="C1771">
        <v>-11.272778000000001</v>
      </c>
      <c r="D1771">
        <v>132.385278</v>
      </c>
      <c r="E1771" t="str">
        <f>RIGHT(Airports[[#This Row],[ICAO]],3)</f>
        <v>RFB</v>
      </c>
      <c r="F17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t="s">
        <v>3676</v>
      </c>
      <c r="B1772" t="s">
        <v>3677</v>
      </c>
      <c r="C1772">
        <v>-22.763332999999999</v>
      </c>
      <c r="D1772">
        <v>144.01166699999999</v>
      </c>
      <c r="E1772" t="str">
        <f>RIGHT(Airports[[#This Row],[ICAO]],3)</f>
        <v>RFD</v>
      </c>
      <c r="F17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t="s">
        <v>3678</v>
      </c>
      <c r="B1773" t="s">
        <v>3679</v>
      </c>
      <c r="C1773">
        <v>-37.791666999999997</v>
      </c>
      <c r="D1773">
        <v>144.94972200000001</v>
      </c>
      <c r="E1773" t="str">
        <f>RIGHT(Airports[[#This Row],[ICAO]],3)</f>
        <v>RHO</v>
      </c>
      <c r="F17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t="s">
        <v>3680</v>
      </c>
      <c r="B1774" t="s">
        <v>3681</v>
      </c>
      <c r="C1774">
        <v>-12.008611</v>
      </c>
      <c r="D1774">
        <v>136.46444399999999</v>
      </c>
      <c r="E1774" t="str">
        <f>RIGHT(Airports[[#This Row],[ICAO]],3)</f>
        <v>RIA</v>
      </c>
      <c r="F17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t="s">
        <v>3682</v>
      </c>
      <c r="B1775" t="s">
        <v>3683</v>
      </c>
      <c r="C1775">
        <v>-37.479999999999997</v>
      </c>
      <c r="D1775">
        <v>144.718333</v>
      </c>
      <c r="E1775" t="str">
        <f>RIGHT(Airports[[#This Row],[ICAO]],3)</f>
        <v>RID</v>
      </c>
      <c r="F17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t="s">
        <v>3684</v>
      </c>
      <c r="B1776" t="s">
        <v>3685</v>
      </c>
      <c r="C1776">
        <v>-31.177778</v>
      </c>
      <c r="D1776">
        <v>147.89833300000001</v>
      </c>
      <c r="E1776" t="str">
        <f>RIGHT(Airports[[#This Row],[ICAO]],3)</f>
        <v>RIM</v>
      </c>
      <c r="F17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t="s">
        <v>3686</v>
      </c>
      <c r="B1777" t="s">
        <v>3687</v>
      </c>
      <c r="C1777">
        <v>-13.1</v>
      </c>
      <c r="D1777">
        <v>131.35</v>
      </c>
      <c r="E1777" t="str">
        <f>RIGHT(Airports[[#This Row],[ICAO]],3)</f>
        <v>RIN</v>
      </c>
      <c r="F17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t="s">
        <v>3688</v>
      </c>
      <c r="B1778" t="s">
        <v>3689</v>
      </c>
      <c r="C1778">
        <v>-27.549721999999999</v>
      </c>
      <c r="D1778">
        <v>152.391389</v>
      </c>
      <c r="E1778" t="str">
        <f>RIGHT(Airports[[#This Row],[ICAO]],3)</f>
        <v>RIO</v>
      </c>
      <c r="F17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t="s">
        <v>3690</v>
      </c>
      <c r="B1779" t="s">
        <v>3691</v>
      </c>
      <c r="C1779">
        <v>-42.910556</v>
      </c>
      <c r="D1779">
        <v>147.45750000000001</v>
      </c>
      <c r="E1779" t="str">
        <f>RIGHT(Airports[[#This Row],[ICAO]],3)</f>
        <v>RKB</v>
      </c>
      <c r="F17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t="s">
        <v>3692</v>
      </c>
      <c r="B1780" t="s">
        <v>3693</v>
      </c>
      <c r="C1780">
        <v>-18.95</v>
      </c>
      <c r="D1780">
        <v>135.19972200000001</v>
      </c>
      <c r="E1780" t="str">
        <f>RIGHT(Airports[[#This Row],[ICAO]],3)</f>
        <v>RKD</v>
      </c>
      <c r="F17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t="s">
        <v>3694</v>
      </c>
      <c r="B1781" t="s">
        <v>3695</v>
      </c>
      <c r="C1781">
        <v>-31.671666999999999</v>
      </c>
      <c r="D1781">
        <v>138.63583299999999</v>
      </c>
      <c r="E1781" t="str">
        <f>RIGHT(Airports[[#This Row],[ICAO]],3)</f>
        <v>RKP</v>
      </c>
      <c r="F17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t="s">
        <v>3696</v>
      </c>
      <c r="B1782" t="s">
        <v>3697</v>
      </c>
      <c r="C1782">
        <v>-19.869721999999999</v>
      </c>
      <c r="D1782">
        <v>138.104444</v>
      </c>
      <c r="E1782" t="str">
        <f>RIGHT(Airports[[#This Row],[ICAO]],3)</f>
        <v>RKS</v>
      </c>
      <c r="F17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t="s">
        <v>3698</v>
      </c>
      <c r="B1783" t="s">
        <v>3699</v>
      </c>
      <c r="C1783">
        <v>-22.883056</v>
      </c>
      <c r="D1783">
        <v>117.44972199999999</v>
      </c>
      <c r="E1783" t="str">
        <f>RIGHT(Airports[[#This Row],[ICAO]],3)</f>
        <v>RLE</v>
      </c>
      <c r="F17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t="s">
        <v>3700</v>
      </c>
      <c r="B1784" t="s">
        <v>3701</v>
      </c>
      <c r="C1784">
        <v>-19.033055999999998</v>
      </c>
      <c r="D1784">
        <v>138.73333299999999</v>
      </c>
      <c r="E1784" t="str">
        <f>RIGHT(Airports[[#This Row],[ICAO]],3)</f>
        <v>RLH</v>
      </c>
      <c r="F17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t="s">
        <v>3702</v>
      </c>
      <c r="B1785" t="s">
        <v>3703</v>
      </c>
      <c r="C1785">
        <v>-24.461666999999998</v>
      </c>
      <c r="D1785">
        <v>148.62722199999999</v>
      </c>
      <c r="E1785" t="str">
        <f>RIGHT(Airports[[#This Row],[ICAO]],3)</f>
        <v>RLL</v>
      </c>
      <c r="F17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t="s">
        <v>3704</v>
      </c>
      <c r="B1786" t="s">
        <v>3705</v>
      </c>
      <c r="C1786">
        <v>-35.024999999999999</v>
      </c>
      <c r="D1786">
        <v>139.183333</v>
      </c>
      <c r="E1786" t="str">
        <f>RIGHT(Airports[[#This Row],[ICAO]],3)</f>
        <v>RLO</v>
      </c>
      <c r="F17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t="s">
        <v>3706</v>
      </c>
      <c r="B1787" t="s">
        <v>3707</v>
      </c>
      <c r="C1787">
        <v>-20.701944000000001</v>
      </c>
      <c r="D1787">
        <v>143.114722</v>
      </c>
      <c r="E1787" t="str">
        <f>RIGHT(Airports[[#This Row],[ICAO]],3)</f>
        <v>RMD</v>
      </c>
      <c r="F17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t="s">
        <v>3708</v>
      </c>
      <c r="B1788" t="s">
        <v>3709</v>
      </c>
      <c r="C1788">
        <v>-37.799166999999997</v>
      </c>
      <c r="D1788">
        <v>144.95611099999999</v>
      </c>
      <c r="E1788" t="str">
        <f>RIGHT(Airports[[#This Row],[ICAO]],3)</f>
        <v>RMH</v>
      </c>
      <c r="F17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t="s">
        <v>3710</v>
      </c>
      <c r="B1789" t="s">
        <v>3711</v>
      </c>
      <c r="C1789">
        <v>-12.356389</v>
      </c>
      <c r="D1789">
        <v>134.89750000000001</v>
      </c>
      <c r="E1789" t="str">
        <f>RIGHT(Airports[[#This Row],[ICAO]],3)</f>
        <v>RNG</v>
      </c>
      <c r="F17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t="s">
        <v>3712</v>
      </c>
      <c r="B1790" t="s">
        <v>3713</v>
      </c>
      <c r="C1790">
        <v>-23.828610999999999</v>
      </c>
      <c r="D1790">
        <v>134.96166700000001</v>
      </c>
      <c r="E1790" t="str">
        <f>RIGHT(Airports[[#This Row],[ICAO]],3)</f>
        <v>RNW</v>
      </c>
      <c r="F17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t="s">
        <v>3714</v>
      </c>
      <c r="B1791" t="s">
        <v>3715</v>
      </c>
      <c r="C1791">
        <v>-18.848610999999998</v>
      </c>
      <c r="D1791">
        <v>143.71111099999999</v>
      </c>
      <c r="E1791" t="str">
        <f>RIGHT(Airports[[#This Row],[ICAO]],3)</f>
        <v>ROB</v>
      </c>
      <c r="F17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t="s">
        <v>3716</v>
      </c>
      <c r="B1792" t="s">
        <v>3717</v>
      </c>
      <c r="C1792">
        <v>-32.448889000000001</v>
      </c>
      <c r="D1792">
        <v>151.022222</v>
      </c>
      <c r="E1792" t="str">
        <f>RIGHT(Airports[[#This Row],[ICAO]],3)</f>
        <v>ROC</v>
      </c>
      <c r="F17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t="s">
        <v>3718</v>
      </c>
      <c r="B1793" t="s">
        <v>3719</v>
      </c>
      <c r="C1793">
        <v>-20.761389000000001</v>
      </c>
      <c r="D1793">
        <v>117.156111</v>
      </c>
      <c r="E1793" t="str">
        <f>RIGHT(Airports[[#This Row],[ICAO]],3)</f>
        <v>ROE</v>
      </c>
      <c r="F17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t="s">
        <v>3720</v>
      </c>
      <c r="B1794" t="s">
        <v>3721</v>
      </c>
      <c r="C1794">
        <v>-34.650556000000002</v>
      </c>
      <c r="D1794">
        <v>142.78277800000001</v>
      </c>
      <c r="E1794" t="str">
        <f>RIGHT(Airports[[#This Row],[ICAO]],3)</f>
        <v>ROI</v>
      </c>
      <c r="F17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t="s">
        <v>3722</v>
      </c>
      <c r="B1795" t="s">
        <v>3723</v>
      </c>
      <c r="C1795">
        <v>-24.445277999999998</v>
      </c>
      <c r="D1795">
        <v>148.41805600000001</v>
      </c>
      <c r="E1795" t="str">
        <f>RIGHT(Airports[[#This Row],[ICAO]],3)</f>
        <v>ROL</v>
      </c>
      <c r="F17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t="s">
        <v>3724</v>
      </c>
      <c r="B1796" t="s">
        <v>3725</v>
      </c>
      <c r="C1796">
        <v>-26.545278</v>
      </c>
      <c r="D1796">
        <v>148.77500000000001</v>
      </c>
      <c r="E1796" t="str">
        <f>RIGHT(Airports[[#This Row],[ICAO]],3)</f>
        <v>ROM</v>
      </c>
      <c r="F17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t="s">
        <v>3726</v>
      </c>
      <c r="B1797" t="s">
        <v>3727</v>
      </c>
      <c r="C1797">
        <v>-27.218056000000001</v>
      </c>
      <c r="D1797">
        <v>151.69666699999999</v>
      </c>
      <c r="E1797" t="str">
        <f>RIGHT(Airports[[#This Row],[ICAO]],3)</f>
        <v>ROP</v>
      </c>
      <c r="F17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t="s">
        <v>3728</v>
      </c>
      <c r="B1798" t="s">
        <v>3729</v>
      </c>
      <c r="C1798">
        <v>-20.333333</v>
      </c>
      <c r="D1798">
        <v>140.16666699999999</v>
      </c>
      <c r="E1798" t="str">
        <f>RIGHT(Airports[[#This Row],[ICAO]],3)</f>
        <v>ROS</v>
      </c>
      <c r="F17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t="s">
        <v>3730</v>
      </c>
      <c r="B1799" t="s">
        <v>3731</v>
      </c>
      <c r="C1799">
        <v>-29.291388999999999</v>
      </c>
      <c r="D1799">
        <v>116.86666700000001</v>
      </c>
      <c r="E1799" t="str">
        <f>RIGHT(Airports[[#This Row],[ICAO]],3)</f>
        <v>ROT</v>
      </c>
      <c r="F17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t="s">
        <v>3732</v>
      </c>
      <c r="B1800" t="s">
        <v>3733</v>
      </c>
      <c r="C1800">
        <v>-23.598056</v>
      </c>
      <c r="D1800">
        <v>134.519722</v>
      </c>
      <c r="E1800" t="str">
        <f>RIGHT(Airports[[#This Row],[ICAO]],3)</f>
        <v>ROV</v>
      </c>
      <c r="F18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t="s">
        <v>3734</v>
      </c>
      <c r="B1801" t="s">
        <v>3735</v>
      </c>
      <c r="C1801">
        <v>-22.5</v>
      </c>
      <c r="D1801">
        <v>138.833056</v>
      </c>
      <c r="E1801" t="str">
        <f>RIGHT(Airports[[#This Row],[ICAO]],3)</f>
        <v>ROX</v>
      </c>
      <c r="F18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t="s">
        <v>3736</v>
      </c>
      <c r="B1802" t="s">
        <v>3737</v>
      </c>
      <c r="C1802">
        <v>-33.889443999999997</v>
      </c>
      <c r="D1802">
        <v>151.18388899999999</v>
      </c>
      <c r="E1802" t="str">
        <f>RIGHT(Airports[[#This Row],[ICAO]],3)</f>
        <v>RPA</v>
      </c>
      <c r="F18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t="s">
        <v>3738</v>
      </c>
      <c r="B1803" t="s">
        <v>3739</v>
      </c>
      <c r="C1803">
        <v>-12.683332999999999</v>
      </c>
      <c r="D1803">
        <v>130.58333300000001</v>
      </c>
      <c r="E1803" t="str">
        <f>RIGHT(Airports[[#This Row],[ICAO]],3)</f>
        <v>RPT</v>
      </c>
      <c r="F18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t="s">
        <v>3740</v>
      </c>
      <c r="B1804" t="s">
        <v>3741</v>
      </c>
      <c r="C1804">
        <v>-14.737500000000001</v>
      </c>
      <c r="D1804">
        <v>134.518056</v>
      </c>
      <c r="E1804" t="str">
        <f>RIGHT(Airports[[#This Row],[ICAO]],3)</f>
        <v>RRB</v>
      </c>
      <c r="F18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t="s">
        <v>3742</v>
      </c>
      <c r="B1805" t="s">
        <v>3743</v>
      </c>
      <c r="C1805">
        <v>-23.108332999999998</v>
      </c>
      <c r="D1805">
        <v>119.333333</v>
      </c>
      <c r="E1805" t="str">
        <f>RIGHT(Airports[[#This Row],[ICAO]],3)</f>
        <v>RRG</v>
      </c>
      <c r="F18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t="s">
        <v>3744</v>
      </c>
      <c r="B1806" t="s">
        <v>3745</v>
      </c>
      <c r="C1806">
        <v>-12.341111</v>
      </c>
      <c r="D1806">
        <v>136.00111100000001</v>
      </c>
      <c r="E1806" t="str">
        <f>RIGHT(Airports[[#This Row],[ICAO]],3)</f>
        <v>RRR</v>
      </c>
      <c r="F18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t="s">
        <v>3746</v>
      </c>
      <c r="B1807" t="s">
        <v>3747</v>
      </c>
      <c r="C1807">
        <v>-25.833333</v>
      </c>
      <c r="D1807">
        <v>139.65</v>
      </c>
      <c r="E1807" t="str">
        <f>RIGHT(Airports[[#This Row],[ICAO]],3)</f>
        <v>RSB</v>
      </c>
      <c r="F18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t="s">
        <v>3748</v>
      </c>
      <c r="B1808" t="s">
        <v>3749</v>
      </c>
      <c r="C1808">
        <v>-18.788333000000002</v>
      </c>
      <c r="D1808">
        <v>128.62444400000001</v>
      </c>
      <c r="E1808" t="str">
        <f>RIGHT(Airports[[#This Row],[ICAO]],3)</f>
        <v>RSK</v>
      </c>
      <c r="F18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t="s">
        <v>3750</v>
      </c>
      <c r="B1809" t="s">
        <v>3751</v>
      </c>
      <c r="C1809">
        <v>-28.306388999999999</v>
      </c>
      <c r="D1809">
        <v>151.97416699999999</v>
      </c>
      <c r="E1809" t="str">
        <f>RIGHT(Airports[[#This Row],[ICAO]],3)</f>
        <v>RSS</v>
      </c>
      <c r="F18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t="s">
        <v>3752</v>
      </c>
      <c r="B1810" t="s">
        <v>3753</v>
      </c>
      <c r="C1810">
        <v>-41.331389000000001</v>
      </c>
      <c r="D1810">
        <v>147.05027799999999</v>
      </c>
      <c r="E1810" t="str">
        <f>RIGHT(Airports[[#This Row],[ICAO]],3)</f>
        <v>RST</v>
      </c>
      <c r="F18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t="s">
        <v>3754</v>
      </c>
      <c r="B1811" t="s">
        <v>3755</v>
      </c>
      <c r="C1811">
        <v>-27.149722000000001</v>
      </c>
      <c r="D1811">
        <v>145.91166699999999</v>
      </c>
      <c r="E1811" t="str">
        <f>RIGHT(Airports[[#This Row],[ICAO]],3)</f>
        <v>RSV</v>
      </c>
      <c r="F18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t="s">
        <v>3756</v>
      </c>
      <c r="B1812" t="s">
        <v>3757</v>
      </c>
      <c r="C1812">
        <v>-36.583055999999999</v>
      </c>
      <c r="D1812">
        <v>145.016389</v>
      </c>
      <c r="E1812" t="str">
        <f>RIGHT(Airports[[#This Row],[ICAO]],3)</f>
        <v>RSW</v>
      </c>
      <c r="F18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t="s">
        <v>3758</v>
      </c>
      <c r="B1813" t="s">
        <v>3759</v>
      </c>
      <c r="C1813">
        <v>-37.391666999999998</v>
      </c>
      <c r="D1813">
        <v>144.73833300000001</v>
      </c>
      <c r="E1813" t="str">
        <f>RIGHT(Airports[[#This Row],[ICAO]],3)</f>
        <v>RSY</v>
      </c>
      <c r="F18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t="s">
        <v>3760</v>
      </c>
      <c r="B1814" t="s">
        <v>3761</v>
      </c>
      <c r="C1814">
        <v>-37.883333</v>
      </c>
      <c r="D1814">
        <v>144.443333</v>
      </c>
      <c r="E1814" t="str">
        <f>RIGHT(Airports[[#This Row],[ICAO]],3)</f>
        <v>RTH</v>
      </c>
      <c r="F18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t="s">
        <v>3762</v>
      </c>
      <c r="B1815" t="s">
        <v>3763</v>
      </c>
      <c r="C1815">
        <v>-32.006667</v>
      </c>
      <c r="D1815">
        <v>115.539722</v>
      </c>
      <c r="E1815" t="str">
        <f>RIGHT(Airports[[#This Row],[ICAO]],3)</f>
        <v>RTI</v>
      </c>
      <c r="F18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t="s">
        <v>3764</v>
      </c>
      <c r="B1816" t="s">
        <v>3765</v>
      </c>
      <c r="C1816">
        <v>-15.643333</v>
      </c>
      <c r="D1816">
        <v>141.843333</v>
      </c>
      <c r="E1816" t="str">
        <f>RIGHT(Airports[[#This Row],[ICAO]],3)</f>
        <v>RTP</v>
      </c>
      <c r="F18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t="s">
        <v>3766</v>
      </c>
      <c r="B1817" t="s">
        <v>3767</v>
      </c>
      <c r="C1817">
        <v>-12.917778</v>
      </c>
      <c r="D1817">
        <v>136.25277800000001</v>
      </c>
      <c r="E1817" t="str">
        <f>RIGHT(Airports[[#This Row],[ICAO]],3)</f>
        <v>RUL</v>
      </c>
      <c r="F18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t="s">
        <v>3768</v>
      </c>
      <c r="B1818" t="s">
        <v>3769</v>
      </c>
      <c r="C1818">
        <v>-12.194444000000001</v>
      </c>
      <c r="D1818">
        <v>136.291944</v>
      </c>
      <c r="E1818" t="str">
        <f>RIGHT(Airports[[#This Row],[ICAO]],3)</f>
        <v>RUR</v>
      </c>
      <c r="F18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t="s">
        <v>3770</v>
      </c>
      <c r="B1819" t="s">
        <v>3771</v>
      </c>
      <c r="C1819">
        <v>-17.899999999999999</v>
      </c>
      <c r="D1819">
        <v>130.216667</v>
      </c>
      <c r="E1819" t="str">
        <f>RIGHT(Airports[[#This Row],[ICAO]],3)</f>
        <v>RVE</v>
      </c>
      <c r="F18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t="s">
        <v>3772</v>
      </c>
      <c r="B1820" t="s">
        <v>3773</v>
      </c>
      <c r="C1820">
        <v>-34.849443999999998</v>
      </c>
      <c r="D1820">
        <v>147.78027800000001</v>
      </c>
      <c r="E1820" t="str">
        <f>RIGHT(Airports[[#This Row],[ICAO]],3)</f>
        <v>RVL</v>
      </c>
      <c r="F18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t="s">
        <v>3774</v>
      </c>
      <c r="B1821" t="s">
        <v>3775</v>
      </c>
      <c r="C1821">
        <v>-20.100000000000001</v>
      </c>
      <c r="D1821">
        <v>146.9</v>
      </c>
      <c r="E1821" t="str">
        <f>RIGHT(Airports[[#This Row],[ICAO]],3)</f>
        <v>RVW</v>
      </c>
      <c r="F18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t="s">
        <v>3776</v>
      </c>
      <c r="B1822" t="s">
        <v>3777</v>
      </c>
      <c r="C1822">
        <v>-31.033055999999998</v>
      </c>
      <c r="D1822">
        <v>125.24166700000001</v>
      </c>
      <c r="E1822" t="str">
        <f>RIGHT(Airports[[#This Row],[ICAO]],3)</f>
        <v>RWA</v>
      </c>
      <c r="F18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t="s">
        <v>3778</v>
      </c>
      <c r="B1823" t="s">
        <v>3779</v>
      </c>
      <c r="C1823">
        <v>-34.566667000000002</v>
      </c>
      <c r="D1823">
        <v>138.94999999999999</v>
      </c>
      <c r="E1823" t="str">
        <f>RIGHT(Airports[[#This Row],[ICAO]],3)</f>
        <v>RWF</v>
      </c>
      <c r="F18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t="s">
        <v>3780</v>
      </c>
      <c r="B1824" t="s">
        <v>3781</v>
      </c>
      <c r="C1824">
        <v>-34.627499999999998</v>
      </c>
      <c r="D1824">
        <v>144.26666700000001</v>
      </c>
      <c r="E1824" t="str">
        <f>RIGHT(Airports[[#This Row],[ICAO]],3)</f>
        <v>RWH</v>
      </c>
      <c r="F18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t="s">
        <v>3782</v>
      </c>
      <c r="B1825" t="s">
        <v>3783</v>
      </c>
      <c r="C1825">
        <v>-33.932499999999997</v>
      </c>
      <c r="D1825">
        <v>151.23861099999999</v>
      </c>
      <c r="E1825" t="str">
        <f>RIGHT(Airports[[#This Row],[ICAO]],3)</f>
        <v>RWK</v>
      </c>
      <c r="F18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t="s">
        <v>3784</v>
      </c>
      <c r="B1826" t="s">
        <v>3785</v>
      </c>
      <c r="C1826">
        <v>-30.716667000000001</v>
      </c>
      <c r="D1826">
        <v>136.736389</v>
      </c>
      <c r="E1826" t="str">
        <f>RIGHT(Airports[[#This Row],[ICAO]],3)</f>
        <v>RXB</v>
      </c>
      <c r="F18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t="s">
        <v>3786</v>
      </c>
      <c r="B1827" t="s">
        <v>3787</v>
      </c>
      <c r="C1827">
        <v>-28.414444</v>
      </c>
      <c r="D1827">
        <v>150.53111100000001</v>
      </c>
      <c r="E1827" t="str">
        <f>RIGHT(Airports[[#This Row],[ICAO]],3)</f>
        <v>RXN</v>
      </c>
      <c r="F18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t="s">
        <v>3788</v>
      </c>
      <c r="B1828" t="s">
        <v>3789</v>
      </c>
      <c r="C1828">
        <v>-43.541389000000002</v>
      </c>
      <c r="D1828">
        <v>146.89500000000001</v>
      </c>
      <c r="E1828" t="str">
        <f>RIGHT(Airports[[#This Row],[ICAO]],3)</f>
        <v>RYA</v>
      </c>
      <c r="F18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t="s">
        <v>3790</v>
      </c>
      <c r="B1829" t="s">
        <v>3791</v>
      </c>
      <c r="C1829">
        <v>-22.616667</v>
      </c>
      <c r="D1829">
        <v>119.94972199999999</v>
      </c>
      <c r="E1829" t="str">
        <f>RIGHT(Airports[[#This Row],[ICAO]],3)</f>
        <v>RYH</v>
      </c>
      <c r="F18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t="s">
        <v>3792</v>
      </c>
      <c r="B1830" t="s">
        <v>3793</v>
      </c>
      <c r="C1830">
        <v>-31.653055999999999</v>
      </c>
      <c r="D1830">
        <v>138.609722</v>
      </c>
      <c r="E1830" t="str">
        <f>RIGHT(Airports[[#This Row],[ICAO]],3)</f>
        <v>RYK</v>
      </c>
      <c r="F18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t="s">
        <v>3794</v>
      </c>
      <c r="B1831" t="s">
        <v>3795</v>
      </c>
      <c r="C1831">
        <v>-32.770833000000003</v>
      </c>
      <c r="D1831">
        <v>149.99333300000001</v>
      </c>
      <c r="E1831" t="str">
        <f>RIGHT(Airports[[#This Row],[ICAO]],3)</f>
        <v>RYL</v>
      </c>
      <c r="F18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t="s">
        <v>3796</v>
      </c>
      <c r="B1832" t="s">
        <v>3797</v>
      </c>
      <c r="C1832">
        <v>-34.862777999999999</v>
      </c>
      <c r="D1832">
        <v>148.93388899999999</v>
      </c>
      <c r="E1832" t="str">
        <f>RIGHT(Airports[[#This Row],[ICAO]],3)</f>
        <v>RYP</v>
      </c>
      <c r="F18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t="s">
        <v>3798</v>
      </c>
      <c r="B1833" t="s">
        <v>3799</v>
      </c>
      <c r="C1833">
        <v>-36.541666999999997</v>
      </c>
      <c r="D1833">
        <v>144.24111099999999</v>
      </c>
      <c r="E1833" t="str">
        <f>RIGHT(Airports[[#This Row],[ICAO]],3)</f>
        <v>RYW</v>
      </c>
      <c r="F18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t="s">
        <v>3800</v>
      </c>
      <c r="B1834" t="s">
        <v>3801</v>
      </c>
      <c r="C1834">
        <v>-19.466667000000001</v>
      </c>
      <c r="D1834">
        <v>141.80000000000001</v>
      </c>
      <c r="E1834" t="str">
        <f>RIGHT(Airports[[#This Row],[ICAO]],3)</f>
        <v>SAD</v>
      </c>
      <c r="G1834" s="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t="s">
        <v>3802</v>
      </c>
      <c r="B1835" t="s">
        <v>3803</v>
      </c>
      <c r="C1835">
        <v>-30.973333</v>
      </c>
      <c r="D1835">
        <v>150.18305599999999</v>
      </c>
      <c r="E1835" t="str">
        <f>RIGHT(Airports[[#This Row],[ICAO]],3)</f>
        <v>SAF</v>
      </c>
      <c r="G1835" s="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t="s">
        <v>3804</v>
      </c>
      <c r="B1836" t="s">
        <v>3805</v>
      </c>
      <c r="C1836">
        <v>-24.055278000000001</v>
      </c>
      <c r="D1836">
        <v>139.071944</v>
      </c>
      <c r="E1836" t="str">
        <f>RIGHT(Airports[[#This Row],[ICAO]],3)</f>
        <v>SAG</v>
      </c>
      <c r="G1836" s="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t="s">
        <v>3806</v>
      </c>
      <c r="B1837" t="s">
        <v>3807</v>
      </c>
      <c r="C1837">
        <v>-27.239443999999999</v>
      </c>
      <c r="D1837">
        <v>151.68444400000001</v>
      </c>
      <c r="E1837" t="str">
        <f>RIGHT(Airports[[#This Row],[ICAO]],3)</f>
        <v>SAM</v>
      </c>
      <c r="G1837" s="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t="s">
        <v>3808</v>
      </c>
      <c r="B1838" t="s">
        <v>3809</v>
      </c>
      <c r="C1838">
        <v>-27.975000000000001</v>
      </c>
      <c r="D1838">
        <v>119.291389</v>
      </c>
      <c r="E1838" t="str">
        <f>RIGHT(Airports[[#This Row],[ICAO]],3)</f>
        <v>SAN</v>
      </c>
      <c r="G1838" s="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t="s">
        <v>3810</v>
      </c>
      <c r="B1839" t="s">
        <v>3811</v>
      </c>
      <c r="C1839">
        <v>-27.043056</v>
      </c>
      <c r="D1839">
        <v>135.24194399999999</v>
      </c>
      <c r="G1839" s="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t="s">
        <v>3812</v>
      </c>
      <c r="B1840" t="s">
        <v>3813</v>
      </c>
      <c r="C1840">
        <v>-15.127222</v>
      </c>
      <c r="D1840">
        <v>135.00888900000001</v>
      </c>
      <c r="E1840" t="str">
        <f>RIGHT(Airports[[#This Row],[ICAO]],3)</f>
        <v>SAW</v>
      </c>
      <c r="G1840" s="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t="s">
        <v>3814</v>
      </c>
      <c r="B1841" t="s">
        <v>3815</v>
      </c>
      <c r="C1841">
        <v>-37.53</v>
      </c>
      <c r="D1841">
        <v>144.748333</v>
      </c>
      <c r="E1841" t="str">
        <f>RIGHT(Airports[[#This Row],[ICAO]],3)</f>
        <v>SBE</v>
      </c>
      <c r="G1841" s="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t="s">
        <v>3816</v>
      </c>
      <c r="B1842" t="s">
        <v>3817</v>
      </c>
      <c r="C1842">
        <v>-33.924444000000001</v>
      </c>
      <c r="D1842">
        <v>150.98833300000001</v>
      </c>
      <c r="F1842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t="s">
        <v>3818</v>
      </c>
      <c r="B1843" t="s">
        <v>3819</v>
      </c>
      <c r="C1843">
        <v>-21.576111000000001</v>
      </c>
      <c r="D1843">
        <v>139.70416700000001</v>
      </c>
      <c r="E1843" t="str">
        <f>RIGHT(Airports[[#This Row],[ICAO]],3)</f>
        <v>SBO</v>
      </c>
      <c r="G1843" s="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t="s">
        <v>3820</v>
      </c>
      <c r="B1844" t="s">
        <v>3821</v>
      </c>
      <c r="C1844">
        <v>-20.43</v>
      </c>
      <c r="D1844">
        <v>116.714167</v>
      </c>
      <c r="E1844" t="str">
        <f>RIGHT(Airports[[#This Row],[ICAO]],3)</f>
        <v>SBY</v>
      </c>
      <c r="G1844" s="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t="s">
        <v>3822</v>
      </c>
      <c r="B1845" t="s">
        <v>3823</v>
      </c>
      <c r="C1845">
        <v>-33.204999999999998</v>
      </c>
      <c r="D1845">
        <v>141.166944</v>
      </c>
      <c r="E1845" t="str">
        <f>RIGHT(Airports[[#This Row],[ICAO]],3)</f>
        <v>SCA</v>
      </c>
      <c r="G1845" s="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t="s">
        <v>3824</v>
      </c>
      <c r="B1846" t="s">
        <v>3825</v>
      </c>
      <c r="C1846">
        <v>-35.306944000000001</v>
      </c>
      <c r="D1846">
        <v>149.19499999999999</v>
      </c>
      <c r="F1846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t="s">
        <v>3826</v>
      </c>
      <c r="B1847" t="s">
        <v>3827</v>
      </c>
      <c r="C1847">
        <v>-35.091943999999998</v>
      </c>
      <c r="D1847">
        <v>138.66138900000001</v>
      </c>
      <c r="E1847" t="str">
        <f>RIGHT(Airports[[#This Row],[ICAO]],3)</f>
        <v>SCC</v>
      </c>
      <c r="G1847" s="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t="s">
        <v>3828</v>
      </c>
      <c r="B1848" t="s">
        <v>3829</v>
      </c>
      <c r="C1848">
        <v>-30.173611000000001</v>
      </c>
      <c r="D1848">
        <v>122.322222</v>
      </c>
      <c r="E1848" t="str">
        <f>RIGHT(Airports[[#This Row],[ICAO]],3)</f>
        <v>SCD</v>
      </c>
      <c r="G1848" s="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t="s">
        <v>3830</v>
      </c>
      <c r="B1849" t="s">
        <v>3831</v>
      </c>
      <c r="C1849">
        <v>-20.766943999999999</v>
      </c>
      <c r="D1849">
        <v>149.953611</v>
      </c>
      <c r="E1849" t="str">
        <f>RIGHT(Airports[[#This Row],[ICAO]],3)</f>
        <v>SCF</v>
      </c>
      <c r="G1849" s="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t="s">
        <v>3832</v>
      </c>
      <c r="B1850" t="s">
        <v>3833</v>
      </c>
      <c r="C1850">
        <v>-36.137500000000003</v>
      </c>
      <c r="D1850">
        <v>139.643889</v>
      </c>
      <c r="E1850" t="str">
        <f>RIGHT(Airports[[#This Row],[ICAO]],3)</f>
        <v>SCK</v>
      </c>
      <c r="G1850" s="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t="s">
        <v>3834</v>
      </c>
      <c r="B1851" t="s">
        <v>3835</v>
      </c>
      <c r="C1851">
        <v>-34.040278000000001</v>
      </c>
      <c r="D1851">
        <v>150.686667</v>
      </c>
      <c r="F185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t="s">
        <v>3836</v>
      </c>
      <c r="B1852" t="s">
        <v>3837</v>
      </c>
      <c r="C1852">
        <v>-32.037222</v>
      </c>
      <c r="D1852">
        <v>150.832222</v>
      </c>
      <c r="E1852" t="str">
        <f>RIGHT(Airports[[#This Row],[ICAO]],3)</f>
        <v>SCO</v>
      </c>
      <c r="G1852" s="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t="s">
        <v>3838</v>
      </c>
      <c r="B1853" t="s">
        <v>3839</v>
      </c>
      <c r="C1853">
        <v>-37.908889000000002</v>
      </c>
      <c r="D1853">
        <v>145.223333</v>
      </c>
      <c r="E1853" t="str">
        <f>RIGHT(Airports[[#This Row],[ICAO]],3)</f>
        <v>SCP</v>
      </c>
      <c r="G1853" s="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t="s">
        <v>3840</v>
      </c>
      <c r="B1854" t="s">
        <v>3841</v>
      </c>
      <c r="C1854">
        <v>-31.240278</v>
      </c>
      <c r="D1854">
        <v>119.359722</v>
      </c>
      <c r="E1854" t="str">
        <f>RIGHT(Airports[[#This Row],[ICAO]],3)</f>
        <v>SCR</v>
      </c>
      <c r="G1854" s="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t="s">
        <v>3842</v>
      </c>
      <c r="B1855" t="s">
        <v>3843</v>
      </c>
      <c r="C1855">
        <v>-12.713056</v>
      </c>
      <c r="D1855">
        <v>142.361389</v>
      </c>
      <c r="E1855" t="str">
        <f>RIGHT(Airports[[#This Row],[ICAO]],3)</f>
        <v>SDL</v>
      </c>
      <c r="G1855" s="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t="s">
        <v>3844</v>
      </c>
      <c r="B1856" t="s">
        <v>3845</v>
      </c>
      <c r="C1856">
        <v>-32.216667000000001</v>
      </c>
      <c r="D1856">
        <v>148.57472200000001</v>
      </c>
      <c r="F1856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t="s">
        <v>3846</v>
      </c>
      <c r="B1857" t="s">
        <v>3847</v>
      </c>
      <c r="C1857">
        <v>-34.567222000000001</v>
      </c>
      <c r="D1857">
        <v>139.33500000000001</v>
      </c>
      <c r="G1857" s="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t="s">
        <v>3848</v>
      </c>
      <c r="B1858" t="s">
        <v>3849</v>
      </c>
      <c r="C1858">
        <v>-28.666388999999999</v>
      </c>
      <c r="D1858">
        <v>120.966667</v>
      </c>
      <c r="E1858" t="str">
        <f>RIGHT(Airports[[#This Row],[ICAO]],3)</f>
        <v>SED</v>
      </c>
      <c r="G1858" s="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t="s">
        <v>3850</v>
      </c>
      <c r="B1859" t="s">
        <v>3851</v>
      </c>
      <c r="C1859">
        <v>-26.283055999999998</v>
      </c>
      <c r="D1859">
        <v>148.46638899999999</v>
      </c>
      <c r="E1859" t="str">
        <f>RIGHT(Airports[[#This Row],[ICAO]],3)</f>
        <v>SEK</v>
      </c>
      <c r="G1859" s="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t="s">
        <v>3852</v>
      </c>
      <c r="B1860" t="s">
        <v>3853</v>
      </c>
      <c r="C1860">
        <v>-32.395000000000003</v>
      </c>
      <c r="D1860">
        <v>115.873333</v>
      </c>
      <c r="E1860" t="str">
        <f>RIGHT(Airports[[#This Row],[ICAO]],3)</f>
        <v>SEN</v>
      </c>
      <c r="G1860" s="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t="s">
        <v>3854</v>
      </c>
      <c r="B1861" t="s">
        <v>3855</v>
      </c>
      <c r="C1861">
        <v>-34.341667000000001</v>
      </c>
      <c r="D1861">
        <v>139.308333</v>
      </c>
      <c r="E1861" t="str">
        <f>RIGHT(Airports[[#This Row],[ICAO]],3)</f>
        <v>SFG</v>
      </c>
      <c r="G1861" s="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t="s">
        <v>3856</v>
      </c>
      <c r="B1862" t="s">
        <v>3857</v>
      </c>
      <c r="C1862">
        <v>-19.766389</v>
      </c>
      <c r="D1862">
        <v>121.133056</v>
      </c>
      <c r="E1862" t="str">
        <f>RIGHT(Airports[[#This Row],[ICAO]],3)</f>
        <v>SFI</v>
      </c>
      <c r="G1862" s="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t="s">
        <v>3858</v>
      </c>
      <c r="B1863" t="s">
        <v>3859</v>
      </c>
      <c r="C1863">
        <v>-42.982222</v>
      </c>
      <c r="D1863">
        <v>147.20944399999999</v>
      </c>
      <c r="E1863" t="str">
        <f>RIGHT(Airports[[#This Row],[ICAO]],3)</f>
        <v>SFY</v>
      </c>
      <c r="G1863" s="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t="s">
        <v>3860</v>
      </c>
      <c r="B1864" t="s">
        <v>3861</v>
      </c>
      <c r="C1864">
        <v>-14.795</v>
      </c>
      <c r="D1864">
        <v>142.43305599999999</v>
      </c>
      <c r="E1864" t="str">
        <f>RIGHT(Airports[[#This Row],[ICAO]],3)</f>
        <v>SGD</v>
      </c>
      <c r="G1864" s="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t="s">
        <v>3862</v>
      </c>
      <c r="B1865" t="s">
        <v>3863</v>
      </c>
      <c r="C1865">
        <v>-28.049721999999999</v>
      </c>
      <c r="D1865">
        <v>148.59527800000001</v>
      </c>
      <c r="E1865" t="str">
        <f>RIGHT(Airports[[#This Row],[ICAO]],3)</f>
        <v>SGE</v>
      </c>
      <c r="G1865" s="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t="s">
        <v>3864</v>
      </c>
      <c r="B1866" t="s">
        <v>3865</v>
      </c>
      <c r="C1866">
        <v>-29.086666999999998</v>
      </c>
      <c r="D1866">
        <v>149.37972199999999</v>
      </c>
      <c r="E1866" t="str">
        <f>RIGHT(Airports[[#This Row],[ICAO]],3)</f>
        <v>SGL</v>
      </c>
      <c r="G1866" s="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t="s">
        <v>3866</v>
      </c>
      <c r="B1867" t="s">
        <v>3861</v>
      </c>
      <c r="C1867">
        <v>-42.769444</v>
      </c>
      <c r="D1867">
        <v>146.046111</v>
      </c>
      <c r="E1867" t="str">
        <f>RIGHT(Airports[[#This Row],[ICAO]],3)</f>
        <v>SGN</v>
      </c>
      <c r="G1867" s="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t="s">
        <v>3867</v>
      </c>
      <c r="B1868" t="s">
        <v>3868</v>
      </c>
      <c r="C1868">
        <v>-29.708888999999999</v>
      </c>
      <c r="D1868">
        <v>152.92833300000001</v>
      </c>
      <c r="E1868" t="str">
        <f>RIGHT(Airports[[#This Row],[ICAO]],3)</f>
        <v>SGR</v>
      </c>
      <c r="G1868" s="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t="s">
        <v>3869</v>
      </c>
      <c r="B1869" t="s">
        <v>3870</v>
      </c>
      <c r="C1869">
        <v>-32.616667</v>
      </c>
      <c r="D1869">
        <v>151.19999999999999</v>
      </c>
      <c r="E1869" t="str">
        <f>RIGHT(Airports[[#This Row],[ICAO]],3)</f>
        <v>SGT</v>
      </c>
      <c r="G1869" s="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t="s">
        <v>3871</v>
      </c>
      <c r="B1870" t="s">
        <v>3872</v>
      </c>
      <c r="C1870">
        <v>-25.674721999999999</v>
      </c>
      <c r="D1870">
        <v>142.09</v>
      </c>
      <c r="E1870" t="str">
        <f>RIGHT(Airports[[#This Row],[ICAO]],3)</f>
        <v>SGW</v>
      </c>
      <c r="G1870" s="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t="s">
        <v>3873</v>
      </c>
      <c r="B1871" t="s">
        <v>3874</v>
      </c>
      <c r="C1871">
        <v>-12.483333</v>
      </c>
      <c r="D1871">
        <v>131.71638899999999</v>
      </c>
      <c r="E1871" t="str">
        <f>RIGHT(Airports[[#This Row],[ICAO]],3)</f>
        <v>SHA</v>
      </c>
      <c r="G1871" s="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t="s">
        <v>3875</v>
      </c>
      <c r="B1872" t="s">
        <v>3876</v>
      </c>
      <c r="C1872">
        <v>-41.384999999999998</v>
      </c>
      <c r="D1872">
        <v>146.32583299999999</v>
      </c>
      <c r="E1872" t="str">
        <f>RIGHT(Airports[[#This Row],[ICAO]],3)</f>
        <v>SHD</v>
      </c>
      <c r="G1872" s="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t="s">
        <v>3877</v>
      </c>
      <c r="B1873" t="s">
        <v>3878</v>
      </c>
      <c r="C1873">
        <v>-25.893889000000001</v>
      </c>
      <c r="D1873">
        <v>113.57722200000001</v>
      </c>
      <c r="E1873" t="str">
        <f>RIGHT(Airports[[#This Row],[ICAO]],3)</f>
        <v>SHK</v>
      </c>
      <c r="G1873" s="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t="s">
        <v>3879</v>
      </c>
      <c r="B1874" t="s">
        <v>3880</v>
      </c>
      <c r="C1874">
        <v>-34.561110999999997</v>
      </c>
      <c r="D1874">
        <v>150.788611</v>
      </c>
      <c r="E1874" t="str">
        <f>RIGHT(Airports[[#This Row],[ICAO]],3)</f>
        <v>SHL</v>
      </c>
      <c r="G1874" s="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t="s">
        <v>3881</v>
      </c>
      <c r="B1875" t="s">
        <v>3882</v>
      </c>
      <c r="C1875">
        <v>-34.743056000000003</v>
      </c>
      <c r="D1875">
        <v>116.493056</v>
      </c>
      <c r="E1875" t="str">
        <f>RIGHT(Airports[[#This Row],[ICAO]],3)</f>
        <v>SHN</v>
      </c>
      <c r="G1875" s="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t="s">
        <v>3883</v>
      </c>
      <c r="B1876" t="s">
        <v>3884</v>
      </c>
      <c r="C1876">
        <v>-20.278333</v>
      </c>
      <c r="D1876">
        <v>148.75555600000001</v>
      </c>
      <c r="E1876" t="str">
        <f>RIGHT(Airports[[#This Row],[ICAO]],3)</f>
        <v>SHR</v>
      </c>
      <c r="G1876" s="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t="s">
        <v>3885</v>
      </c>
      <c r="B1877" t="s">
        <v>3886</v>
      </c>
      <c r="C1877">
        <v>-35.299722000000003</v>
      </c>
      <c r="D1877">
        <v>136.94972200000001</v>
      </c>
      <c r="E1877" t="str">
        <f>RIGHT(Airports[[#This Row],[ICAO]],3)</f>
        <v>SHS</v>
      </c>
      <c r="G1877" s="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t="s">
        <v>3887</v>
      </c>
      <c r="B1878" t="s">
        <v>3888</v>
      </c>
      <c r="C1878">
        <v>-36.428888999999998</v>
      </c>
      <c r="D1878">
        <v>145.39250000000001</v>
      </c>
      <c r="E1878" t="str">
        <f>RIGHT(Airports[[#This Row],[ICAO]],3)</f>
        <v>SHT</v>
      </c>
      <c r="G1878" s="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t="s">
        <v>3889</v>
      </c>
      <c r="B1879" t="s">
        <v>3890</v>
      </c>
      <c r="C1879">
        <v>-33.994999999999997</v>
      </c>
      <c r="D1879">
        <v>150.95249999999999</v>
      </c>
      <c r="F18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t="s">
        <v>3891</v>
      </c>
      <c r="B1880" t="s">
        <v>3892</v>
      </c>
      <c r="C1880">
        <v>-32.557499999999997</v>
      </c>
      <c r="D1880">
        <v>136.70916700000001</v>
      </c>
      <c r="E1880" t="str">
        <f>RIGHT(Airports[[#This Row],[ICAO]],3)</f>
        <v>SIA</v>
      </c>
      <c r="G1880" s="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t="s">
        <v>3893</v>
      </c>
      <c r="B1881" t="s">
        <v>3894</v>
      </c>
      <c r="C1881">
        <v>-21.5</v>
      </c>
      <c r="D1881">
        <v>144.98333299999999</v>
      </c>
      <c r="E1881" t="str">
        <f>RIGHT(Airports[[#This Row],[ICAO]],3)</f>
        <v>SIE</v>
      </c>
      <c r="G1881" s="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t="s">
        <v>3895</v>
      </c>
      <c r="B1882" t="s">
        <v>3896</v>
      </c>
      <c r="C1882">
        <v>-9.3783329999999996</v>
      </c>
      <c r="D1882">
        <v>142.625</v>
      </c>
      <c r="E1882" t="str">
        <f>RIGHT(Airports[[#This Row],[ICAO]],3)</f>
        <v>SII</v>
      </c>
      <c r="G1882" s="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t="s">
        <v>3897</v>
      </c>
      <c r="B1883" t="s">
        <v>3898</v>
      </c>
      <c r="C1883">
        <v>-19.586666999999998</v>
      </c>
      <c r="D1883">
        <v>146.78055599999999</v>
      </c>
      <c r="E1883" t="str">
        <f>RIGHT(Airports[[#This Row],[ICAO]],3)</f>
        <v>SKF</v>
      </c>
      <c r="G1883" s="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t="s">
        <v>3899</v>
      </c>
      <c r="B1884" t="s">
        <v>3900</v>
      </c>
      <c r="C1884">
        <v>-12.225277999999999</v>
      </c>
      <c r="D1884">
        <v>136.703611</v>
      </c>
      <c r="E1884" t="str">
        <f>RIGHT(Airports[[#This Row],[ICAO]],3)</f>
        <v>SKI</v>
      </c>
      <c r="G1884" s="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t="s">
        <v>3901</v>
      </c>
      <c r="B1885" t="s">
        <v>3902</v>
      </c>
      <c r="C1885">
        <v>-11.868888999999999</v>
      </c>
      <c r="D1885">
        <v>142.016111</v>
      </c>
      <c r="E1885" t="str">
        <f>RIGHT(Airports[[#This Row],[ICAO]],3)</f>
        <v>SKR</v>
      </c>
      <c r="G1885" s="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t="s">
        <v>3903</v>
      </c>
      <c r="B1886" t="s">
        <v>3904</v>
      </c>
      <c r="C1886">
        <v>-20.206389000000001</v>
      </c>
      <c r="D1886">
        <v>142.42666700000001</v>
      </c>
      <c r="E1886" t="str">
        <f>RIGHT(Airports[[#This Row],[ICAO]],3)</f>
        <v>SLD</v>
      </c>
      <c r="G1886" s="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t="s">
        <v>3905</v>
      </c>
      <c r="B1887" t="s">
        <v>3906</v>
      </c>
      <c r="C1887">
        <v>-38.169167000000002</v>
      </c>
      <c r="D1887">
        <v>144.688333</v>
      </c>
      <c r="E1887" t="str">
        <f>RIGHT(Airports[[#This Row],[ICAO]],3)</f>
        <v>SLE</v>
      </c>
      <c r="G1887" s="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t="s">
        <v>3907</v>
      </c>
      <c r="B1888" t="s">
        <v>3908</v>
      </c>
      <c r="C1888">
        <v>-17.066666999999999</v>
      </c>
      <c r="D1888">
        <v>125.238333</v>
      </c>
      <c r="E1888" t="str">
        <f>RIGHT(Airports[[#This Row],[ICAO]],3)</f>
        <v>SLG</v>
      </c>
      <c r="G1888" s="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t="s">
        <v>3909</v>
      </c>
      <c r="B1889" t="s">
        <v>3910</v>
      </c>
      <c r="C1889">
        <v>-35.531666999999999</v>
      </c>
      <c r="D1889">
        <v>142.890556</v>
      </c>
      <c r="E1889" t="str">
        <f>RIGHT(Airports[[#This Row],[ICAO]],3)</f>
        <v>SLK</v>
      </c>
      <c r="G1889" s="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t="s">
        <v>3911</v>
      </c>
      <c r="B1890" t="s">
        <v>3912</v>
      </c>
      <c r="C1890">
        <v>-15.898332999999999</v>
      </c>
      <c r="D1890">
        <v>143.38333299999999</v>
      </c>
      <c r="E1890" t="str">
        <f>RIGHT(Airports[[#This Row],[ICAO]],3)</f>
        <v>SLN</v>
      </c>
      <c r="G1890" s="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t="s">
        <v>3913</v>
      </c>
      <c r="B1891" t="s">
        <v>3914</v>
      </c>
      <c r="C1891">
        <v>-41.430629000000003</v>
      </c>
      <c r="D1891">
        <v>147.12776400000001</v>
      </c>
      <c r="E1891" t="str">
        <f>RIGHT(Airports[[#This Row],[ICAO]],3)</f>
        <v>SLO</v>
      </c>
      <c r="G1891" s="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t="s">
        <v>3915</v>
      </c>
      <c r="B1892" t="s">
        <v>3916</v>
      </c>
      <c r="C1892">
        <v>-38.116388999999998</v>
      </c>
      <c r="D1892">
        <v>147.07472200000001</v>
      </c>
      <c r="E1892" t="str">
        <f>RIGHT(Airports[[#This Row],[ICAO]],3)</f>
        <v>SLT</v>
      </c>
      <c r="G1892" s="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t="s">
        <v>3917</v>
      </c>
      <c r="B1893" t="s">
        <v>3918</v>
      </c>
      <c r="C1893">
        <v>-22.366667</v>
      </c>
      <c r="D1893">
        <v>149.46638899999999</v>
      </c>
      <c r="E1893" t="str">
        <f>RIGHT(Airports[[#This Row],[ICAO]],3)</f>
        <v>SLW</v>
      </c>
      <c r="G1893" s="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t="s">
        <v>3919</v>
      </c>
      <c r="B1894" t="s">
        <v>3920</v>
      </c>
      <c r="C1894">
        <v>-33.367778000000001</v>
      </c>
      <c r="D1894">
        <v>151.299722</v>
      </c>
      <c r="E1894" t="str">
        <f>RIGHT(Airports[[#This Row],[ICAO]],3)</f>
        <v>SMB</v>
      </c>
      <c r="G1894" s="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t="s">
        <v>3921</v>
      </c>
      <c r="B1895" t="s">
        <v>3922</v>
      </c>
      <c r="C1895">
        <v>-22.75</v>
      </c>
      <c r="D1895">
        <v>150.63333299999999</v>
      </c>
      <c r="E1895" t="str">
        <f>RIGHT(Airports[[#This Row],[ICAO]],3)</f>
        <v>SMH</v>
      </c>
      <c r="G1895" s="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t="s">
        <v>3923</v>
      </c>
      <c r="B1896" t="s">
        <v>3924</v>
      </c>
      <c r="C1896">
        <v>-40.835000000000001</v>
      </c>
      <c r="D1896">
        <v>145.08361099999999</v>
      </c>
      <c r="E1896" t="str">
        <f>RIGHT(Airports[[#This Row],[ICAO]],3)</f>
        <v>SMI</v>
      </c>
      <c r="G1896" s="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t="s">
        <v>3925</v>
      </c>
      <c r="B1897" t="s">
        <v>3926</v>
      </c>
      <c r="C1897">
        <v>-24.125</v>
      </c>
      <c r="D1897">
        <v>150.44138899999999</v>
      </c>
      <c r="E1897" t="str">
        <f>RIGHT(Airports[[#This Row],[ICAO]],3)</f>
        <v>SMK</v>
      </c>
      <c r="G1897" s="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t="s">
        <v>3927</v>
      </c>
      <c r="B1898" t="s">
        <v>3928</v>
      </c>
      <c r="C1898">
        <v>-11.149722000000001</v>
      </c>
      <c r="D1898">
        <v>132.149722</v>
      </c>
      <c r="E1898" t="str">
        <f>RIGHT(Airports[[#This Row],[ICAO]],3)</f>
        <v>SMP</v>
      </c>
      <c r="G1898" s="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t="s">
        <v>3929</v>
      </c>
      <c r="B1899" t="s">
        <v>3930</v>
      </c>
      <c r="C1899">
        <v>-17.860833</v>
      </c>
      <c r="D1899">
        <v>142.566667</v>
      </c>
      <c r="E1899" t="str">
        <f>RIGHT(Airports[[#This Row],[ICAO]],3)</f>
        <v>SMR</v>
      </c>
      <c r="G1899" s="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t="s">
        <v>3931</v>
      </c>
      <c r="B1900" t="s">
        <v>3932</v>
      </c>
      <c r="C1900">
        <v>-14.883056</v>
      </c>
      <c r="D1900">
        <v>142.801389</v>
      </c>
      <c r="E1900" t="str">
        <f>RIGHT(Airports[[#This Row],[ICAO]],3)</f>
        <v>SMY</v>
      </c>
      <c r="G1900" s="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t="s">
        <v>3933</v>
      </c>
      <c r="B1901" t="s">
        <v>3934</v>
      </c>
      <c r="C1901">
        <v>-28.338889000000002</v>
      </c>
      <c r="D1901">
        <v>120.852778</v>
      </c>
      <c r="E1901" t="str">
        <f>RIGHT(Airports[[#This Row],[ICAO]],3)</f>
        <v>SNC</v>
      </c>
      <c r="G1901" s="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t="s">
        <v>3935</v>
      </c>
      <c r="B1902" t="s">
        <v>3936</v>
      </c>
      <c r="C1902">
        <v>-29.0425</v>
      </c>
      <c r="D1902">
        <v>167.93805599999999</v>
      </c>
      <c r="F1902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t="s">
        <v>3937</v>
      </c>
      <c r="B1903" t="s">
        <v>3938</v>
      </c>
      <c r="C1903">
        <v>-11.422777999999999</v>
      </c>
      <c r="D1903">
        <v>130.65361100000001</v>
      </c>
      <c r="E1903" t="str">
        <f>RIGHT(Airports[[#This Row],[ICAO]],3)</f>
        <v>SNK</v>
      </c>
      <c r="G1903" s="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t="s">
        <v>3939</v>
      </c>
      <c r="B1904" t="s">
        <v>3940</v>
      </c>
      <c r="C1904">
        <v>-34.948889000000001</v>
      </c>
      <c r="D1904">
        <v>150.53694400000001</v>
      </c>
      <c r="F1904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t="s">
        <v>3941</v>
      </c>
      <c r="B1905" t="s">
        <v>3942</v>
      </c>
      <c r="C1905">
        <v>-35.763055999999999</v>
      </c>
      <c r="D1905">
        <v>146.909167</v>
      </c>
      <c r="E1905" t="str">
        <f>RIGHT(Airports[[#This Row],[ICAO]],3)</f>
        <v>SNY</v>
      </c>
      <c r="G1905" s="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t="s">
        <v>3943</v>
      </c>
      <c r="B1906" t="s">
        <v>3944</v>
      </c>
      <c r="C1906">
        <v>-32.196666999999998</v>
      </c>
      <c r="D1906">
        <v>122.83972199999999</v>
      </c>
      <c r="E1906" t="str">
        <f>RIGHT(Airports[[#This Row],[ICAO]],3)</f>
        <v>SOH</v>
      </c>
      <c r="G1906" s="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t="s">
        <v>3945</v>
      </c>
      <c r="B1907" t="s">
        <v>3946</v>
      </c>
      <c r="C1907">
        <v>-22.254722000000001</v>
      </c>
      <c r="D1907">
        <v>117.84944400000001</v>
      </c>
      <c r="E1907" t="str">
        <f>RIGHT(Airports[[#This Row],[ICAO]],3)</f>
        <v>SOL</v>
      </c>
      <c r="G1907" s="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t="s">
        <v>3947</v>
      </c>
      <c r="B1908" t="s">
        <v>3948</v>
      </c>
      <c r="C1908">
        <v>-14.516389</v>
      </c>
      <c r="D1908">
        <v>142.033333</v>
      </c>
      <c r="E1908" t="str">
        <f>RIGHT(Airports[[#This Row],[ICAO]],3)</f>
        <v>SOW</v>
      </c>
      <c r="G1908" s="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t="s">
        <v>3949</v>
      </c>
      <c r="B1909" t="s">
        <v>3950</v>
      </c>
      <c r="C1909">
        <v>-28.620277999999999</v>
      </c>
      <c r="D1909">
        <v>151.990556</v>
      </c>
      <c r="E1909" t="str">
        <f>RIGHT(Airports[[#This Row],[ICAO]],3)</f>
        <v>SPE</v>
      </c>
      <c r="G1909" s="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t="s">
        <v>3951</v>
      </c>
      <c r="B1910" t="s">
        <v>3952</v>
      </c>
      <c r="C1910">
        <v>-17.983332999999998</v>
      </c>
      <c r="D1910">
        <v>144.433333</v>
      </c>
      <c r="E1910" t="str">
        <f>RIGHT(Airports[[#This Row],[ICAO]],3)</f>
        <v>SPF</v>
      </c>
      <c r="G1910" s="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t="s">
        <v>3953</v>
      </c>
      <c r="B1911" t="s">
        <v>3954</v>
      </c>
      <c r="C1911">
        <v>-24.130278000000001</v>
      </c>
      <c r="D1911">
        <v>148.08666700000001</v>
      </c>
      <c r="E1911" t="str">
        <f>RIGHT(Airports[[#This Row],[ICAO]],3)</f>
        <v>SPI</v>
      </c>
      <c r="G1911" s="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t="s">
        <v>3955</v>
      </c>
      <c r="B1912" t="s">
        <v>3956</v>
      </c>
      <c r="C1912">
        <v>-18.621666999999999</v>
      </c>
      <c r="D1912">
        <v>144.568333</v>
      </c>
      <c r="E1912" t="str">
        <f>RIGHT(Airports[[#This Row],[ICAO]],3)</f>
        <v>SPK</v>
      </c>
      <c r="G1912" s="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t="s">
        <v>3957</v>
      </c>
      <c r="B1913" t="s">
        <v>3958</v>
      </c>
      <c r="C1913">
        <v>-27.921666999999999</v>
      </c>
      <c r="D1913">
        <v>153.37138899999999</v>
      </c>
      <c r="E1913" t="str">
        <f>RIGHT(Airports[[#This Row],[ICAO]],3)</f>
        <v>SPT</v>
      </c>
      <c r="G1913" s="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t="s">
        <v>3959</v>
      </c>
      <c r="B1914" t="s">
        <v>3960</v>
      </c>
      <c r="C1914">
        <v>-23.549721999999999</v>
      </c>
      <c r="D1914">
        <v>140.69972200000001</v>
      </c>
      <c r="E1914" t="str">
        <f>RIGHT(Airports[[#This Row],[ICAO]],3)</f>
        <v>SPV</v>
      </c>
      <c r="G1914" s="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t="s">
        <v>3961</v>
      </c>
      <c r="B1915" t="s">
        <v>3962</v>
      </c>
      <c r="C1915">
        <v>-34.658332999999999</v>
      </c>
      <c r="D1915">
        <v>136.34</v>
      </c>
      <c r="E1915" t="str">
        <f>RIGHT(Airports[[#This Row],[ICAO]],3)</f>
        <v>SPY</v>
      </c>
      <c r="G1915" s="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t="s">
        <v>3963</v>
      </c>
      <c r="B1916" t="s">
        <v>3964</v>
      </c>
      <c r="C1916">
        <v>-28.086071</v>
      </c>
      <c r="D1916">
        <v>152.84163699999999</v>
      </c>
      <c r="E1916" t="str">
        <f>RIGHT(Airports[[#This Row],[ICAO]],3)</f>
        <v>SRA</v>
      </c>
      <c r="G1916" s="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t="s">
        <v>3965</v>
      </c>
      <c r="B1917" t="s">
        <v>3966</v>
      </c>
      <c r="C1917">
        <v>-29.098333</v>
      </c>
      <c r="D1917">
        <v>122.45527800000001</v>
      </c>
      <c r="E1917" t="str">
        <f>RIGHT(Airports[[#This Row],[ICAO]],3)</f>
        <v>SRD</v>
      </c>
      <c r="G1917" s="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t="s">
        <v>3967</v>
      </c>
      <c r="B1918" t="s">
        <v>3968</v>
      </c>
      <c r="C1918">
        <v>-34.259721999999996</v>
      </c>
      <c r="D1918">
        <v>142.058333</v>
      </c>
      <c r="E1918" t="str">
        <f>RIGHT(Airports[[#This Row],[ICAO]],3)</f>
        <v>SRG</v>
      </c>
      <c r="G1918" s="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t="s">
        <v>3969</v>
      </c>
      <c r="B1919" t="s">
        <v>3970</v>
      </c>
      <c r="C1919">
        <v>-33.600555999999997</v>
      </c>
      <c r="D1919">
        <v>150.780833</v>
      </c>
      <c r="F191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t="s">
        <v>3971</v>
      </c>
      <c r="B1920" t="s">
        <v>3972</v>
      </c>
      <c r="C1920">
        <v>-20.899722000000001</v>
      </c>
      <c r="D1920">
        <v>117.65</v>
      </c>
      <c r="E1920" t="str">
        <f>RIGHT(Airports[[#This Row],[ICAO]],3)</f>
        <v>SRK</v>
      </c>
      <c r="G1920" s="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t="s">
        <v>3973</v>
      </c>
      <c r="B1921" t="s">
        <v>3974</v>
      </c>
      <c r="C1921">
        <v>-42.155555999999997</v>
      </c>
      <c r="D1921">
        <v>145.29138900000001</v>
      </c>
      <c r="E1921" t="str">
        <f>RIGHT(Airports[[#This Row],[ICAO]],3)</f>
        <v>SRN</v>
      </c>
      <c r="G1921" s="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t="s">
        <v>3975</v>
      </c>
      <c r="B1922" t="s">
        <v>3976</v>
      </c>
      <c r="C1922">
        <v>-27.159444000000001</v>
      </c>
      <c r="D1922">
        <v>149.076111</v>
      </c>
      <c r="E1922" t="str">
        <f>RIGHT(Airports[[#This Row],[ICAO]],3)</f>
        <v>SRT</v>
      </c>
      <c r="G1922" s="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t="s">
        <v>3977</v>
      </c>
      <c r="B1923" t="s">
        <v>3978</v>
      </c>
      <c r="C1923">
        <v>-16.848610999999998</v>
      </c>
      <c r="D1923">
        <v>145.71444399999999</v>
      </c>
      <c r="E1923" t="str">
        <f>RIGHT(Airports[[#This Row],[ICAO]],3)</f>
        <v>SSP</v>
      </c>
      <c r="G1923" s="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t="s">
        <v>3979</v>
      </c>
      <c r="B1924" t="s">
        <v>3980</v>
      </c>
      <c r="C1924">
        <v>-33.946111000000002</v>
      </c>
      <c r="D1924">
        <v>151.177222</v>
      </c>
      <c r="F1924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t="s">
        <v>3981</v>
      </c>
      <c r="B1925" t="s">
        <v>3982</v>
      </c>
      <c r="C1925">
        <v>-36.636667000000003</v>
      </c>
      <c r="D1925">
        <v>143.185833</v>
      </c>
      <c r="E1925" t="str">
        <f>RIGHT(Airports[[#This Row],[ICAO]],3)</f>
        <v>STA</v>
      </c>
      <c r="G1925" s="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t="s">
        <v>3983</v>
      </c>
      <c r="B1926" t="s">
        <v>3984</v>
      </c>
      <c r="C1926">
        <v>-14.477499999999999</v>
      </c>
      <c r="D1926">
        <v>142.82472200000001</v>
      </c>
      <c r="E1926" t="str">
        <f>RIGHT(Airports[[#This Row],[ICAO]],3)</f>
        <v>STB</v>
      </c>
      <c r="G1926" s="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t="s">
        <v>3985</v>
      </c>
      <c r="B1927" t="s">
        <v>3986</v>
      </c>
      <c r="C1927">
        <v>-29.716667000000001</v>
      </c>
      <c r="D1927">
        <v>137.063333</v>
      </c>
      <c r="E1927" t="str">
        <f>RIGHT(Airports[[#This Row],[ICAO]],3)</f>
        <v>STC</v>
      </c>
      <c r="G1927" s="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t="s">
        <v>3987</v>
      </c>
      <c r="B1928" t="s">
        <v>3988</v>
      </c>
      <c r="C1928">
        <v>-19.341667000000001</v>
      </c>
      <c r="D1928">
        <v>146.16666699999999</v>
      </c>
      <c r="E1928" t="str">
        <f>RIGHT(Airports[[#This Row],[ICAO]],3)</f>
        <v>STD</v>
      </c>
      <c r="G1928" s="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t="s">
        <v>3989</v>
      </c>
      <c r="B1929" t="s">
        <v>3990</v>
      </c>
      <c r="C1929">
        <v>-16.871385</v>
      </c>
      <c r="D1929">
        <v>145.737154</v>
      </c>
      <c r="E1929" t="str">
        <f>RIGHT(Airports[[#This Row],[ICAO]],3)</f>
        <v>STF</v>
      </c>
      <c r="G1929" s="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t="s">
        <v>3991</v>
      </c>
      <c r="B1930" t="s">
        <v>3992</v>
      </c>
      <c r="C1930">
        <v>-20.290278000000001</v>
      </c>
      <c r="D1930">
        <v>116.275278</v>
      </c>
      <c r="E1930" t="str">
        <f>RIGHT(Airports[[#This Row],[ICAO]],3)</f>
        <v>STG</v>
      </c>
      <c r="G1930" s="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t="s">
        <v>3993</v>
      </c>
      <c r="B1931" t="s">
        <v>3994</v>
      </c>
      <c r="C1931">
        <v>-41.336666999999998</v>
      </c>
      <c r="D1931">
        <v>148.28194400000001</v>
      </c>
      <c r="E1931" t="str">
        <f>RIGHT(Airports[[#This Row],[ICAO]],3)</f>
        <v>STH</v>
      </c>
      <c r="G1931" s="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t="s">
        <v>3995</v>
      </c>
      <c r="B1932" t="s">
        <v>3996</v>
      </c>
      <c r="C1932">
        <v>-9.5</v>
      </c>
      <c r="D1932">
        <v>143.55000000000001</v>
      </c>
      <c r="E1932" t="str">
        <f>RIGHT(Airports[[#This Row],[ICAO]],3)</f>
        <v>STI</v>
      </c>
      <c r="G1932" s="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t="s">
        <v>3997</v>
      </c>
      <c r="B1933" t="s">
        <v>3998</v>
      </c>
      <c r="C1933">
        <v>-17.186388999999998</v>
      </c>
      <c r="D1933">
        <v>141.71166700000001</v>
      </c>
      <c r="E1933" t="str">
        <f>RIGHT(Airports[[#This Row],[ICAO]],3)</f>
        <v>STL</v>
      </c>
      <c r="G1933" s="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t="s">
        <v>3999</v>
      </c>
      <c r="B1934" t="s">
        <v>4000</v>
      </c>
      <c r="C1934">
        <v>-40.811110999999997</v>
      </c>
      <c r="D1934">
        <v>145.25888900000001</v>
      </c>
      <c r="E1934" t="str">
        <f>RIGHT(Airports[[#This Row],[ICAO]],3)</f>
        <v>STN</v>
      </c>
      <c r="G1934" s="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t="s">
        <v>4001</v>
      </c>
      <c r="B1935" t="s">
        <v>4002</v>
      </c>
      <c r="C1935">
        <v>-24.356389</v>
      </c>
      <c r="D1935">
        <v>143.29138900000001</v>
      </c>
      <c r="E1935" t="str">
        <f>RIGHT(Airports[[#This Row],[ICAO]],3)</f>
        <v>STO</v>
      </c>
      <c r="G1935" s="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t="s">
        <v>4003</v>
      </c>
      <c r="B1936" t="s">
        <v>4004</v>
      </c>
      <c r="C1936">
        <v>-31.757221999999999</v>
      </c>
      <c r="D1936">
        <v>140.3425</v>
      </c>
      <c r="E1936" t="str">
        <f>RIGHT(Airports[[#This Row],[ICAO]],3)</f>
        <v>STR</v>
      </c>
      <c r="G1936" s="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t="s">
        <v>4005</v>
      </c>
      <c r="B1937" t="s">
        <v>4006</v>
      </c>
      <c r="C1937">
        <v>-24.116667</v>
      </c>
      <c r="D1937">
        <v>134.390556</v>
      </c>
      <c r="E1937" t="str">
        <f>RIGHT(Airports[[#This Row],[ICAO]],3)</f>
        <v>STT</v>
      </c>
      <c r="G1937" s="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t="s">
        <v>4007</v>
      </c>
      <c r="B1938" t="s">
        <v>4008</v>
      </c>
      <c r="C1938">
        <v>-31.083888999999999</v>
      </c>
      <c r="D1938">
        <v>150.846667</v>
      </c>
      <c r="F1938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t="s">
        <v>4009</v>
      </c>
      <c r="B1939" t="s">
        <v>4010</v>
      </c>
      <c r="C1939">
        <v>-19.266389</v>
      </c>
      <c r="D1939">
        <v>129.94972200000001</v>
      </c>
      <c r="E1939" t="str">
        <f>RIGHT(Airports[[#This Row],[ICAO]],3)</f>
        <v>SUJ</v>
      </c>
      <c r="G1939" s="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t="s">
        <v>4011</v>
      </c>
      <c r="B1940" t="s">
        <v>4012</v>
      </c>
      <c r="C1940">
        <v>-35.267778</v>
      </c>
      <c r="D1940">
        <v>138.91999999999999</v>
      </c>
      <c r="E1940" t="str">
        <f>RIGHT(Airports[[#This Row],[ICAO]],3)</f>
        <v>SUM</v>
      </c>
      <c r="G1940" s="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t="s">
        <v>4013</v>
      </c>
      <c r="B1941" t="s">
        <v>4014</v>
      </c>
      <c r="C1941">
        <v>-21.35</v>
      </c>
      <c r="D1941">
        <v>147.98333299999999</v>
      </c>
      <c r="E1941" t="str">
        <f>RIGHT(Airports[[#This Row],[ICAO]],3)</f>
        <v>SUT</v>
      </c>
      <c r="G1941" s="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t="s">
        <v>4015</v>
      </c>
      <c r="B1942" t="s">
        <v>4016</v>
      </c>
      <c r="C1942">
        <v>-20.616667</v>
      </c>
      <c r="D1942">
        <v>143.083056</v>
      </c>
      <c r="E1942" t="str">
        <f>RIGHT(Airports[[#This Row],[ICAO]],3)</f>
        <v>SVH</v>
      </c>
      <c r="G1942" s="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t="s">
        <v>4017</v>
      </c>
      <c r="B1943" t="s">
        <v>4018</v>
      </c>
      <c r="C1943">
        <v>-14.9</v>
      </c>
      <c r="D1943">
        <v>142.966667</v>
      </c>
      <c r="E1943" t="str">
        <f>RIGHT(Airports[[#This Row],[ICAO]],3)</f>
        <v>SVN</v>
      </c>
      <c r="G1943" s="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t="s">
        <v>4019</v>
      </c>
      <c r="B1944" t="s">
        <v>4020</v>
      </c>
      <c r="C1944">
        <v>-13.966388999999999</v>
      </c>
      <c r="D1944">
        <v>143.55000000000001</v>
      </c>
      <c r="E1944" t="str">
        <f>RIGHT(Airports[[#This Row],[ICAO]],3)</f>
        <v>SVP</v>
      </c>
      <c r="G1944" s="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t="s">
        <v>4021</v>
      </c>
      <c r="B1945" t="s">
        <v>4022</v>
      </c>
      <c r="C1945">
        <v>-29.049167000000001</v>
      </c>
      <c r="D1945">
        <v>153.30111099999999</v>
      </c>
      <c r="E1945" t="str">
        <f>RIGHT(Airports[[#This Row],[ICAO]],3)</f>
        <v>SWB</v>
      </c>
      <c r="G1945" s="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t="s">
        <v>4023</v>
      </c>
      <c r="B1946" t="s">
        <v>4024</v>
      </c>
      <c r="C1946">
        <v>-27.959721999999999</v>
      </c>
      <c r="D1946">
        <v>153.423889</v>
      </c>
      <c r="E1946" t="str">
        <f>RIGHT(Airports[[#This Row],[ICAO]],3)</f>
        <v>SWD</v>
      </c>
      <c r="G1946" s="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t="s">
        <v>4025</v>
      </c>
      <c r="B1947" t="s">
        <v>4026</v>
      </c>
      <c r="C1947">
        <v>-17.120833000000001</v>
      </c>
      <c r="D1947">
        <v>139.600278</v>
      </c>
      <c r="E1947" t="str">
        <f>RIGHT(Airports[[#This Row],[ICAO]],3)</f>
        <v>SWE</v>
      </c>
      <c r="G1947" s="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t="s">
        <v>4027</v>
      </c>
      <c r="B1948" t="s">
        <v>4028</v>
      </c>
      <c r="C1948">
        <v>-35.165278000000001</v>
      </c>
      <c r="D1948">
        <v>147.46638899999999</v>
      </c>
      <c r="F1948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t="s">
        <v>4029</v>
      </c>
      <c r="B1949" t="s">
        <v>4030</v>
      </c>
      <c r="C1949">
        <v>-35.375833</v>
      </c>
      <c r="D1949">
        <v>143.53277800000001</v>
      </c>
      <c r="E1949" t="str">
        <f>RIGHT(Airports[[#This Row],[ICAO]],3)</f>
        <v>SWH</v>
      </c>
      <c r="G1949" s="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t="s">
        <v>4031</v>
      </c>
      <c r="B1950" t="s">
        <v>4032</v>
      </c>
      <c r="C1950">
        <v>-30.924721999999999</v>
      </c>
      <c r="D1950">
        <v>153.0275</v>
      </c>
      <c r="E1950" t="str">
        <f>RIGHT(Airports[[#This Row],[ICAO]],3)</f>
        <v>SWK</v>
      </c>
      <c r="G1950" s="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t="s">
        <v>4033</v>
      </c>
      <c r="B1951" t="s">
        <v>4034</v>
      </c>
      <c r="C1951">
        <v>-37.071666999999998</v>
      </c>
      <c r="D1951">
        <v>142.74027799999999</v>
      </c>
      <c r="E1951" t="str">
        <f>RIGHT(Airports[[#This Row],[ICAO]],3)</f>
        <v>SWL</v>
      </c>
      <c r="G1951" s="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t="s">
        <v>4035</v>
      </c>
      <c r="B1952" t="s">
        <v>4030</v>
      </c>
      <c r="C1952">
        <v>-24.633056</v>
      </c>
      <c r="D1952">
        <v>145.96638899999999</v>
      </c>
      <c r="E1952" t="str">
        <f>RIGHT(Airports[[#This Row],[ICAO]],3)</f>
        <v>SWQ</v>
      </c>
      <c r="G1952" s="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t="s">
        <v>4036</v>
      </c>
      <c r="B1953" t="s">
        <v>4037</v>
      </c>
      <c r="C1953">
        <v>-20.010000000000002</v>
      </c>
      <c r="D1953">
        <v>142.48166699999999</v>
      </c>
      <c r="E1953" t="str">
        <f>RIGHT(Airports[[#This Row],[ICAO]],3)</f>
        <v>SXB</v>
      </c>
      <c r="G1953" s="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t="s">
        <v>4038</v>
      </c>
      <c r="B1954" t="s">
        <v>4039</v>
      </c>
      <c r="C1954">
        <v>-35.315556000000001</v>
      </c>
      <c r="D1954">
        <v>138.995833</v>
      </c>
      <c r="E1954" t="str">
        <f>RIGHT(Airports[[#This Row],[ICAO]],3)</f>
        <v>SYN</v>
      </c>
      <c r="G1954" s="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t="s">
        <v>4040</v>
      </c>
      <c r="B1955" t="s">
        <v>4041</v>
      </c>
      <c r="C1955">
        <v>-27.156666999999999</v>
      </c>
      <c r="D1955">
        <v>150.47666699999999</v>
      </c>
      <c r="E1955" t="str">
        <f>RIGHT(Airports[[#This Row],[ICAO]],3)</f>
        <v>TAA</v>
      </c>
      <c r="F19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t="s">
        <v>4042</v>
      </c>
      <c r="B1956" t="s">
        <v>4043</v>
      </c>
      <c r="C1956">
        <v>-17.283055999999998</v>
      </c>
      <c r="D1956">
        <v>126.9</v>
      </c>
      <c r="E1956" t="str">
        <f>RIGHT(Airports[[#This Row],[ICAO]],3)</f>
        <v>TAB</v>
      </c>
      <c r="F19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t="s">
        <v>4044</v>
      </c>
      <c r="B1957" t="s">
        <v>4045</v>
      </c>
      <c r="C1957">
        <v>-41.550832999999997</v>
      </c>
      <c r="D1957">
        <v>147.244167</v>
      </c>
      <c r="E1957" t="str">
        <f>RIGHT(Airports[[#This Row],[ICAO]],3)</f>
        <v>TAF</v>
      </c>
      <c r="F19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t="s">
        <v>4046</v>
      </c>
      <c r="B1958" t="s">
        <v>4047</v>
      </c>
      <c r="C1958">
        <v>-34.252222000000003</v>
      </c>
      <c r="D1958">
        <v>150.57666699999999</v>
      </c>
      <c r="E1958" t="str">
        <f>RIGHT(Airports[[#This Row],[ICAO]],3)</f>
        <v>TAH</v>
      </c>
      <c r="F19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t="s">
        <v>4048</v>
      </c>
      <c r="B1959" t="s">
        <v>4049</v>
      </c>
      <c r="C1959">
        <v>-25.801943999999999</v>
      </c>
      <c r="D1959">
        <v>149.89944399999999</v>
      </c>
      <c r="E1959" t="str">
        <f>RIGHT(Airports[[#This Row],[ICAO]],3)</f>
        <v>TAM</v>
      </c>
      <c r="F19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t="s">
        <v>4050</v>
      </c>
      <c r="B1960" t="s">
        <v>4051</v>
      </c>
      <c r="C1960">
        <v>-20.583333</v>
      </c>
      <c r="D1960">
        <v>129.75</v>
      </c>
      <c r="E1960" t="str">
        <f>RIGHT(Airports[[#This Row],[ICAO]],3)</f>
        <v>TAN</v>
      </c>
      <c r="F19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t="s">
        <v>4052</v>
      </c>
      <c r="B1961" t="s">
        <v>4053</v>
      </c>
      <c r="C1961">
        <v>-25.691666999999999</v>
      </c>
      <c r="D1961">
        <v>147.29333299999999</v>
      </c>
      <c r="E1961" t="str">
        <f>RIGHT(Airports[[#This Row],[ICAO]],3)</f>
        <v>TAP</v>
      </c>
      <c r="F19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t="s">
        <v>4054</v>
      </c>
      <c r="B1962" t="s">
        <v>4055</v>
      </c>
      <c r="C1962">
        <v>-30.702777999999999</v>
      </c>
      <c r="D1962">
        <v>134.58277799999999</v>
      </c>
      <c r="E1962" t="str">
        <f>RIGHT(Airports[[#This Row],[ICAO]],3)</f>
        <v>TAR</v>
      </c>
      <c r="F19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t="s">
        <v>4056</v>
      </c>
      <c r="B1963" t="s">
        <v>4057</v>
      </c>
      <c r="C1963">
        <v>-34.361111000000001</v>
      </c>
      <c r="D1963">
        <v>136.095</v>
      </c>
      <c r="E1963" t="str">
        <f>RIGHT(Airports[[#This Row],[ICAO]],3)</f>
        <v>TBB</v>
      </c>
      <c r="F19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t="s">
        <v>4058</v>
      </c>
      <c r="B1964" t="s">
        <v>4059</v>
      </c>
      <c r="C1964">
        <v>-28.511389000000001</v>
      </c>
      <c r="D1964">
        <v>149.942778</v>
      </c>
      <c r="E1964" t="str">
        <f>RIGHT(Airports[[#This Row],[ICAO]],3)</f>
        <v>TBH</v>
      </c>
      <c r="F19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t="s">
        <v>4060</v>
      </c>
      <c r="B1965" t="s">
        <v>4061</v>
      </c>
      <c r="C1965">
        <v>-12.206666999999999</v>
      </c>
      <c r="D1965">
        <v>134.00972200000001</v>
      </c>
      <c r="E1965" t="str">
        <f>RIGHT(Airports[[#This Row],[ICAO]],3)</f>
        <v>TBI</v>
      </c>
      <c r="F19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t="s">
        <v>4062</v>
      </c>
      <c r="B1966" t="s">
        <v>4063</v>
      </c>
      <c r="C1966">
        <v>-35.762500000000003</v>
      </c>
      <c r="D1966">
        <v>147.886944</v>
      </c>
      <c r="E1966" t="str">
        <f>RIGHT(Airports[[#This Row],[ICAO]],3)</f>
        <v>TBM</v>
      </c>
      <c r="F19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t="s">
        <v>4064</v>
      </c>
      <c r="B1967" t="s">
        <v>4065</v>
      </c>
      <c r="C1967">
        <v>-15.620556000000001</v>
      </c>
      <c r="D1967">
        <v>130.44555600000001</v>
      </c>
      <c r="E1967" t="str">
        <f>RIGHT(Airports[[#This Row],[ICAO]],3)</f>
        <v>TBR</v>
      </c>
      <c r="F19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t="s">
        <v>4066</v>
      </c>
      <c r="B1968" t="s">
        <v>4067</v>
      </c>
      <c r="C1968">
        <v>-31.256667</v>
      </c>
      <c r="D1968">
        <v>149.12</v>
      </c>
      <c r="E1968" t="str">
        <f>RIGHT(Airports[[#This Row],[ICAO]],3)</f>
        <v>TBV</v>
      </c>
      <c r="F19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t="s">
        <v>4068</v>
      </c>
      <c r="B1969" t="s">
        <v>4069</v>
      </c>
      <c r="C1969">
        <v>-16.350000000000001</v>
      </c>
      <c r="D1969">
        <v>123.916389</v>
      </c>
      <c r="E1969" t="str">
        <f>RIGHT(Airports[[#This Row],[ICAO]],3)</f>
        <v>TBY</v>
      </c>
      <c r="F19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t="s">
        <v>4070</v>
      </c>
      <c r="B1970" t="s">
        <v>4071</v>
      </c>
      <c r="C1970">
        <v>-20.783055999999998</v>
      </c>
      <c r="D1970">
        <v>145</v>
      </c>
      <c r="E1970" t="str">
        <f>RIGHT(Airports[[#This Row],[ICAO]],3)</f>
        <v>TCK</v>
      </c>
      <c r="F19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t="s">
        <v>4072</v>
      </c>
      <c r="B1971" t="s">
        <v>4073</v>
      </c>
      <c r="C1971">
        <v>-22.683333000000001</v>
      </c>
      <c r="D1971">
        <v>143.345</v>
      </c>
      <c r="E1971" t="str">
        <f>RIGHT(Airports[[#This Row],[ICAO]],3)</f>
        <v>TCU</v>
      </c>
      <c r="F19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t="s">
        <v>4074</v>
      </c>
      <c r="B1972" t="s">
        <v>4075</v>
      </c>
      <c r="C1972">
        <v>-26.75</v>
      </c>
      <c r="D1972">
        <v>133.35</v>
      </c>
      <c r="E1972" t="str">
        <f>RIGHT(Airports[[#This Row],[ICAO]],3)</f>
        <v>TCY</v>
      </c>
      <c r="F19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t="s">
        <v>4076</v>
      </c>
      <c r="B1973" t="s">
        <v>4077</v>
      </c>
      <c r="C1973">
        <v>-27.122222000000001</v>
      </c>
      <c r="D1973">
        <v>134.77194399999999</v>
      </c>
      <c r="E1973" t="str">
        <f>RIGHT(Airports[[#This Row],[ICAO]],3)</f>
        <v>TDM</v>
      </c>
      <c r="F19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t="s">
        <v>4078</v>
      </c>
      <c r="B1974" t="s">
        <v>4079</v>
      </c>
      <c r="C1974">
        <v>-38.215555999999999</v>
      </c>
      <c r="D1974">
        <v>145.42361099999999</v>
      </c>
      <c r="E1974" t="str">
        <f>RIGHT(Airports[[#This Row],[ICAO]],3)</f>
        <v>TDN</v>
      </c>
      <c r="F19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t="s">
        <v>4080</v>
      </c>
      <c r="B1975" t="s">
        <v>4081</v>
      </c>
      <c r="C1975">
        <v>-24.986388999999999</v>
      </c>
      <c r="D1975">
        <v>150.09305599999999</v>
      </c>
      <c r="E1975" t="str">
        <f>RIGHT(Airports[[#This Row],[ICAO]],3)</f>
        <v>TDR</v>
      </c>
      <c r="F19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t="s">
        <v>4082</v>
      </c>
      <c r="B1976" t="s">
        <v>4083</v>
      </c>
      <c r="C1976">
        <v>-23.95</v>
      </c>
      <c r="D1976">
        <v>148.766389</v>
      </c>
      <c r="E1976" t="str">
        <f>RIGHT(Airports[[#This Row],[ICAO]],3)</f>
        <v>TEA</v>
      </c>
      <c r="F19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t="s">
        <v>4084</v>
      </c>
      <c r="B1977" t="s">
        <v>4085</v>
      </c>
      <c r="C1977">
        <v>-21.835000000000001</v>
      </c>
      <c r="D1977">
        <v>140.88805600000001</v>
      </c>
      <c r="E1977" t="str">
        <f>RIGHT(Airports[[#This Row],[ICAO]],3)</f>
        <v>TEE</v>
      </c>
      <c r="F19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t="s">
        <v>4086</v>
      </c>
      <c r="B1978" t="s">
        <v>4087</v>
      </c>
      <c r="C1978">
        <v>-21.715</v>
      </c>
      <c r="D1978">
        <v>122.22833300000001</v>
      </c>
      <c r="E1978" t="str">
        <f>RIGHT(Airports[[#This Row],[ICAO]],3)</f>
        <v>TEF</v>
      </c>
      <c r="F19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t="s">
        <v>4088</v>
      </c>
      <c r="B1979" t="s">
        <v>4089</v>
      </c>
      <c r="C1979">
        <v>-29.589444</v>
      </c>
      <c r="D1979">
        <v>149.41333299999999</v>
      </c>
      <c r="E1979" t="str">
        <f>RIGHT(Airports[[#This Row],[ICAO]],3)</f>
        <v>TEL</v>
      </c>
      <c r="F19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t="s">
        <v>4090</v>
      </c>
      <c r="B1980" t="s">
        <v>4091</v>
      </c>
      <c r="C1980">
        <v>-34.421388999999998</v>
      </c>
      <c r="D1980">
        <v>147.51166699999999</v>
      </c>
      <c r="E1980" t="str">
        <f>RIGHT(Airports[[#This Row],[ICAO]],3)</f>
        <v>TEM</v>
      </c>
      <c r="F19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t="s">
        <v>4092</v>
      </c>
      <c r="B1981" t="s">
        <v>4093</v>
      </c>
      <c r="C1981">
        <v>-20.556388999999999</v>
      </c>
      <c r="D1981">
        <v>117.243611</v>
      </c>
      <c r="E1981" t="str">
        <f>RIGHT(Airports[[#This Row],[ICAO]],3)</f>
        <v>TES</v>
      </c>
      <c r="F19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t="s">
        <v>4094</v>
      </c>
      <c r="B1982" t="s">
        <v>4095</v>
      </c>
      <c r="C1982">
        <v>-28.833333</v>
      </c>
      <c r="D1982">
        <v>151.16</v>
      </c>
      <c r="E1982" t="str">
        <f>RIGHT(Airports[[#This Row],[ICAO]],3)</f>
        <v>TEX</v>
      </c>
      <c r="F19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t="s">
        <v>4096</v>
      </c>
      <c r="B1983" t="s">
        <v>4097</v>
      </c>
      <c r="C1983">
        <v>-34.395277999999998</v>
      </c>
      <c r="D1983">
        <v>139.38333299999999</v>
      </c>
      <c r="E1983" t="str">
        <f>RIGHT(Airports[[#This Row],[ICAO]],3)</f>
        <v>TFA</v>
      </c>
      <c r="F19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t="s">
        <v>4098</v>
      </c>
      <c r="B1984" t="s">
        <v>4099</v>
      </c>
      <c r="C1984">
        <v>-28.991111</v>
      </c>
      <c r="D1984">
        <v>151.929722</v>
      </c>
      <c r="E1984" t="str">
        <f>RIGHT(Airports[[#This Row],[ICAO]],3)</f>
        <v>TFD</v>
      </c>
      <c r="F19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t="s">
        <v>4100</v>
      </c>
      <c r="B1985" t="s">
        <v>4101</v>
      </c>
      <c r="C1985">
        <v>-17.165555999999999</v>
      </c>
      <c r="D1985">
        <v>145.559167</v>
      </c>
      <c r="E1985" t="str">
        <f>RIGHT(Airports[[#This Row],[ICAO]],3)</f>
        <v>TFR</v>
      </c>
      <c r="F19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t="s">
        <v>4102</v>
      </c>
      <c r="B1986" t="s">
        <v>4103</v>
      </c>
      <c r="C1986">
        <v>-27.129722000000001</v>
      </c>
      <c r="D1986">
        <v>153.363056</v>
      </c>
      <c r="E1986" t="str">
        <f>RIGHT(Airports[[#This Row],[ICAO]],3)</f>
        <v>TGA</v>
      </c>
      <c r="F19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t="s">
        <v>4104</v>
      </c>
      <c r="B1987" t="s">
        <v>4105</v>
      </c>
      <c r="C1987">
        <v>-31.974722</v>
      </c>
      <c r="D1987">
        <v>148.003333</v>
      </c>
      <c r="E1987" t="str">
        <f>RIGHT(Airports[[#This Row],[ICAO]],3)</f>
        <v>TGI</v>
      </c>
      <c r="F19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t="s">
        <v>4106</v>
      </c>
      <c r="B1988" t="s">
        <v>4107</v>
      </c>
      <c r="C1988">
        <v>-27.986388999999999</v>
      </c>
      <c r="D1988">
        <v>143.810833</v>
      </c>
      <c r="E1988" t="str">
        <f>RIGHT(Airports[[#This Row],[ICAO]],3)</f>
        <v>TGM</v>
      </c>
      <c r="F19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t="s">
        <v>4108</v>
      </c>
      <c r="B1989" t="s">
        <v>4109</v>
      </c>
      <c r="C1989">
        <v>-20.548333</v>
      </c>
      <c r="D1989">
        <v>130.35</v>
      </c>
      <c r="E1989" t="str">
        <f>RIGHT(Airports[[#This Row],[ICAO]],3)</f>
        <v>TGT</v>
      </c>
      <c r="F19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t="s">
        <v>4110</v>
      </c>
      <c r="B1990" t="s">
        <v>4111</v>
      </c>
      <c r="C1990">
        <v>-22.466667000000001</v>
      </c>
      <c r="D1990">
        <v>144.44972200000001</v>
      </c>
      <c r="E1990" t="str">
        <f>RIGHT(Airports[[#This Row],[ICAO]],3)</f>
        <v>TGW</v>
      </c>
      <c r="F19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t="s">
        <v>4112</v>
      </c>
      <c r="B1991" t="s">
        <v>4113</v>
      </c>
      <c r="C1991">
        <v>-39.208500000000001</v>
      </c>
      <c r="D1991">
        <v>142.87491700000001</v>
      </c>
      <c r="E1991" t="str">
        <f>RIGHT(Airports[[#This Row],[ICAO]],3)</f>
        <v>THA</v>
      </c>
      <c r="F19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t="s">
        <v>4114</v>
      </c>
      <c r="B1992" t="s">
        <v>4115</v>
      </c>
      <c r="C1992">
        <v>-36.505555999999999</v>
      </c>
      <c r="D1992">
        <v>148.30277799999999</v>
      </c>
      <c r="E1992" t="str">
        <f>RIGHT(Airports[[#This Row],[ICAO]],3)</f>
        <v>THB</v>
      </c>
      <c r="F19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t="s">
        <v>4116</v>
      </c>
      <c r="B1993" t="s">
        <v>4117</v>
      </c>
      <c r="C1993">
        <v>-14.788055999999999</v>
      </c>
      <c r="D1993">
        <v>126.49638899999999</v>
      </c>
      <c r="E1993" t="str">
        <f>RIGHT(Airports[[#This Row],[ICAO]],3)</f>
        <v>THD</v>
      </c>
      <c r="F19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t="s">
        <v>4118</v>
      </c>
      <c r="B1994" t="s">
        <v>4119</v>
      </c>
      <c r="C1994">
        <v>-35</v>
      </c>
      <c r="D1994">
        <v>136.16666699999999</v>
      </c>
      <c r="E1994" t="str">
        <f>RIGHT(Airports[[#This Row],[ICAO]],3)</f>
        <v>THI</v>
      </c>
      <c r="F19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t="s">
        <v>4120</v>
      </c>
      <c r="B1995" t="s">
        <v>4121</v>
      </c>
      <c r="C1995">
        <v>-40.451388999999999</v>
      </c>
      <c r="D1995">
        <v>144.91388900000001</v>
      </c>
      <c r="E1995" t="str">
        <f>RIGHT(Airports[[#This Row],[ICAO]],3)</f>
        <v>THM</v>
      </c>
      <c r="F19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t="s">
        <v>4122</v>
      </c>
      <c r="B1996" t="s">
        <v>4123</v>
      </c>
      <c r="C1996">
        <v>-28.153888999999999</v>
      </c>
      <c r="D1996">
        <v>120.939167</v>
      </c>
      <c r="E1996" t="str">
        <f>RIGHT(Airports[[#This Row],[ICAO]],3)</f>
        <v>THN</v>
      </c>
      <c r="F19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t="s">
        <v>4124</v>
      </c>
      <c r="B1997" t="s">
        <v>4125</v>
      </c>
      <c r="C1997">
        <v>-25.133056</v>
      </c>
      <c r="D1997">
        <v>119.11666700000001</v>
      </c>
      <c r="E1997" t="str">
        <f>RIGHT(Airports[[#This Row],[ICAO]],3)</f>
        <v>THR</v>
      </c>
      <c r="F19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t="s">
        <v>4126</v>
      </c>
      <c r="B1998" t="s">
        <v>4127</v>
      </c>
      <c r="C1998">
        <v>-29.533055999999998</v>
      </c>
      <c r="D1998">
        <v>115.849722</v>
      </c>
      <c r="E1998" t="str">
        <f>RIGHT(Airports[[#This Row],[ICAO]],3)</f>
        <v>THS</v>
      </c>
      <c r="F19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t="s">
        <v>4128</v>
      </c>
      <c r="B1999" t="s">
        <v>4129</v>
      </c>
      <c r="C1999">
        <v>-29.983056000000001</v>
      </c>
      <c r="D1999">
        <v>135.39666700000001</v>
      </c>
      <c r="E1999" t="str">
        <f>RIGHT(Airports[[#This Row],[ICAO]],3)</f>
        <v>THT</v>
      </c>
      <c r="F19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t="s">
        <v>4130</v>
      </c>
      <c r="B2000" t="s">
        <v>4131</v>
      </c>
      <c r="C2000">
        <v>-21.466667000000001</v>
      </c>
      <c r="D2000">
        <v>115</v>
      </c>
      <c r="E2000" t="str">
        <f>RIGHT(Airports[[#This Row],[ICAO]],3)</f>
        <v>THV</v>
      </c>
      <c r="F20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t="s">
        <v>4132</v>
      </c>
      <c r="B2001" t="s">
        <v>4133</v>
      </c>
      <c r="C2001">
        <v>-26.093333000000001</v>
      </c>
      <c r="D2001">
        <v>143.45249999999999</v>
      </c>
      <c r="E2001" t="str">
        <f>RIGHT(Airports[[#This Row],[ICAO]],3)</f>
        <v>THY</v>
      </c>
      <c r="F20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t="s">
        <v>4134</v>
      </c>
      <c r="B2002" t="s">
        <v>4135</v>
      </c>
      <c r="C2002">
        <v>-29.451111000000001</v>
      </c>
      <c r="D2002">
        <v>142.05777800000001</v>
      </c>
      <c r="E2002" t="str">
        <f>RIGHT(Airports[[#This Row],[ICAO]],3)</f>
        <v>TIB</v>
      </c>
      <c r="F20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t="s">
        <v>4136</v>
      </c>
      <c r="B2003" t="s">
        <v>4137</v>
      </c>
      <c r="C2003">
        <v>-23.037222</v>
      </c>
      <c r="D2003">
        <v>148.34861100000001</v>
      </c>
      <c r="E2003" t="str">
        <f>RIGHT(Airports[[#This Row],[ICAO]],3)</f>
        <v>TIE</v>
      </c>
      <c r="F20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t="s">
        <v>4138</v>
      </c>
      <c r="B2004" t="s">
        <v>4139</v>
      </c>
      <c r="C2004">
        <v>-28.633056</v>
      </c>
      <c r="D2004">
        <v>142.19972200000001</v>
      </c>
      <c r="E2004" t="str">
        <f>RIGHT(Airports[[#This Row],[ICAO]],3)</f>
        <v>TIH</v>
      </c>
      <c r="F20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t="s">
        <v>4140</v>
      </c>
      <c r="B2005" t="s">
        <v>4141</v>
      </c>
      <c r="C2005">
        <v>-25.6</v>
      </c>
      <c r="D2005">
        <v>143.91666699999999</v>
      </c>
      <c r="E2005" t="str">
        <f>RIGHT(Airports[[#This Row],[ICAO]],3)</f>
        <v>TII</v>
      </c>
      <c r="F20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t="s">
        <v>4142</v>
      </c>
      <c r="B2006" t="s">
        <v>4143</v>
      </c>
      <c r="C2006">
        <v>-22.131388999999999</v>
      </c>
      <c r="D2006">
        <v>133.41972200000001</v>
      </c>
      <c r="E2006" t="str">
        <f>RIGHT(Airports[[#This Row],[ICAO]],3)</f>
        <v>TIT</v>
      </c>
      <c r="F20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t="s">
        <v>4144</v>
      </c>
      <c r="B2007" t="s">
        <v>4145</v>
      </c>
      <c r="C2007">
        <v>-27.666388999999999</v>
      </c>
      <c r="D2007">
        <v>140.083056</v>
      </c>
      <c r="E2007" t="str">
        <f>RIGHT(Airports[[#This Row],[ICAO]],3)</f>
        <v>TIW</v>
      </c>
      <c r="F20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t="s">
        <v>4146</v>
      </c>
      <c r="B2008" t="s">
        <v>4147</v>
      </c>
      <c r="C2008">
        <v>-12.977221999999999</v>
      </c>
      <c r="D2008">
        <v>136.50305599999999</v>
      </c>
      <c r="E2008" t="str">
        <f>RIGHT(Airports[[#This Row],[ICAO]],3)</f>
        <v>TIY</v>
      </c>
      <c r="F20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t="s">
        <v>4148</v>
      </c>
      <c r="B2009" t="s">
        <v>4149</v>
      </c>
      <c r="C2009">
        <v>-26.034721999999999</v>
      </c>
      <c r="D2009">
        <v>125.471389</v>
      </c>
      <c r="E2009" t="str">
        <f>RIGHT(Airports[[#This Row],[ICAO]],3)</f>
        <v>TJI</v>
      </c>
      <c r="F20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t="s">
        <v>4150</v>
      </c>
      <c r="B2010" t="s">
        <v>4151</v>
      </c>
      <c r="C2010">
        <v>-29.358332999999998</v>
      </c>
      <c r="D2010">
        <v>127.128333</v>
      </c>
      <c r="E2010" t="str">
        <f>RIGHT(Airports[[#This Row],[ICAO]],3)</f>
        <v>TJU</v>
      </c>
      <c r="F20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t="s">
        <v>4152</v>
      </c>
      <c r="B2011" t="s">
        <v>4153</v>
      </c>
      <c r="C2011">
        <v>-35.737499999999997</v>
      </c>
      <c r="D2011">
        <v>137.13222200000001</v>
      </c>
      <c r="E2011" t="str">
        <f>RIGHT(Airports[[#This Row],[ICAO]],3)</f>
        <v>TKL</v>
      </c>
      <c r="F20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t="s">
        <v>4154</v>
      </c>
      <c r="B2012" t="s">
        <v>4155</v>
      </c>
      <c r="C2012">
        <v>-17.040555999999999</v>
      </c>
      <c r="D2012">
        <v>128.20944399999999</v>
      </c>
      <c r="E2012" t="str">
        <f>RIGHT(Airports[[#This Row],[ICAO]],3)</f>
        <v>TKY</v>
      </c>
      <c r="F20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t="s">
        <v>4156</v>
      </c>
      <c r="B2013" t="s">
        <v>4157</v>
      </c>
      <c r="C2013">
        <v>-27.071110999999998</v>
      </c>
      <c r="D2013">
        <v>152.38305600000001</v>
      </c>
      <c r="E2013" t="str">
        <f>RIGHT(Airports[[#This Row],[ICAO]],3)</f>
        <v>TLH</v>
      </c>
      <c r="F20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t="s">
        <v>4158</v>
      </c>
      <c r="B2014" t="s">
        <v>4159</v>
      </c>
      <c r="C2014">
        <v>-28.049721999999999</v>
      </c>
      <c r="D2014">
        <v>151.91666699999999</v>
      </c>
      <c r="E2014" t="str">
        <f>RIGHT(Airports[[#This Row],[ICAO]],3)</f>
        <v>TLI</v>
      </c>
      <c r="F20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t="s">
        <v>4160</v>
      </c>
      <c r="B2015" t="s">
        <v>4161</v>
      </c>
      <c r="C2015">
        <v>-32.611944000000001</v>
      </c>
      <c r="D2015">
        <v>147.59638899999999</v>
      </c>
      <c r="E2015" t="str">
        <f>RIGHT(Airports[[#This Row],[ICAO]],3)</f>
        <v>TLL</v>
      </c>
      <c r="F20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t="s">
        <v>4162</v>
      </c>
      <c r="B2016" t="s">
        <v>4163</v>
      </c>
      <c r="C2016">
        <v>-30.925556</v>
      </c>
      <c r="D2016">
        <v>144.41999999999999</v>
      </c>
      <c r="E2016" t="str">
        <f>RIGHT(Airports[[#This Row],[ICAO]],3)</f>
        <v>TLP</v>
      </c>
      <c r="F20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t="s">
        <v>4164</v>
      </c>
      <c r="B2017" t="s">
        <v>4165</v>
      </c>
      <c r="C2017">
        <v>-22.633056</v>
      </c>
      <c r="D2017">
        <v>136.80000000000001</v>
      </c>
      <c r="E2017" t="str">
        <f>RIGHT(Airports[[#This Row],[ICAO]],3)</f>
        <v>TLT</v>
      </c>
      <c r="F20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t="s">
        <v>4166</v>
      </c>
      <c r="B2018" t="s">
        <v>4167</v>
      </c>
      <c r="C2018">
        <v>-34.223610999999998</v>
      </c>
      <c r="D2018">
        <v>118.215833</v>
      </c>
      <c r="E2018" t="str">
        <f>RIGHT(Airports[[#This Row],[ICAO]],3)</f>
        <v>TLY</v>
      </c>
      <c r="F20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t="s">
        <v>4168</v>
      </c>
      <c r="B2019" t="s">
        <v>4169</v>
      </c>
      <c r="C2019">
        <v>-24.649166999999998</v>
      </c>
      <c r="D2019">
        <v>149.62277800000001</v>
      </c>
      <c r="E2019" t="str">
        <f>RIGHT(Airports[[#This Row],[ICAO]],3)</f>
        <v>TMA</v>
      </c>
      <c r="F20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t="s">
        <v>4170</v>
      </c>
      <c r="B2020" t="s">
        <v>4171</v>
      </c>
      <c r="C2020">
        <v>-24.838889000000002</v>
      </c>
      <c r="D2020">
        <v>146.29305600000001</v>
      </c>
      <c r="E2020" t="str">
        <f>RIGHT(Airports[[#This Row],[ICAO]],3)</f>
        <v>TMB</v>
      </c>
      <c r="F20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t="s">
        <v>4172</v>
      </c>
      <c r="B2021" t="s">
        <v>4173</v>
      </c>
      <c r="C2021">
        <v>-23.399722000000001</v>
      </c>
      <c r="D2021">
        <v>143.833056</v>
      </c>
      <c r="E2021" t="str">
        <f>RIGHT(Airports[[#This Row],[ICAO]],3)</f>
        <v>TME</v>
      </c>
      <c r="F20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t="s">
        <v>4174</v>
      </c>
      <c r="B2022" t="s">
        <v>4175</v>
      </c>
      <c r="C2022">
        <v>-19.966667000000001</v>
      </c>
      <c r="D2022">
        <v>129.72555600000001</v>
      </c>
      <c r="E2022" t="str">
        <f>RIGHT(Airports[[#This Row],[ICAO]],3)</f>
        <v>TMN</v>
      </c>
      <c r="F20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t="s">
        <v>4176</v>
      </c>
      <c r="B2023" t="s">
        <v>4177</v>
      </c>
      <c r="C2023">
        <v>-21.811944</v>
      </c>
      <c r="D2023">
        <v>139.92333300000001</v>
      </c>
      <c r="E2023" t="str">
        <f>RIGHT(Airports[[#This Row],[ICAO]],3)</f>
        <v>TMO</v>
      </c>
      <c r="F20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t="s">
        <v>4178</v>
      </c>
      <c r="B2024" t="s">
        <v>4179</v>
      </c>
      <c r="C2024">
        <v>-31.3125</v>
      </c>
      <c r="D2024">
        <v>149.83972199999999</v>
      </c>
      <c r="E2024" t="str">
        <f>RIGHT(Airports[[#This Row],[ICAO]],3)</f>
        <v>TMS</v>
      </c>
      <c r="F20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t="s">
        <v>4180</v>
      </c>
      <c r="B2025" t="s">
        <v>4181</v>
      </c>
      <c r="C2025">
        <v>-35.262777999999997</v>
      </c>
      <c r="D2025">
        <v>148.24083300000001</v>
      </c>
      <c r="E2025" t="str">
        <f>RIGHT(Airports[[#This Row],[ICAO]],3)</f>
        <v>TMU</v>
      </c>
      <c r="F20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t="s">
        <v>4182</v>
      </c>
      <c r="B2026" t="s">
        <v>4183</v>
      </c>
      <c r="C2026">
        <v>-22.256111000000001</v>
      </c>
      <c r="D2026">
        <v>137.958056</v>
      </c>
      <c r="E2026" t="str">
        <f>RIGHT(Airports[[#This Row],[ICAO]],3)</f>
        <v>TMY</v>
      </c>
      <c r="F20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t="s">
        <v>4184</v>
      </c>
      <c r="B2027" t="s">
        <v>4185</v>
      </c>
      <c r="C2027">
        <v>-24.493888999999999</v>
      </c>
      <c r="D2027">
        <v>150.576111</v>
      </c>
      <c r="E2027" t="str">
        <f>RIGHT(Airports[[#This Row],[ICAO]],3)</f>
        <v>TNG</v>
      </c>
      <c r="F20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t="s">
        <v>4186</v>
      </c>
      <c r="B2028" t="s">
        <v>4187</v>
      </c>
      <c r="C2028">
        <v>-19.634443999999998</v>
      </c>
      <c r="D2028">
        <v>134.183333</v>
      </c>
      <c r="E2028" t="str">
        <f>RIGHT(Airports[[#This Row],[ICAO]],3)</f>
        <v>TNK</v>
      </c>
      <c r="F20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t="s">
        <v>4188</v>
      </c>
      <c r="B2029" t="s">
        <v>4189</v>
      </c>
      <c r="C2029">
        <v>-16.45</v>
      </c>
      <c r="D2029">
        <v>134.649722</v>
      </c>
      <c r="E2029" t="str">
        <f>RIGHT(Airports[[#This Row],[ICAO]],3)</f>
        <v>TNR</v>
      </c>
      <c r="F20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t="s">
        <v>4190</v>
      </c>
      <c r="B2030" t="s">
        <v>4191</v>
      </c>
      <c r="C2030">
        <v>-25.333333</v>
      </c>
      <c r="D2030">
        <v>146.06638899999999</v>
      </c>
      <c r="E2030" t="str">
        <f>RIGHT(Airports[[#This Row],[ICAO]],3)</f>
        <v>TNS</v>
      </c>
      <c r="F20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t="s">
        <v>4192</v>
      </c>
      <c r="B2031" t="s">
        <v>4193</v>
      </c>
      <c r="C2031">
        <v>-28.408055999999998</v>
      </c>
      <c r="D2031">
        <v>140.80972199999999</v>
      </c>
      <c r="E2031" t="str">
        <f>RIGHT(Airports[[#This Row],[ICAO]],3)</f>
        <v>TOA</v>
      </c>
      <c r="F20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t="s">
        <v>4194</v>
      </c>
      <c r="B2032" t="s">
        <v>4195</v>
      </c>
      <c r="C2032">
        <v>-19.933056000000001</v>
      </c>
      <c r="D2032">
        <v>145.583056</v>
      </c>
      <c r="E2032" t="str">
        <f>RIGHT(Airports[[#This Row],[ICAO]],3)</f>
        <v>TOB</v>
      </c>
      <c r="F20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t="s">
        <v>4196</v>
      </c>
      <c r="B2033" t="s">
        <v>4197</v>
      </c>
      <c r="C2033">
        <v>-35.810833000000002</v>
      </c>
      <c r="D2033">
        <v>145.60416699999999</v>
      </c>
      <c r="E2033" t="str">
        <f>RIGHT(Airports[[#This Row],[ICAO]],3)</f>
        <v>TOC</v>
      </c>
      <c r="F20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t="s">
        <v>4198</v>
      </c>
      <c r="B2034" t="s">
        <v>4199</v>
      </c>
      <c r="C2034">
        <v>-30.083611000000001</v>
      </c>
      <c r="D2034">
        <v>149.54333299999999</v>
      </c>
      <c r="E2034" t="str">
        <f>RIGHT(Airports[[#This Row],[ICAO]],3)</f>
        <v>TOG</v>
      </c>
      <c r="F20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t="s">
        <v>4200</v>
      </c>
      <c r="B2035" t="s">
        <v>4201</v>
      </c>
      <c r="C2035">
        <v>-25.871389000000001</v>
      </c>
      <c r="D2035">
        <v>148.04333299999999</v>
      </c>
      <c r="E2035" t="str">
        <f>RIGHT(Airports[[#This Row],[ICAO]],3)</f>
        <v>TOL</v>
      </c>
      <c r="F20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t="s">
        <v>4202</v>
      </c>
      <c r="B2036" t="s">
        <v>4203</v>
      </c>
      <c r="C2036">
        <v>-33.369999999999997</v>
      </c>
      <c r="D2036">
        <v>120.87388900000001</v>
      </c>
      <c r="E2036" t="str">
        <f>RIGHT(Airports[[#This Row],[ICAO]],3)</f>
        <v>TOO</v>
      </c>
      <c r="F20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t="s">
        <v>4204</v>
      </c>
      <c r="B2037" t="s">
        <v>4205</v>
      </c>
      <c r="C2037">
        <v>-32.256110999999997</v>
      </c>
      <c r="D2037">
        <v>147.368889</v>
      </c>
      <c r="E2037" t="str">
        <f>RIGHT(Airports[[#This Row],[ICAO]],3)</f>
        <v>TOT</v>
      </c>
      <c r="F20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t="s">
        <v>4206</v>
      </c>
      <c r="B2038" t="s">
        <v>4207</v>
      </c>
      <c r="C2038">
        <v>-13.730556</v>
      </c>
      <c r="D2038">
        <v>131.04222200000001</v>
      </c>
      <c r="E2038" t="str">
        <f>RIGHT(Airports[[#This Row],[ICAO]],3)</f>
        <v>TPA</v>
      </c>
      <c r="F20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t="s">
        <v>4208</v>
      </c>
      <c r="B2039" t="s">
        <v>4209</v>
      </c>
      <c r="C2039">
        <v>-38.292777999999998</v>
      </c>
      <c r="D2039">
        <v>146.18972199999999</v>
      </c>
      <c r="E2039" t="str">
        <f>RIGHT(Airports[[#This Row],[ICAO]],3)</f>
        <v>TPD</v>
      </c>
      <c r="F20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t="s">
        <v>4210</v>
      </c>
      <c r="B2040" t="s">
        <v>4211</v>
      </c>
      <c r="C2040">
        <v>-21.208333</v>
      </c>
      <c r="D2040">
        <v>148.97833299999999</v>
      </c>
      <c r="E2040" t="str">
        <f>RIGHT(Airports[[#This Row],[ICAO]],3)</f>
        <v>TPK</v>
      </c>
      <c r="F20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t="s">
        <v>4212</v>
      </c>
      <c r="B2041" t="s">
        <v>4213</v>
      </c>
      <c r="C2041">
        <v>-34.346944000000001</v>
      </c>
      <c r="D2041">
        <v>144.068333</v>
      </c>
      <c r="E2041" t="str">
        <f>RIGHT(Airports[[#This Row],[ICAO]],3)</f>
        <v>TPL</v>
      </c>
      <c r="F20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t="s">
        <v>4214</v>
      </c>
      <c r="B2042" t="s">
        <v>4215</v>
      </c>
      <c r="C2042">
        <v>-38.299999999999997</v>
      </c>
      <c r="D2042">
        <v>144.36500000000001</v>
      </c>
      <c r="E2042" t="str">
        <f>RIGHT(Airports[[#This Row],[ICAO]],3)</f>
        <v>TQY</v>
      </c>
      <c r="F20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t="s">
        <v>4216</v>
      </c>
      <c r="B2043" t="s">
        <v>4217</v>
      </c>
      <c r="C2043">
        <v>-29.186667</v>
      </c>
      <c r="D2043">
        <v>124.55027800000001</v>
      </c>
      <c r="E2043" t="str">
        <f>RIGHT(Airports[[#This Row],[ICAO]],3)</f>
        <v>TRA</v>
      </c>
      <c r="F20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t="s">
        <v>4218</v>
      </c>
      <c r="B2044" t="s">
        <v>4219</v>
      </c>
      <c r="C2044">
        <v>-24.083333</v>
      </c>
      <c r="D2044">
        <v>143.399722</v>
      </c>
      <c r="E2044" t="str">
        <f>RIGHT(Airports[[#This Row],[ICAO]],3)</f>
        <v>TRC</v>
      </c>
      <c r="F20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t="s">
        <v>4220</v>
      </c>
      <c r="B2045" t="s">
        <v>4221</v>
      </c>
      <c r="C2045">
        <v>-31.888611000000001</v>
      </c>
      <c r="D2045">
        <v>152.51388900000001</v>
      </c>
      <c r="E2045" t="str">
        <f>RIGHT(Airports[[#This Row],[ICAO]],3)</f>
        <v>TRE</v>
      </c>
      <c r="F20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t="s">
        <v>4222</v>
      </c>
      <c r="B2046" t="s">
        <v>4223</v>
      </c>
      <c r="C2046">
        <v>-40.633333</v>
      </c>
      <c r="D2046">
        <v>144.683333</v>
      </c>
      <c r="E2046" t="str">
        <f>RIGHT(Airports[[#This Row],[ICAO]],3)</f>
        <v>TRF</v>
      </c>
      <c r="F20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t="s">
        <v>4224</v>
      </c>
      <c r="B2047" t="s">
        <v>4225</v>
      </c>
      <c r="C2047">
        <v>-30.209444000000001</v>
      </c>
      <c r="D2047">
        <v>135.231111</v>
      </c>
      <c r="E2047" t="str">
        <f>RIGHT(Airports[[#This Row],[ICAO]],3)</f>
        <v>TRG</v>
      </c>
      <c r="F20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t="s">
        <v>4226</v>
      </c>
      <c r="B2048" t="s">
        <v>4227</v>
      </c>
      <c r="C2048">
        <v>-16.916388999999999</v>
      </c>
      <c r="D2048">
        <v>145.783333</v>
      </c>
      <c r="E2048" t="str">
        <f>RIGHT(Airports[[#This Row],[ICAO]],3)</f>
        <v>TRI</v>
      </c>
      <c r="F20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t="s">
        <v>4228</v>
      </c>
      <c r="B2049" t="s">
        <v>4229</v>
      </c>
      <c r="C2049">
        <v>-23.616667</v>
      </c>
      <c r="D2049">
        <v>118.61666700000001</v>
      </c>
      <c r="E2049" t="str">
        <f>RIGHT(Airports[[#This Row],[ICAO]],3)</f>
        <v>TRK</v>
      </c>
      <c r="F20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t="s">
        <v>4230</v>
      </c>
      <c r="B2050" t="s">
        <v>4231</v>
      </c>
      <c r="C2050">
        <v>-22.083333</v>
      </c>
      <c r="D2050">
        <v>144.016389</v>
      </c>
      <c r="E2050" t="str">
        <f>RIGHT(Airports[[#This Row],[ICAO]],3)</f>
        <v>TRN</v>
      </c>
      <c r="F20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t="s">
        <v>4232</v>
      </c>
      <c r="B2051" t="s">
        <v>4233</v>
      </c>
      <c r="C2051">
        <v>-23.299721999999999</v>
      </c>
      <c r="D2051">
        <v>149.35</v>
      </c>
      <c r="E2051" t="str">
        <f>RIGHT(Airports[[#This Row],[ICAO]],3)</f>
        <v>TRO</v>
      </c>
      <c r="F20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t="s">
        <v>4234</v>
      </c>
      <c r="B2052" t="s">
        <v>4235</v>
      </c>
      <c r="C2052">
        <v>-20.933610999999999</v>
      </c>
      <c r="D2052">
        <v>149.75194400000001</v>
      </c>
      <c r="E2052" t="str">
        <f>RIGHT(Airports[[#This Row],[ICAO]],3)</f>
        <v>TRS</v>
      </c>
      <c r="F20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t="s">
        <v>4236</v>
      </c>
      <c r="B2053" t="s">
        <v>4237</v>
      </c>
      <c r="C2053">
        <v>-17.366667</v>
      </c>
      <c r="D2053">
        <v>143.75</v>
      </c>
      <c r="E2053" t="str">
        <f>RIGHT(Airports[[#This Row],[ICAO]],3)</f>
        <v>TRW</v>
      </c>
      <c r="F20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t="s">
        <v>4238</v>
      </c>
      <c r="B2054" t="s">
        <v>4239</v>
      </c>
      <c r="C2054">
        <v>-14.089722</v>
      </c>
      <c r="D2054">
        <v>126.380833</v>
      </c>
      <c r="E2054" t="str">
        <f>RIGHT(Airports[[#This Row],[ICAO]],3)</f>
        <v>TST</v>
      </c>
      <c r="F20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t="s">
        <v>4240</v>
      </c>
      <c r="B2055" t="s">
        <v>4143</v>
      </c>
      <c r="C2055">
        <v>-13.966388999999999</v>
      </c>
      <c r="D2055">
        <v>141.649722</v>
      </c>
      <c r="E2055" t="str">
        <f>RIGHT(Airports[[#This Row],[ICAO]],3)</f>
        <v>TTE</v>
      </c>
      <c r="F20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t="s">
        <v>4241</v>
      </c>
      <c r="B2056" t="s">
        <v>4242</v>
      </c>
      <c r="C2056">
        <v>-13.751666999999999</v>
      </c>
      <c r="D2056">
        <v>126.14833299999999</v>
      </c>
      <c r="E2056" t="str">
        <f>RIGHT(Airports[[#This Row],[ICAO]],3)</f>
        <v>TTI</v>
      </c>
      <c r="F20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t="s">
        <v>4243</v>
      </c>
      <c r="B2057" t="s">
        <v>4244</v>
      </c>
      <c r="C2057">
        <v>-22.953333000000001</v>
      </c>
      <c r="D2057">
        <v>149.42833300000001</v>
      </c>
      <c r="E2057" t="str">
        <f>RIGHT(Airports[[#This Row],[ICAO]],3)</f>
        <v>TTS</v>
      </c>
      <c r="F20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t="s">
        <v>4245</v>
      </c>
      <c r="B2058" t="s">
        <v>4246</v>
      </c>
      <c r="C2058">
        <v>-35.458055999999999</v>
      </c>
      <c r="D2058">
        <v>144.28222199999999</v>
      </c>
      <c r="E2058" t="str">
        <f>RIGHT(Airports[[#This Row],[ICAO]],3)</f>
        <v>TUB</v>
      </c>
      <c r="F20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t="s">
        <v>4247</v>
      </c>
      <c r="B2059" t="s">
        <v>4248</v>
      </c>
      <c r="C2059">
        <v>-10.583055999999999</v>
      </c>
      <c r="D2059">
        <v>142.21638899999999</v>
      </c>
      <c r="E2059" t="str">
        <f>RIGHT(Airports[[#This Row],[ICAO]],3)</f>
        <v>TUD</v>
      </c>
      <c r="F20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t="s">
        <v>4249</v>
      </c>
      <c r="B2060" t="s">
        <v>4250</v>
      </c>
      <c r="C2060">
        <v>-32.938056000000003</v>
      </c>
      <c r="D2060">
        <v>147.71</v>
      </c>
      <c r="E2060" t="str">
        <f>RIGHT(Airports[[#This Row],[ICAO]],3)</f>
        <v>TUE</v>
      </c>
      <c r="F20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t="s">
        <v>4251</v>
      </c>
      <c r="B2061" t="s">
        <v>4252</v>
      </c>
      <c r="C2061">
        <v>-24.495000000000001</v>
      </c>
      <c r="D2061">
        <v>149.21638899999999</v>
      </c>
      <c r="E2061" t="str">
        <f>RIGHT(Airports[[#This Row],[ICAO]],3)</f>
        <v>TUG</v>
      </c>
      <c r="F20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t="s">
        <v>4253</v>
      </c>
      <c r="B2062" t="s">
        <v>4254</v>
      </c>
      <c r="C2062">
        <v>-23.984999999999999</v>
      </c>
      <c r="D2062">
        <v>146.276667</v>
      </c>
      <c r="E2062" t="str">
        <f>RIGHT(Airports[[#This Row],[ICAO]],3)</f>
        <v>TUM</v>
      </c>
      <c r="F20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t="s">
        <v>4255</v>
      </c>
      <c r="B2063" t="s">
        <v>4256</v>
      </c>
      <c r="C2063">
        <v>-42.113332999999997</v>
      </c>
      <c r="D2063">
        <v>147.36500000000001</v>
      </c>
      <c r="E2063" t="str">
        <f>RIGHT(Airports[[#This Row],[ICAO]],3)</f>
        <v>TUN</v>
      </c>
      <c r="F20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t="s">
        <v>4257</v>
      </c>
      <c r="B2064" t="s">
        <v>4258</v>
      </c>
      <c r="C2064">
        <v>-31.926666999999998</v>
      </c>
      <c r="D2064">
        <v>149.795278</v>
      </c>
      <c r="E2064" t="str">
        <f>RIGHT(Airports[[#This Row],[ICAO]],3)</f>
        <v>TUR</v>
      </c>
      <c r="F20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t="s">
        <v>4259</v>
      </c>
      <c r="B2065" t="s">
        <v>4260</v>
      </c>
      <c r="C2065">
        <v>-17.936111</v>
      </c>
      <c r="D2065">
        <v>145.93777800000001</v>
      </c>
      <c r="E2065" t="str">
        <f>RIGHT(Airports[[#This Row],[ICAO]],3)</f>
        <v>TUY</v>
      </c>
      <c r="F20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t="s">
        <v>4261</v>
      </c>
      <c r="B2066" t="s">
        <v>4262</v>
      </c>
      <c r="C2066">
        <v>-21.855556</v>
      </c>
      <c r="D2066">
        <v>149.03472199999999</v>
      </c>
      <c r="E2066" t="str">
        <f>RIGHT(Airports[[#This Row],[ICAO]],3)</f>
        <v>TWA</v>
      </c>
      <c r="F20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t="s">
        <v>4263</v>
      </c>
      <c r="B2067" t="s">
        <v>4264</v>
      </c>
      <c r="C2067">
        <v>-27.541388999999999</v>
      </c>
      <c r="D2067">
        <v>151.91249999999999</v>
      </c>
      <c r="E2067" t="str">
        <f>RIGHT(Airports[[#This Row],[ICAO]],3)</f>
        <v>TWB</v>
      </c>
      <c r="F20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t="s">
        <v>4265</v>
      </c>
      <c r="B2068" t="s">
        <v>4266</v>
      </c>
      <c r="C2068">
        <v>-28.5</v>
      </c>
      <c r="D2068">
        <v>149.44972200000001</v>
      </c>
      <c r="E2068" t="str">
        <f>RIGHT(Airports[[#This Row],[ICAO]],3)</f>
        <v>TWD</v>
      </c>
      <c r="F20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t="s">
        <v>4267</v>
      </c>
      <c r="B2069" t="s">
        <v>4268</v>
      </c>
      <c r="C2069">
        <v>-22.836389</v>
      </c>
      <c r="D2069">
        <v>146.72305600000001</v>
      </c>
      <c r="E2069" t="str">
        <f>RIGHT(Airports[[#This Row],[ICAO]],3)</f>
        <v>TWE</v>
      </c>
      <c r="F20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t="s">
        <v>4269</v>
      </c>
      <c r="B2070" t="s">
        <v>4270</v>
      </c>
      <c r="C2070">
        <v>-34.690832999999998</v>
      </c>
      <c r="D2070">
        <v>149.88805600000001</v>
      </c>
      <c r="E2070" t="str">
        <f>RIGHT(Airports[[#This Row],[ICAO]],3)</f>
        <v>TWG</v>
      </c>
      <c r="F20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t="s">
        <v>4271</v>
      </c>
      <c r="B2071" t="s">
        <v>4272</v>
      </c>
      <c r="C2071">
        <v>-28.174721999999999</v>
      </c>
      <c r="D2071">
        <v>153.54333299999999</v>
      </c>
      <c r="E2071" t="str">
        <f>RIGHT(Airports[[#This Row],[ICAO]],3)</f>
        <v>TWH</v>
      </c>
      <c r="F20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t="s">
        <v>4273</v>
      </c>
      <c r="B2072" t="s">
        <v>4274</v>
      </c>
      <c r="C2072">
        <v>-34.588056000000002</v>
      </c>
      <c r="D2072">
        <v>138.51472200000001</v>
      </c>
      <c r="E2072" t="str">
        <f>RIGHT(Airports[[#This Row],[ICAO]],3)</f>
        <v>TWL</v>
      </c>
      <c r="F20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t="s">
        <v>4275</v>
      </c>
      <c r="B2073" t="s">
        <v>4276</v>
      </c>
      <c r="C2073">
        <v>-31.441666999999999</v>
      </c>
      <c r="D2073">
        <v>148.9</v>
      </c>
      <c r="E2073" t="str">
        <f>RIGHT(Airports[[#This Row],[ICAO]],3)</f>
        <v>TWN</v>
      </c>
      <c r="F20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t="s">
        <v>4277</v>
      </c>
      <c r="B2074" t="s">
        <v>4278</v>
      </c>
      <c r="C2074">
        <v>-38.266666999999998</v>
      </c>
      <c r="D2074">
        <v>145.17500000000001</v>
      </c>
      <c r="E2074" t="str">
        <f>RIGHT(Airports[[#This Row],[ICAO]],3)</f>
        <v>TYA</v>
      </c>
      <c r="F20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t="s">
        <v>4279</v>
      </c>
      <c r="B2075" t="s">
        <v>4280</v>
      </c>
      <c r="C2075">
        <v>-28.594722000000001</v>
      </c>
      <c r="D2075">
        <v>153.55111099999999</v>
      </c>
      <c r="E2075" t="str">
        <f>RIGHT(Airports[[#This Row],[ICAO]],3)</f>
        <v>TYH</v>
      </c>
      <c r="F20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t="s">
        <v>4281</v>
      </c>
      <c r="B2076" t="s">
        <v>4282</v>
      </c>
      <c r="C2076">
        <v>-26.221944000000001</v>
      </c>
      <c r="D2076">
        <v>133.90388899999999</v>
      </c>
      <c r="E2076" t="str">
        <f>RIGHT(Airports[[#This Row],[ICAO]],3)</f>
        <v>TYN</v>
      </c>
      <c r="F20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t="s">
        <v>4283</v>
      </c>
      <c r="B2077" t="s">
        <v>4284</v>
      </c>
      <c r="C2077">
        <v>-38.404443999999998</v>
      </c>
      <c r="D2077">
        <v>148.320278</v>
      </c>
      <c r="E2077" t="str">
        <f>RIGHT(Airports[[#This Row],[ICAO]],3)</f>
        <v>UAL</v>
      </c>
      <c r="F20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t="s">
        <v>4285</v>
      </c>
      <c r="B2078" t="s">
        <v>4286</v>
      </c>
      <c r="C2078">
        <v>-20.100000000000001</v>
      </c>
      <c r="D2078">
        <v>127.599722</v>
      </c>
      <c r="E2078" t="str">
        <f>RIGHT(Airports[[#This Row],[ICAO]],3)</f>
        <v>UAN</v>
      </c>
      <c r="F20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t="s">
        <v>4287</v>
      </c>
      <c r="B2079" t="s">
        <v>4288</v>
      </c>
      <c r="C2079">
        <v>-13.876944</v>
      </c>
      <c r="D2079">
        <v>136.796111</v>
      </c>
      <c r="E2079" t="str">
        <f>RIGHT(Airports[[#This Row],[ICAO]],3)</f>
        <v>UBK</v>
      </c>
      <c r="F20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t="s">
        <v>4289</v>
      </c>
      <c r="B2080" t="s">
        <v>4290</v>
      </c>
      <c r="C2080">
        <v>-38.449722000000001</v>
      </c>
      <c r="D2080">
        <v>148.309167</v>
      </c>
      <c r="E2080" t="str">
        <f>RIGHT(Airports[[#This Row],[ICAO]],3)</f>
        <v>UBX</v>
      </c>
      <c r="F20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t="s">
        <v>4291</v>
      </c>
      <c r="B2081" t="s">
        <v>4292</v>
      </c>
      <c r="C2081">
        <v>-17.673333</v>
      </c>
      <c r="D2081">
        <v>134.23777799999999</v>
      </c>
      <c r="E2081" t="str">
        <f>RIGHT(Airports[[#This Row],[ICAO]],3)</f>
        <v>UCH</v>
      </c>
      <c r="F20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t="s">
        <v>4293</v>
      </c>
      <c r="B2082" t="s">
        <v>4294</v>
      </c>
      <c r="C2082">
        <v>-18.191666999999999</v>
      </c>
      <c r="D2082">
        <v>144.61333300000001</v>
      </c>
      <c r="E2082" t="str">
        <f>RIGHT(Airports[[#This Row],[ICAO]],3)</f>
        <v>UDA</v>
      </c>
      <c r="F20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t="s">
        <v>4295</v>
      </c>
      <c r="B2083" t="s">
        <v>4296</v>
      </c>
      <c r="C2083">
        <v>-21.594443999999999</v>
      </c>
      <c r="D2083">
        <v>138.365556</v>
      </c>
      <c r="E2083" t="str">
        <f>RIGHT(Airports[[#This Row],[ICAO]],3)</f>
        <v>UDG</v>
      </c>
      <c r="F20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t="s">
        <v>4297</v>
      </c>
      <c r="B2084" t="s">
        <v>4298</v>
      </c>
      <c r="C2084">
        <v>-19.624167</v>
      </c>
      <c r="D2084">
        <v>138.63833299999999</v>
      </c>
      <c r="E2084" t="str">
        <f>RIGHT(Airports[[#This Row],[ICAO]],3)</f>
        <v>UDL</v>
      </c>
      <c r="F20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t="s">
        <v>4299</v>
      </c>
      <c r="B2085" t="s">
        <v>4300</v>
      </c>
      <c r="C2085">
        <v>-38.596666999999997</v>
      </c>
      <c r="D2085">
        <v>148.144722</v>
      </c>
      <c r="E2085" t="str">
        <f>RIGHT(Airports[[#This Row],[ICAO]],3)</f>
        <v>UFA</v>
      </c>
      <c r="F20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t="s">
        <v>4301</v>
      </c>
      <c r="B2086" t="s">
        <v>4302</v>
      </c>
      <c r="C2086">
        <v>-38.596666999999997</v>
      </c>
      <c r="D2086">
        <v>148.144722</v>
      </c>
      <c r="E2086" t="str">
        <f>RIGHT(Airports[[#This Row],[ICAO]],3)</f>
        <v>UFB</v>
      </c>
      <c r="F20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t="s">
        <v>4303</v>
      </c>
      <c r="B2087" t="s">
        <v>4304</v>
      </c>
      <c r="C2087">
        <v>-38.593333000000001</v>
      </c>
      <c r="D2087">
        <v>148.10555600000001</v>
      </c>
      <c r="E2087" t="str">
        <f>RIGHT(Airports[[#This Row],[ICAO]],3)</f>
        <v>UFW</v>
      </c>
      <c r="F20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t="s">
        <v>4305</v>
      </c>
      <c r="B2088" t="s">
        <v>4306</v>
      </c>
      <c r="C2088">
        <v>-38.479444000000001</v>
      </c>
      <c r="D2088">
        <v>148.34277800000001</v>
      </c>
      <c r="E2088" t="str">
        <f>RIGHT(Airports[[#This Row],[ICAO]],3)</f>
        <v>UKL</v>
      </c>
      <c r="F20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t="s">
        <v>4307</v>
      </c>
      <c r="B2089" t="s">
        <v>4308</v>
      </c>
      <c r="C2089">
        <v>-22.029444000000002</v>
      </c>
      <c r="D2089">
        <v>145.97416699999999</v>
      </c>
      <c r="E2089" t="str">
        <f>RIGHT(Airports[[#This Row],[ICAO]],3)</f>
        <v>ULC</v>
      </c>
      <c r="F20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t="s">
        <v>4309</v>
      </c>
      <c r="B2090" t="s">
        <v>4310</v>
      </c>
      <c r="C2090">
        <v>-32.239167000000002</v>
      </c>
      <c r="D2090">
        <v>149.74555599999999</v>
      </c>
      <c r="E2090" t="str">
        <f>RIGHT(Airports[[#This Row],[ICAO]],3)</f>
        <v>ULN</v>
      </c>
      <c r="F20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t="s">
        <v>4311</v>
      </c>
      <c r="B2091" t="s">
        <v>4312</v>
      </c>
      <c r="C2091">
        <v>-38.311388999999998</v>
      </c>
      <c r="D2091">
        <v>148.43944400000001</v>
      </c>
      <c r="E2091" t="str">
        <f>RIGHT(Airports[[#This Row],[ICAO]],3)</f>
        <v>ULX</v>
      </c>
      <c r="F20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t="s">
        <v>4313</v>
      </c>
      <c r="B2092" t="s">
        <v>4314</v>
      </c>
      <c r="C2092">
        <v>-38.5</v>
      </c>
      <c r="D2092">
        <v>147.772222</v>
      </c>
      <c r="E2092" t="str">
        <f>RIGHT(Airports[[#This Row],[ICAO]],3)</f>
        <v>UMA</v>
      </c>
      <c r="F20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t="s">
        <v>4315</v>
      </c>
      <c r="B2093" t="s">
        <v>4316</v>
      </c>
      <c r="C2093">
        <v>-25.746389000000001</v>
      </c>
      <c r="D2093">
        <v>133.70138900000001</v>
      </c>
      <c r="E2093" t="str">
        <f>RIGHT(Airports[[#This Row],[ICAO]],3)</f>
        <v>UMB</v>
      </c>
      <c r="F20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t="s">
        <v>4317</v>
      </c>
      <c r="B2094" t="s">
        <v>4318</v>
      </c>
      <c r="C2094">
        <v>-26.486667000000001</v>
      </c>
      <c r="D2094">
        <v>132.04</v>
      </c>
      <c r="E2094" t="str">
        <f>RIGHT(Airports[[#This Row],[ICAO]],3)</f>
        <v>UMU</v>
      </c>
      <c r="F20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t="s">
        <v>4319</v>
      </c>
      <c r="B2095" t="s">
        <v>4320</v>
      </c>
      <c r="C2095">
        <v>-38.17</v>
      </c>
      <c r="D2095">
        <v>148.419444</v>
      </c>
      <c r="E2095" t="str">
        <f>RIGHT(Airports[[#This Row],[ICAO]],3)</f>
        <v>UNA</v>
      </c>
      <c r="F20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t="s">
        <v>4321</v>
      </c>
      <c r="B2096" t="s">
        <v>4322</v>
      </c>
      <c r="C2096">
        <v>-38.192500000000003</v>
      </c>
      <c r="D2096">
        <v>148.388611</v>
      </c>
      <c r="E2096" t="str">
        <f>RIGHT(Airports[[#This Row],[ICAO]],3)</f>
        <v>UNW</v>
      </c>
      <c r="F20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t="s">
        <v>4323</v>
      </c>
      <c r="B2097" t="s">
        <v>4324</v>
      </c>
      <c r="C2097">
        <v>-24.511389000000001</v>
      </c>
      <c r="D2097">
        <v>139.617222</v>
      </c>
      <c r="E2097" t="str">
        <f>RIGHT(Airports[[#This Row],[ICAO]],3)</f>
        <v>UNY</v>
      </c>
      <c r="F20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t="s">
        <v>4325</v>
      </c>
      <c r="B2098" t="s">
        <v>4326</v>
      </c>
      <c r="C2098">
        <v>-38.219721999999997</v>
      </c>
      <c r="D2098">
        <v>147.16888900000001</v>
      </c>
      <c r="E2098" t="str">
        <f>RIGHT(Airports[[#This Row],[ICAO]],3)</f>
        <v>UOF</v>
      </c>
      <c r="F20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t="s">
        <v>4327</v>
      </c>
      <c r="B2099" t="s">
        <v>4328</v>
      </c>
      <c r="C2099">
        <v>-38.487222000000003</v>
      </c>
      <c r="D2099">
        <v>147.3775</v>
      </c>
      <c r="E2099" t="str">
        <f>RIGHT(Airports[[#This Row],[ICAO]],3)</f>
        <v>UPA</v>
      </c>
      <c r="F20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t="s">
        <v>4329</v>
      </c>
      <c r="B2100" t="s">
        <v>4330</v>
      </c>
      <c r="C2100">
        <v>-16.683056000000001</v>
      </c>
      <c r="D2100">
        <v>145.93861100000001</v>
      </c>
      <c r="E2100" t="str">
        <f>RIGHT(Airports[[#This Row],[ICAO]],3)</f>
        <v>UPC</v>
      </c>
      <c r="F2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t="s">
        <v>4331</v>
      </c>
      <c r="B2101" t="s">
        <v>4332</v>
      </c>
      <c r="C2101">
        <v>-38.569167</v>
      </c>
      <c r="D2101">
        <v>147.32249999999999</v>
      </c>
      <c r="E2101" t="str">
        <f>RIGHT(Airports[[#This Row],[ICAO]],3)</f>
        <v>UPE</v>
      </c>
      <c r="F2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t="s">
        <v>4333</v>
      </c>
      <c r="B2102" t="s">
        <v>4334</v>
      </c>
      <c r="C2102">
        <v>-14.705278</v>
      </c>
      <c r="D2102">
        <v>134.56222199999999</v>
      </c>
      <c r="E2102" t="str">
        <f>RIGHT(Airports[[#This Row],[ICAO]],3)</f>
        <v>UPG</v>
      </c>
      <c r="F2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t="s">
        <v>4335</v>
      </c>
      <c r="B2103" t="s">
        <v>4336</v>
      </c>
      <c r="C2103">
        <v>-38.230556</v>
      </c>
      <c r="D2103">
        <v>148.220833</v>
      </c>
      <c r="E2103" t="str">
        <f>RIGHT(Airports[[#This Row],[ICAO]],3)</f>
        <v>UPX</v>
      </c>
      <c r="F2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t="s">
        <v>4337</v>
      </c>
      <c r="B2104" t="s">
        <v>4338</v>
      </c>
      <c r="C2104">
        <v>-38.517221999999997</v>
      </c>
      <c r="D2104">
        <v>147.83888899999999</v>
      </c>
      <c r="E2104" t="str">
        <f>RIGHT(Airports[[#This Row],[ICAO]],3)</f>
        <v>URB</v>
      </c>
      <c r="F2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t="s">
        <v>4339</v>
      </c>
      <c r="B2105" t="s">
        <v>4340</v>
      </c>
      <c r="C2105">
        <v>-22.466667000000001</v>
      </c>
      <c r="D2105">
        <v>137.71638899999999</v>
      </c>
      <c r="E2105" t="str">
        <f>RIGHT(Airports[[#This Row],[ICAO]],3)</f>
        <v>URL</v>
      </c>
      <c r="F21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t="s">
        <v>4341</v>
      </c>
      <c r="B2106" t="s">
        <v>4342</v>
      </c>
      <c r="C2106">
        <v>-33.676389</v>
      </c>
      <c r="D2106">
        <v>138.94138899999999</v>
      </c>
      <c r="E2106" t="str">
        <f>RIGHT(Airports[[#This Row],[ICAO]],3)</f>
        <v>URR</v>
      </c>
      <c r="F21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t="s">
        <v>4343</v>
      </c>
      <c r="B2107" t="s">
        <v>4344</v>
      </c>
      <c r="C2107">
        <v>-26.133056</v>
      </c>
      <c r="D2107">
        <v>113.416389</v>
      </c>
      <c r="E2107" t="str">
        <f>RIGHT(Airports[[#This Row],[ICAO]],3)</f>
        <v>USL</v>
      </c>
      <c r="F21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t="s">
        <v>4345</v>
      </c>
      <c r="B2108" t="s">
        <v>4346</v>
      </c>
      <c r="C2108">
        <v>-38.194167</v>
      </c>
      <c r="D2108">
        <v>148.02555599999999</v>
      </c>
      <c r="E2108" t="str">
        <f>RIGHT(Airports[[#This Row],[ICAO]],3)</f>
        <v>USN</v>
      </c>
      <c r="F21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t="s">
        <v>4347</v>
      </c>
      <c r="B2109" t="s">
        <v>4348</v>
      </c>
      <c r="C2109">
        <v>-38.407499999999999</v>
      </c>
      <c r="D2109">
        <v>148.27805599999999</v>
      </c>
      <c r="E2109" t="str">
        <f>RIGHT(Airports[[#This Row],[ICAO]],3)</f>
        <v>USU</v>
      </c>
      <c r="F21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t="s">
        <v>4349</v>
      </c>
      <c r="B2110" t="s">
        <v>4350</v>
      </c>
      <c r="C2110">
        <v>-38.296666999999999</v>
      </c>
      <c r="D2110">
        <v>147.67611099999999</v>
      </c>
      <c r="E2110" t="str">
        <f>RIGHT(Airports[[#This Row],[ICAO]],3)</f>
        <v>UTA</v>
      </c>
      <c r="F21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t="s">
        <v>4351</v>
      </c>
      <c r="B2111" t="s">
        <v>4352</v>
      </c>
      <c r="C2111">
        <v>-22.055</v>
      </c>
      <c r="D2111">
        <v>134.78972200000001</v>
      </c>
      <c r="E2111" t="str">
        <f>RIGHT(Airports[[#This Row],[ICAO]],3)</f>
        <v>UTP</v>
      </c>
      <c r="F21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t="s">
        <v>4353</v>
      </c>
      <c r="B2112" t="s">
        <v>4354</v>
      </c>
      <c r="C2112">
        <v>-22.233332999999998</v>
      </c>
      <c r="D2112">
        <v>134.58000000000001</v>
      </c>
      <c r="E2112" t="str">
        <f>RIGHT(Airports[[#This Row],[ICAO]],3)</f>
        <v>UTS</v>
      </c>
      <c r="F21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t="s">
        <v>4355</v>
      </c>
      <c r="B2113" t="s">
        <v>4356</v>
      </c>
      <c r="C2113">
        <v>-38.24</v>
      </c>
      <c r="D2113">
        <v>147.87388899999999</v>
      </c>
      <c r="E2113" t="str">
        <f>RIGHT(Airports[[#This Row],[ICAO]],3)</f>
        <v>UWH</v>
      </c>
      <c r="F21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t="s">
        <v>4357</v>
      </c>
      <c r="B2114" t="s">
        <v>4358</v>
      </c>
      <c r="C2114">
        <v>-34.387222000000001</v>
      </c>
      <c r="D2114">
        <v>139.14416700000001</v>
      </c>
      <c r="E2114" t="str">
        <f>RIGHT(Airports[[#This Row],[ICAO]],3)</f>
        <v>VAF</v>
      </c>
      <c r="F21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t="s">
        <v>4359</v>
      </c>
      <c r="B2115" t="s">
        <v>4360</v>
      </c>
      <c r="C2115">
        <v>-41.43</v>
      </c>
      <c r="D2115">
        <v>146.26333299999999</v>
      </c>
      <c r="E2115" t="str">
        <f>RIGHT(Airports[[#This Row],[ICAO]],3)</f>
        <v>VAL</v>
      </c>
      <c r="F21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t="s">
        <v>4361</v>
      </c>
      <c r="B2116" t="s">
        <v>4362</v>
      </c>
      <c r="C2116">
        <v>-13.995556000000001</v>
      </c>
      <c r="D2116">
        <v>126.141111</v>
      </c>
      <c r="E2116" t="str">
        <f>RIGHT(Airports[[#This Row],[ICAO]],3)</f>
        <v>VAN</v>
      </c>
      <c r="F21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t="s">
        <v>4363</v>
      </c>
      <c r="B2117" t="s">
        <v>4364</v>
      </c>
      <c r="C2117">
        <v>-33.884999999999998</v>
      </c>
      <c r="D2117">
        <v>151.22388900000001</v>
      </c>
      <c r="E2117" t="str">
        <f>RIGHT(Airports[[#This Row],[ICAO]],3)</f>
        <v>VCB</v>
      </c>
      <c r="F21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t="s">
        <v>4365</v>
      </c>
      <c r="B2118" t="s">
        <v>4366</v>
      </c>
      <c r="C2118">
        <v>-21.254722000000001</v>
      </c>
      <c r="D2118">
        <v>149.41999999999999</v>
      </c>
      <c r="E2118" t="str">
        <f>RIGHT(Airports[[#This Row],[ICAO]],3)</f>
        <v>VIE</v>
      </c>
      <c r="F21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t="s">
        <v>4367</v>
      </c>
      <c r="B2119" t="s">
        <v>4368</v>
      </c>
      <c r="C2119">
        <v>-19.25</v>
      </c>
      <c r="D2119">
        <v>146.826111</v>
      </c>
      <c r="E2119" t="str">
        <f>RIGHT(Airports[[#This Row],[ICAO]],3)</f>
        <v>VIL</v>
      </c>
      <c r="F21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t="s">
        <v>4369</v>
      </c>
      <c r="B2120" t="s">
        <v>4370</v>
      </c>
      <c r="C2120">
        <v>-30.583333</v>
      </c>
      <c r="D2120">
        <v>135.71638899999999</v>
      </c>
      <c r="E2120" t="str">
        <f>RIGHT(Airports[[#This Row],[ICAO]],3)</f>
        <v>VIV</v>
      </c>
      <c r="F21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t="s">
        <v>4371</v>
      </c>
      <c r="B2121" t="s">
        <v>4372</v>
      </c>
      <c r="C2121">
        <v>-21.296111</v>
      </c>
      <c r="D2121">
        <v>149.359444</v>
      </c>
      <c r="E2121" t="str">
        <f>RIGHT(Airports[[#This Row],[ICAO]],3)</f>
        <v>VIW</v>
      </c>
      <c r="F21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t="s">
        <v>4373</v>
      </c>
      <c r="B2122" t="s">
        <v>4374</v>
      </c>
      <c r="C2122">
        <v>-32.719721999999997</v>
      </c>
      <c r="D2122">
        <v>119.505833</v>
      </c>
      <c r="E2122" t="str">
        <f>RIGHT(Airports[[#This Row],[ICAO]],3)</f>
        <v>VLY</v>
      </c>
      <c r="F21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t="s">
        <v>4375</v>
      </c>
      <c r="B2123" t="s">
        <v>4376</v>
      </c>
      <c r="C2123">
        <v>-10.5</v>
      </c>
      <c r="D2123">
        <v>141.91388900000001</v>
      </c>
      <c r="E2123" t="str">
        <f>RIGHT(Airports[[#This Row],[ICAO]],3)</f>
        <v>VND</v>
      </c>
      <c r="F21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t="s">
        <v>4377</v>
      </c>
      <c r="B2124" t="s">
        <v>4378</v>
      </c>
      <c r="C2124">
        <v>-22.333333</v>
      </c>
      <c r="D2124">
        <v>130.86666700000001</v>
      </c>
      <c r="E2124" t="str">
        <f>RIGHT(Airports[[#This Row],[ICAO]],3)</f>
        <v>VNS</v>
      </c>
      <c r="F21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t="s">
        <v>4379</v>
      </c>
      <c r="B2125" t="s">
        <v>4380</v>
      </c>
      <c r="C2125">
        <v>-35.991388999999998</v>
      </c>
      <c r="D2125">
        <v>137.19138899999999</v>
      </c>
      <c r="E2125" t="str">
        <f>RIGHT(Airports[[#This Row],[ICAO]],3)</f>
        <v>VOB</v>
      </c>
      <c r="F21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t="s">
        <v>4381</v>
      </c>
      <c r="B2126" t="s">
        <v>4382</v>
      </c>
      <c r="C2126">
        <v>-37.814444000000002</v>
      </c>
      <c r="D2126">
        <v>144.951111</v>
      </c>
      <c r="E2126" t="str">
        <f>RIGHT(Airports[[#This Row],[ICAO]],3)</f>
        <v>VPC</v>
      </c>
      <c r="F21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t="s">
        <v>4383</v>
      </c>
      <c r="B2127" t="s">
        <v>4384</v>
      </c>
      <c r="C2127">
        <v>-28.653333</v>
      </c>
      <c r="D2127">
        <v>153.575278</v>
      </c>
      <c r="E2127" t="str">
        <f>RIGHT(Airports[[#This Row],[ICAO]],3)</f>
        <v>VPK</v>
      </c>
      <c r="F21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t="s">
        <v>4385</v>
      </c>
      <c r="B2128" t="s">
        <v>4386</v>
      </c>
      <c r="C2128">
        <v>-16.403611000000001</v>
      </c>
      <c r="D2128">
        <v>131.0025</v>
      </c>
      <c r="E2128" t="str">
        <f>RIGHT(Airports[[#This Row],[ICAO]],3)</f>
        <v>VRD</v>
      </c>
      <c r="F21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t="s">
        <v>4387</v>
      </c>
      <c r="B2129" t="s">
        <v>4388</v>
      </c>
      <c r="C2129">
        <v>-16.962222000000001</v>
      </c>
      <c r="D2129">
        <v>141.95249999999999</v>
      </c>
      <c r="E2129" t="str">
        <f>RIGHT(Airports[[#This Row],[ICAO]],3)</f>
        <v>VRS</v>
      </c>
      <c r="F21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t="s">
        <v>4389</v>
      </c>
      <c r="B2130" t="s">
        <v>4390</v>
      </c>
      <c r="C2130">
        <v>-11.148332999999999</v>
      </c>
      <c r="D2130">
        <v>131.984722</v>
      </c>
      <c r="E2130" t="str">
        <f>RIGHT(Airports[[#This Row],[ICAO]],3)</f>
        <v>VSH</v>
      </c>
      <c r="F21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t="s">
        <v>4391</v>
      </c>
      <c r="B2131" t="s">
        <v>4392</v>
      </c>
      <c r="C2131">
        <v>-35.561943999999997</v>
      </c>
      <c r="D2131">
        <v>138.60638900000001</v>
      </c>
      <c r="E2131" t="str">
        <f>RIGHT(Airports[[#This Row],[ICAO]],3)</f>
        <v>VTH</v>
      </c>
      <c r="F21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t="s">
        <v>4393</v>
      </c>
      <c r="B2132" t="s">
        <v>4394</v>
      </c>
      <c r="C2132">
        <v>-37.183610999999999</v>
      </c>
      <c r="D2132">
        <v>142.33944399999999</v>
      </c>
      <c r="E2132" t="str">
        <f>RIGHT(Airports[[#This Row],[ICAO]],3)</f>
        <v>VVA</v>
      </c>
      <c r="F2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t="s">
        <v>4395</v>
      </c>
      <c r="B2133" t="s">
        <v>4396</v>
      </c>
      <c r="C2133">
        <v>-14.733333</v>
      </c>
      <c r="D2133">
        <v>143.583056</v>
      </c>
      <c r="E2133" t="str">
        <f>RIGHT(Airports[[#This Row],[ICAO]],3)</f>
        <v>VVL</v>
      </c>
      <c r="F21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t="s">
        <v>4397</v>
      </c>
      <c r="B2134" t="s">
        <v>4398</v>
      </c>
      <c r="C2134">
        <v>-20.136666999999999</v>
      </c>
      <c r="D2134">
        <v>116.419444</v>
      </c>
      <c r="E2134" t="str">
        <f>RIGHT(Airports[[#This Row],[ICAO]],3)</f>
        <v>WAA</v>
      </c>
      <c r="F21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t="s">
        <v>4399</v>
      </c>
      <c r="B2135" t="s">
        <v>4400</v>
      </c>
      <c r="C2135">
        <v>-24.75</v>
      </c>
      <c r="D2135">
        <v>117.36666700000001</v>
      </c>
      <c r="E2135" t="str">
        <f>RIGHT(Airports[[#This Row],[ICAO]],3)</f>
        <v>WAB</v>
      </c>
      <c r="F21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t="s">
        <v>4401</v>
      </c>
      <c r="B2136" t="s">
        <v>4402</v>
      </c>
      <c r="C2136">
        <v>-20.649722000000001</v>
      </c>
      <c r="D2136">
        <v>134.21638899999999</v>
      </c>
      <c r="E2136" t="str">
        <f>RIGHT(Airports[[#This Row],[ICAO]],3)</f>
        <v>WAC</v>
      </c>
      <c r="F21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t="s">
        <v>4403</v>
      </c>
      <c r="B2137" t="s">
        <v>4404</v>
      </c>
      <c r="C2137">
        <v>-29.711666999999998</v>
      </c>
      <c r="D2137">
        <v>144.171111</v>
      </c>
      <c r="E2137" t="str">
        <f>RIGHT(Airports[[#This Row],[ICAO]],3)</f>
        <v>WAG</v>
      </c>
      <c r="F21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t="s">
        <v>4405</v>
      </c>
      <c r="B2138" t="s">
        <v>4406</v>
      </c>
      <c r="C2138">
        <v>-24.45</v>
      </c>
      <c r="D2138">
        <v>144.1</v>
      </c>
      <c r="E2138" t="str">
        <f>RIGHT(Airports[[#This Row],[ICAO]],3)</f>
        <v>WAH</v>
      </c>
      <c r="F21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t="s">
        <v>4407</v>
      </c>
      <c r="B2139" t="s">
        <v>4408</v>
      </c>
      <c r="C2139">
        <v>-19.774722000000001</v>
      </c>
      <c r="D2139">
        <v>120.658056</v>
      </c>
      <c r="E2139" t="str">
        <f>RIGHT(Airports[[#This Row],[ICAO]],3)</f>
        <v>WAL</v>
      </c>
      <c r="F21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t="s">
        <v>4409</v>
      </c>
      <c r="B2140" t="s">
        <v>4410</v>
      </c>
      <c r="C2140">
        <v>-34.039721999999998</v>
      </c>
      <c r="D2140">
        <v>151.163611</v>
      </c>
      <c r="E2140" t="str">
        <f>RIGHT(Airports[[#This Row],[ICAO]],3)</f>
        <v>WAN</v>
      </c>
      <c r="F21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t="s">
        <v>4411</v>
      </c>
      <c r="B2141" t="s">
        <v>4412</v>
      </c>
      <c r="C2141">
        <v>-20.123888999999998</v>
      </c>
      <c r="D2141">
        <v>116.43388899999999</v>
      </c>
      <c r="E2141" t="str">
        <f>RIGHT(Airports[[#This Row],[ICAO]],3)</f>
        <v>WAO</v>
      </c>
      <c r="F21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t="s">
        <v>4413</v>
      </c>
      <c r="B2142" t="s">
        <v>4414</v>
      </c>
      <c r="C2142">
        <v>-38.174722000000003</v>
      </c>
      <c r="D2142">
        <v>145.92500000000001</v>
      </c>
      <c r="E2142" t="str">
        <f>RIGHT(Airports[[#This Row],[ICAO]],3)</f>
        <v>WAR</v>
      </c>
      <c r="F21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t="s">
        <v>4415</v>
      </c>
      <c r="B2143" t="s">
        <v>4416</v>
      </c>
      <c r="C2143">
        <v>-12.633056</v>
      </c>
      <c r="D2143">
        <v>143.05000000000001</v>
      </c>
      <c r="E2143" t="str">
        <f>RIGHT(Airports[[#This Row],[ICAO]],3)</f>
        <v>WAT</v>
      </c>
      <c r="F21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t="s">
        <v>4417</v>
      </c>
      <c r="B2144" t="s">
        <v>4418</v>
      </c>
      <c r="C2144">
        <v>-17.393611</v>
      </c>
      <c r="D2144">
        <v>131.119167</v>
      </c>
      <c r="E2144" t="str">
        <f>RIGHT(Airports[[#This Row],[ICAO]],3)</f>
        <v>WAV</v>
      </c>
      <c r="F21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t="s">
        <v>4419</v>
      </c>
      <c r="B2145" t="s">
        <v>4420</v>
      </c>
      <c r="C2145">
        <v>-25.293056</v>
      </c>
      <c r="D2145">
        <v>127.55</v>
      </c>
      <c r="E2145" t="str">
        <f>RIGHT(Airports[[#This Row],[ICAO]],3)</f>
        <v>WAX</v>
      </c>
      <c r="F21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t="s">
        <v>4421</v>
      </c>
      <c r="B2146" t="s">
        <v>4422</v>
      </c>
      <c r="C2146">
        <v>-24.121389000000001</v>
      </c>
      <c r="D2146">
        <v>149.46</v>
      </c>
      <c r="E2146" t="str">
        <f>RIGHT(Airports[[#This Row],[ICAO]],3)</f>
        <v>WBA</v>
      </c>
      <c r="F21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t="s">
        <v>4423</v>
      </c>
      <c r="B2147" t="s">
        <v>4424</v>
      </c>
      <c r="C2147">
        <v>-25.733332999999998</v>
      </c>
      <c r="D2147">
        <v>148.13305600000001</v>
      </c>
      <c r="E2147" t="str">
        <f>RIGHT(Airports[[#This Row],[ICAO]],3)</f>
        <v>WBB</v>
      </c>
      <c r="F21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t="s">
        <v>4425</v>
      </c>
      <c r="B2148" t="s">
        <v>4426</v>
      </c>
      <c r="C2148">
        <v>-20.999167</v>
      </c>
      <c r="D2148">
        <v>134.396389</v>
      </c>
      <c r="E2148" t="str">
        <f>RIGHT(Airports[[#This Row],[ICAO]],3)</f>
        <v>WBI</v>
      </c>
      <c r="F21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t="s">
        <v>4427</v>
      </c>
      <c r="B2149" t="s">
        <v>4428</v>
      </c>
      <c r="C2149">
        <v>-38.295278000000003</v>
      </c>
      <c r="D2149">
        <v>142.44666699999999</v>
      </c>
      <c r="E2149" t="str">
        <f>RIGHT(Airports[[#This Row],[ICAO]],3)</f>
        <v>WBL</v>
      </c>
      <c r="F21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t="s">
        <v>4429</v>
      </c>
      <c r="B2150" t="s">
        <v>4430</v>
      </c>
      <c r="C2150">
        <v>-34.18</v>
      </c>
      <c r="D2150">
        <v>150.80888899999999</v>
      </c>
      <c r="E2150" t="str">
        <f>RIGHT(Airports[[#This Row],[ICAO]],3)</f>
        <v>WBN</v>
      </c>
      <c r="F21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t="s">
        <v>4431</v>
      </c>
      <c r="B2151" t="s">
        <v>4432</v>
      </c>
      <c r="C2151">
        <v>-26.128333000000001</v>
      </c>
      <c r="D2151">
        <v>126.583333</v>
      </c>
      <c r="E2151" t="str">
        <f>RIGHT(Airports[[#This Row],[ICAO]],3)</f>
        <v>WBR</v>
      </c>
      <c r="F21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t="s">
        <v>4433</v>
      </c>
      <c r="B2152" t="s">
        <v>4434</v>
      </c>
      <c r="C2152">
        <v>-10.206666999999999</v>
      </c>
      <c r="D2152">
        <v>142.82333299999999</v>
      </c>
      <c r="E2152" t="str">
        <f>RIGHT(Airports[[#This Row],[ICAO]],3)</f>
        <v>WBS</v>
      </c>
      <c r="F21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t="s">
        <v>4435</v>
      </c>
      <c r="B2153" t="s">
        <v>4436</v>
      </c>
      <c r="C2153">
        <v>-22.933056000000001</v>
      </c>
      <c r="D2153">
        <v>144.433333</v>
      </c>
      <c r="E2153" t="str">
        <f>RIGHT(Airports[[#This Row],[ICAO]],3)</f>
        <v>WBY</v>
      </c>
      <c r="F21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t="s">
        <v>4437</v>
      </c>
      <c r="B2154" t="s">
        <v>4438</v>
      </c>
      <c r="C2154">
        <v>-31.519444</v>
      </c>
      <c r="D2154">
        <v>143.381111</v>
      </c>
      <c r="E2154" t="str">
        <f>RIGHT(Airports[[#This Row],[ICAO]],3)</f>
        <v>WCA</v>
      </c>
      <c r="F21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t="s">
        <v>4439</v>
      </c>
      <c r="B2155" t="s">
        <v>4440</v>
      </c>
      <c r="C2155">
        <v>-31.007221999999999</v>
      </c>
      <c r="D2155">
        <v>151.55527799999999</v>
      </c>
      <c r="E2155" t="str">
        <f>RIGHT(Airports[[#This Row],[ICAO]],3)</f>
        <v>WCH</v>
      </c>
      <c r="F21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t="s">
        <v>4441</v>
      </c>
      <c r="B2156" t="s">
        <v>4442</v>
      </c>
      <c r="C2156">
        <v>-28.149443999999999</v>
      </c>
      <c r="D2156">
        <v>151.94305600000001</v>
      </c>
      <c r="E2156" t="str">
        <f>RIGHT(Airports[[#This Row],[ICAO]],3)</f>
        <v>WCK</v>
      </c>
      <c r="F21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t="s">
        <v>4443</v>
      </c>
      <c r="B2157" t="s">
        <v>4444</v>
      </c>
      <c r="C2157">
        <v>-20.101389000000001</v>
      </c>
      <c r="D2157">
        <v>129.12611100000001</v>
      </c>
      <c r="E2157" t="str">
        <f>RIGHT(Airports[[#This Row],[ICAO]],3)</f>
        <v>WCM</v>
      </c>
      <c r="F2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t="s">
        <v>4445</v>
      </c>
      <c r="B2158" t="s">
        <v>4446</v>
      </c>
      <c r="C2158">
        <v>-24.399722000000001</v>
      </c>
      <c r="D2158">
        <v>142.81638899999999</v>
      </c>
      <c r="E2158" t="str">
        <f>RIGHT(Airports[[#This Row],[ICAO]],3)</f>
        <v>WCN</v>
      </c>
      <c r="F21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t="s">
        <v>4447</v>
      </c>
      <c r="B2159" t="s">
        <v>4448</v>
      </c>
      <c r="C2159">
        <v>-38.25</v>
      </c>
      <c r="D2159">
        <v>143.98333299999999</v>
      </c>
      <c r="E2159" t="str">
        <f>RIGHT(Airports[[#This Row],[ICAO]],3)</f>
        <v>WCS</v>
      </c>
      <c r="F2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t="s">
        <v>4449</v>
      </c>
      <c r="B2160" t="s">
        <v>4450</v>
      </c>
      <c r="C2160">
        <v>-28.475000000000001</v>
      </c>
      <c r="D2160">
        <v>122.24166700000001</v>
      </c>
      <c r="E2160" t="str">
        <f>RIGHT(Airports[[#This Row],[ICAO]],3)</f>
        <v>WDA</v>
      </c>
      <c r="F21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t="s">
        <v>4451</v>
      </c>
      <c r="B2161" t="s">
        <v>4452</v>
      </c>
      <c r="C2161">
        <v>-21.141389</v>
      </c>
      <c r="D2161">
        <v>118.691389</v>
      </c>
      <c r="E2161" t="str">
        <f>RIGHT(Airports[[#This Row],[ICAO]],3)</f>
        <v>WDC</v>
      </c>
      <c r="F21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t="s">
        <v>4453</v>
      </c>
      <c r="B2162" t="s">
        <v>4454</v>
      </c>
      <c r="C2162">
        <v>-30.031943999999999</v>
      </c>
      <c r="D2162">
        <v>119.38722199999999</v>
      </c>
      <c r="E2162" t="str">
        <f>RIGHT(Airports[[#This Row],[ICAO]],3)</f>
        <v>WDG</v>
      </c>
      <c r="F21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t="s">
        <v>4455</v>
      </c>
      <c r="B2163" t="s">
        <v>4456</v>
      </c>
      <c r="C2163">
        <v>-25.413056000000001</v>
      </c>
      <c r="D2163">
        <v>142.66722200000001</v>
      </c>
      <c r="E2163" t="str">
        <f>RIGHT(Airports[[#This Row],[ICAO]],3)</f>
        <v>WDH</v>
      </c>
      <c r="F21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t="s">
        <v>4457</v>
      </c>
      <c r="B2164" t="s">
        <v>4458</v>
      </c>
      <c r="C2164">
        <v>-17.407222000000001</v>
      </c>
      <c r="D2164">
        <v>124.93388899999999</v>
      </c>
      <c r="E2164" t="str">
        <f>RIGHT(Airports[[#This Row],[ICAO]],3)</f>
        <v>WDJ</v>
      </c>
      <c r="F21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t="s">
        <v>4459</v>
      </c>
      <c r="B2165" t="s">
        <v>4460</v>
      </c>
      <c r="C2165">
        <v>-18.574999999999999</v>
      </c>
      <c r="D2165">
        <v>140.89166700000001</v>
      </c>
      <c r="E2165" t="str">
        <f>RIGHT(Airports[[#This Row],[ICAO]],3)</f>
        <v>WDL</v>
      </c>
      <c r="F21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t="s">
        <v>4461</v>
      </c>
      <c r="B2166" t="s">
        <v>4462</v>
      </c>
      <c r="C2166">
        <v>-34.950000000000003</v>
      </c>
      <c r="D2166">
        <v>138.899722</v>
      </c>
      <c r="E2166" t="str">
        <f>RIGHT(Airports[[#This Row],[ICAO]],3)</f>
        <v>WDS</v>
      </c>
      <c r="F21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t="s">
        <v>4463</v>
      </c>
      <c r="B2167" t="s">
        <v>4464</v>
      </c>
      <c r="C2167">
        <v>-18.75</v>
      </c>
      <c r="D2167">
        <v>144.833056</v>
      </c>
      <c r="E2167" t="str">
        <f>RIGHT(Airports[[#This Row],[ICAO]],3)</f>
        <v>WDT</v>
      </c>
      <c r="F21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t="s">
        <v>4465</v>
      </c>
      <c r="B2168" t="s">
        <v>4466</v>
      </c>
      <c r="C2168">
        <v>-19.666388999999999</v>
      </c>
      <c r="D2168">
        <v>144.899722</v>
      </c>
      <c r="E2168" t="str">
        <f>RIGHT(Airports[[#This Row],[ICAO]],3)</f>
        <v>WDV</v>
      </c>
      <c r="F21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t="s">
        <v>4467</v>
      </c>
      <c r="B2169" t="s">
        <v>4468</v>
      </c>
      <c r="C2169">
        <v>-21.901111</v>
      </c>
      <c r="D2169">
        <v>148.375</v>
      </c>
      <c r="E2169" t="str">
        <f>RIGHT(Airports[[#This Row],[ICAO]],3)</f>
        <v>WEA</v>
      </c>
      <c r="F21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t="s">
        <v>4469</v>
      </c>
      <c r="B2170" t="s">
        <v>4470</v>
      </c>
      <c r="C2170">
        <v>-25.546111</v>
      </c>
      <c r="D2170">
        <v>145.135278</v>
      </c>
      <c r="E2170" t="str">
        <f>RIGHT(Airports[[#This Row],[ICAO]],3)</f>
        <v>WEC</v>
      </c>
      <c r="F21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t="s">
        <v>4471</v>
      </c>
      <c r="B2171" t="s">
        <v>4472</v>
      </c>
      <c r="C2171">
        <v>-27.081666999999999</v>
      </c>
      <c r="D2171">
        <v>116.15</v>
      </c>
      <c r="E2171" t="str">
        <f>RIGHT(Airports[[#This Row],[ICAO]],3)</f>
        <v>WEE</v>
      </c>
      <c r="F21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t="s">
        <v>4473</v>
      </c>
      <c r="B2172" t="s">
        <v>4474</v>
      </c>
      <c r="C2172">
        <v>-12.638610999999999</v>
      </c>
      <c r="D2172">
        <v>141.86027799999999</v>
      </c>
      <c r="E2172" t="str">
        <f>RIGHT(Airports[[#This Row],[ICAO]],3)</f>
        <v>WEH</v>
      </c>
      <c r="F21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t="s">
        <v>4475</v>
      </c>
      <c r="B2173" t="s">
        <v>4476</v>
      </c>
      <c r="C2173">
        <v>-32.462499999999999</v>
      </c>
      <c r="D2173">
        <v>148.990556</v>
      </c>
      <c r="E2173" t="str">
        <f>RIGHT(Airports[[#This Row],[ICAO]],3)</f>
        <v>WEL</v>
      </c>
      <c r="F21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t="s">
        <v>4477</v>
      </c>
      <c r="B2174" t="s">
        <v>4478</v>
      </c>
      <c r="C2174">
        <v>-30.649722000000001</v>
      </c>
      <c r="D2174">
        <v>139.35</v>
      </c>
      <c r="E2174" t="str">
        <f>RIGHT(Airports[[#This Row],[ICAO]],3)</f>
        <v>WEO</v>
      </c>
      <c r="F21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t="s">
        <v>4479</v>
      </c>
      <c r="B2175" t="s">
        <v>4480</v>
      </c>
      <c r="C2175">
        <v>-18.125</v>
      </c>
      <c r="D2175">
        <v>139.956389</v>
      </c>
      <c r="E2175" t="str">
        <f>RIGHT(Airports[[#This Row],[ICAO]],3)</f>
        <v>WER</v>
      </c>
      <c r="F21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t="s">
        <v>4481</v>
      </c>
      <c r="B2176" t="s">
        <v>4482</v>
      </c>
      <c r="C2176">
        <v>-22.366667</v>
      </c>
      <c r="D2176">
        <v>124.766667</v>
      </c>
      <c r="E2176" t="str">
        <f>RIGHT(Airports[[#This Row],[ICAO]],3)</f>
        <v>WEX</v>
      </c>
      <c r="F21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t="s">
        <v>4483</v>
      </c>
      <c r="B2177" t="s">
        <v>4484</v>
      </c>
      <c r="C2177">
        <v>-21.035833</v>
      </c>
      <c r="D2177">
        <v>118.64361100000001</v>
      </c>
      <c r="E2177" t="str">
        <f>RIGHT(Airports[[#This Row],[ICAO]],3)</f>
        <v>WGA</v>
      </c>
      <c r="F21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t="s">
        <v>4485</v>
      </c>
      <c r="B2178" t="s">
        <v>4486</v>
      </c>
      <c r="C2178">
        <v>-23.766110999999999</v>
      </c>
      <c r="D2178">
        <v>114.55166699999999</v>
      </c>
      <c r="E2178" t="str">
        <f>RIGHT(Airports[[#This Row],[ICAO]],3)</f>
        <v>WGE</v>
      </c>
      <c r="F21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t="s">
        <v>4487</v>
      </c>
      <c r="B2179" t="s">
        <v>4488</v>
      </c>
      <c r="C2179">
        <v>-35.150556000000002</v>
      </c>
      <c r="D2179">
        <v>136.46111099999999</v>
      </c>
      <c r="E2179" t="str">
        <f>RIGHT(Airports[[#This Row],[ICAO]],3)</f>
        <v>WGI</v>
      </c>
      <c r="F2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t="s">
        <v>4489</v>
      </c>
      <c r="B2180" t="s">
        <v>4490</v>
      </c>
      <c r="C2180">
        <v>-31.867222000000002</v>
      </c>
      <c r="D2180">
        <v>116.939167</v>
      </c>
      <c r="E2180" t="str">
        <f>RIGHT(Airports[[#This Row],[ICAO]],3)</f>
        <v>WGM</v>
      </c>
      <c r="F21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t="s">
        <v>4491</v>
      </c>
      <c r="B2181" t="s">
        <v>4492</v>
      </c>
      <c r="C2181">
        <v>-33.316389000000001</v>
      </c>
      <c r="D2181">
        <v>117.36027799999999</v>
      </c>
      <c r="E2181" t="str">
        <f>RIGHT(Airports[[#This Row],[ICAO]],3)</f>
        <v>WGN</v>
      </c>
      <c r="F2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t="s">
        <v>4493</v>
      </c>
      <c r="B2182" t="s">
        <v>4494</v>
      </c>
      <c r="C2182">
        <v>-36.415832999999999</v>
      </c>
      <c r="D2182">
        <v>146.30694399999999</v>
      </c>
      <c r="E2182" t="str">
        <f>RIGHT(Airports[[#This Row],[ICAO]],3)</f>
        <v>WGT</v>
      </c>
      <c r="F21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t="s">
        <v>4495</v>
      </c>
      <c r="B2183" t="s">
        <v>4496</v>
      </c>
      <c r="C2183">
        <v>-26.133056</v>
      </c>
      <c r="D2183">
        <v>121.966667</v>
      </c>
      <c r="E2183" t="str">
        <f>RIGHT(Airports[[#This Row],[ICAO]],3)</f>
        <v>WGW</v>
      </c>
      <c r="F21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t="s">
        <v>4497</v>
      </c>
      <c r="B2184" t="s">
        <v>4498</v>
      </c>
      <c r="C2184">
        <v>-33.058889000000001</v>
      </c>
      <c r="D2184">
        <v>137.514444</v>
      </c>
      <c r="E2184" t="str">
        <f>RIGHT(Airports[[#This Row],[ICAO]],3)</f>
        <v>WHA</v>
      </c>
      <c r="F21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t="s">
        <v>4499</v>
      </c>
      <c r="B2185" t="s">
        <v>4500</v>
      </c>
      <c r="C2185">
        <v>-30.851389000000001</v>
      </c>
      <c r="D2185">
        <v>143.07333299999999</v>
      </c>
      <c r="E2185" t="str">
        <f>RIGHT(Airports[[#This Row],[ICAO]],3)</f>
        <v>WHC</v>
      </c>
      <c r="F21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t="s">
        <v>4501</v>
      </c>
      <c r="B2186" t="s">
        <v>4502</v>
      </c>
      <c r="C2186">
        <v>-36.68</v>
      </c>
      <c r="D2186">
        <v>145.24333300000001</v>
      </c>
      <c r="E2186" t="str">
        <f>RIGHT(Airports[[#This Row],[ICAO]],3)</f>
        <v>WHG</v>
      </c>
      <c r="F21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t="s">
        <v>4503</v>
      </c>
      <c r="B2187" t="s">
        <v>4504</v>
      </c>
      <c r="C2187">
        <v>-30.036110999999998</v>
      </c>
      <c r="D2187">
        <v>138.057222</v>
      </c>
      <c r="E2187" t="str">
        <f>RIGHT(Airports[[#This Row],[ICAO]],3)</f>
        <v>WHI</v>
      </c>
      <c r="F21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t="s">
        <v>4505</v>
      </c>
      <c r="B2188" t="s">
        <v>4506</v>
      </c>
      <c r="C2188">
        <v>-17.776111</v>
      </c>
      <c r="D2188">
        <v>135.655833</v>
      </c>
      <c r="E2188" t="str">
        <f>RIGHT(Airports[[#This Row],[ICAO]],3)</f>
        <v>WHL</v>
      </c>
      <c r="F21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t="s">
        <v>4507</v>
      </c>
      <c r="B2189" t="s">
        <v>4508</v>
      </c>
      <c r="C2189">
        <v>-34.439444000000002</v>
      </c>
      <c r="D2189">
        <v>150.89611099999999</v>
      </c>
      <c r="E2189" t="str">
        <f>RIGHT(Airports[[#This Row],[ICAO]],3)</f>
        <v>WHP</v>
      </c>
      <c r="F21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t="s">
        <v>4509</v>
      </c>
      <c r="B2190" t="s">
        <v>4510</v>
      </c>
      <c r="C2190">
        <v>-27.401944</v>
      </c>
      <c r="D2190">
        <v>153.165278</v>
      </c>
      <c r="E2190" t="str">
        <f>RIGHT(Airports[[#This Row],[ICAO]],3)</f>
        <v>WHY</v>
      </c>
      <c r="F21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t="s">
        <v>4511</v>
      </c>
      <c r="B2191" t="s">
        <v>4512</v>
      </c>
      <c r="C2191">
        <v>-27.983332999999998</v>
      </c>
      <c r="D2191">
        <v>134.15</v>
      </c>
      <c r="E2191" t="str">
        <f>RIGHT(Airports[[#This Row],[ICAO]],3)</f>
        <v>WIB</v>
      </c>
      <c r="F21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t="s">
        <v>4513</v>
      </c>
      <c r="B2192" t="s">
        <v>4514</v>
      </c>
      <c r="C2192">
        <v>-21.116667</v>
      </c>
      <c r="D2192">
        <v>147.266389</v>
      </c>
      <c r="E2192" t="str">
        <f>RIGHT(Airports[[#This Row],[ICAO]],3)</f>
        <v>WIE</v>
      </c>
      <c r="F21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t="s">
        <v>4515</v>
      </c>
      <c r="B2193" t="s">
        <v>4516</v>
      </c>
      <c r="C2193">
        <v>-11.7775</v>
      </c>
      <c r="D2193">
        <v>136.53805600000001</v>
      </c>
      <c r="E2193" t="str">
        <f>RIGHT(Airports[[#This Row],[ICAO]],3)</f>
        <v>WIG</v>
      </c>
      <c r="F21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t="s">
        <v>4517</v>
      </c>
      <c r="B2194" t="s">
        <v>4518</v>
      </c>
      <c r="C2194">
        <v>-35.508333</v>
      </c>
      <c r="D2194">
        <v>138.24</v>
      </c>
      <c r="E2194" t="str">
        <f>RIGHT(Airports[[#This Row],[ICAO]],3)</f>
        <v>WII</v>
      </c>
      <c r="F21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t="s">
        <v>4519</v>
      </c>
      <c r="B2195" t="s">
        <v>4520</v>
      </c>
      <c r="C2195">
        <v>-31.271388999999999</v>
      </c>
      <c r="D2195">
        <v>142.68638899999999</v>
      </c>
      <c r="E2195" t="str">
        <f>RIGHT(Airports[[#This Row],[ICAO]],3)</f>
        <v>WIL</v>
      </c>
      <c r="F21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t="s">
        <v>4521</v>
      </c>
      <c r="B2196" t="s">
        <v>4522</v>
      </c>
      <c r="C2196">
        <v>-26.940556000000001</v>
      </c>
      <c r="D2196">
        <v>150.45916700000001</v>
      </c>
      <c r="E2196" t="str">
        <f>RIGHT(Airports[[#This Row],[ICAO]],3)</f>
        <v>WIM</v>
      </c>
      <c r="F21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t="s">
        <v>4523</v>
      </c>
      <c r="B2197" t="s">
        <v>4524</v>
      </c>
      <c r="C2197">
        <v>-27.725000000000001</v>
      </c>
      <c r="D2197">
        <v>152.649722</v>
      </c>
      <c r="E2197" t="str">
        <f>RIGHT(Airports[[#This Row],[ICAO]],3)</f>
        <v>WIN</v>
      </c>
      <c r="F21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t="s">
        <v>4525</v>
      </c>
      <c r="B2198" t="s">
        <v>4526</v>
      </c>
      <c r="C2198">
        <v>-34.221666999999997</v>
      </c>
      <c r="D2198">
        <v>150.66833299999999</v>
      </c>
      <c r="E2198" t="str">
        <f>RIGHT(Airports[[#This Row],[ICAO]],3)</f>
        <v>WIO</v>
      </c>
      <c r="F21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t="s">
        <v>4527</v>
      </c>
      <c r="B2199" t="s">
        <v>4528</v>
      </c>
      <c r="C2199">
        <v>-31.2</v>
      </c>
      <c r="D2199">
        <v>136.23333299999999</v>
      </c>
      <c r="E2199" t="str">
        <f>RIGHT(Airports[[#This Row],[ICAO]],3)</f>
        <v>WIR</v>
      </c>
      <c r="F21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t="s">
        <v>4529</v>
      </c>
      <c r="B2200" t="s">
        <v>4530</v>
      </c>
      <c r="C2200">
        <v>-22.473333</v>
      </c>
      <c r="D2200">
        <v>150.17833300000001</v>
      </c>
      <c r="E2200" t="str">
        <f>RIGHT(Airports[[#This Row],[ICAO]],3)</f>
        <v>WIS</v>
      </c>
      <c r="F22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t="s">
        <v>4531</v>
      </c>
      <c r="B2201" t="s">
        <v>4532</v>
      </c>
      <c r="C2201">
        <v>-15.948333</v>
      </c>
      <c r="D2201">
        <v>145.318611</v>
      </c>
      <c r="E2201" t="str">
        <f>RIGHT(Airports[[#This Row],[ICAO]],3)</f>
        <v>WJL</v>
      </c>
      <c r="F22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t="s">
        <v>4533</v>
      </c>
      <c r="B2202" t="s">
        <v>4534</v>
      </c>
      <c r="C2202">
        <v>-36.321111000000002</v>
      </c>
      <c r="D2202">
        <v>142.419444</v>
      </c>
      <c r="E2202" t="str">
        <f>RIGHT(Airports[[#This Row],[ICAO]],3)</f>
        <v>WKB</v>
      </c>
      <c r="F22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t="s">
        <v>4535</v>
      </c>
      <c r="B2203" t="s">
        <v>4536</v>
      </c>
      <c r="C2203">
        <v>-13.866667</v>
      </c>
      <c r="D2203">
        <v>129.96638899999999</v>
      </c>
      <c r="E2203" t="str">
        <f>RIGHT(Airports[[#This Row],[ICAO]],3)</f>
        <v>WKD</v>
      </c>
      <c r="F22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t="s">
        <v>4537</v>
      </c>
      <c r="B2204" t="s">
        <v>4538</v>
      </c>
      <c r="C2204">
        <v>-34.184167000000002</v>
      </c>
      <c r="D2204">
        <v>140.03055599999999</v>
      </c>
      <c r="E2204" t="str">
        <f>RIGHT(Airports[[#This Row],[ICAO]],3)</f>
        <v>WKI</v>
      </c>
      <c r="F22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t="s">
        <v>4539</v>
      </c>
      <c r="B2205" t="s">
        <v>4540</v>
      </c>
      <c r="C2205">
        <v>-31.203056</v>
      </c>
      <c r="D2205">
        <v>117.383056</v>
      </c>
      <c r="E2205" t="str">
        <f>RIGHT(Airports[[#This Row],[ICAO]],3)</f>
        <v>WKM</v>
      </c>
      <c r="F22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t="s">
        <v>4541</v>
      </c>
      <c r="B2206" t="s">
        <v>4542</v>
      </c>
      <c r="C2206">
        <v>-66.691394399999993</v>
      </c>
      <c r="D2206">
        <v>111.52634999999999</v>
      </c>
      <c r="E2206" t="str">
        <f>RIGHT(Airports[[#This Row],[ICAO]],3)</f>
        <v>WKS</v>
      </c>
      <c r="F22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t="s">
        <v>4543</v>
      </c>
      <c r="B2207" t="s">
        <v>4544</v>
      </c>
      <c r="C2207">
        <v>-32.548333</v>
      </c>
      <c r="D2207">
        <v>151.02416700000001</v>
      </c>
      <c r="E2207" t="str">
        <f>RIGHT(Airports[[#This Row],[ICAO]],3)</f>
        <v>WKW</v>
      </c>
      <c r="F22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t="s">
        <v>4545</v>
      </c>
      <c r="B2208" t="s">
        <v>4546</v>
      </c>
      <c r="C2208">
        <v>-21.276667</v>
      </c>
      <c r="D2208">
        <v>132.623333</v>
      </c>
      <c r="E2208" t="str">
        <f>RIGHT(Airports[[#This Row],[ICAO]],3)</f>
        <v>WLA</v>
      </c>
      <c r="F22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t="s">
        <v>4547</v>
      </c>
      <c r="B2209" t="s">
        <v>4548</v>
      </c>
      <c r="C2209">
        <v>-16.299721999999999</v>
      </c>
      <c r="D2209">
        <v>149.983056</v>
      </c>
      <c r="E2209" t="str">
        <f>RIGHT(Airports[[#This Row],[ICAO]],3)</f>
        <v>WLD</v>
      </c>
      <c r="F22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t="s">
        <v>4549</v>
      </c>
      <c r="B2210" t="s">
        <v>4550</v>
      </c>
      <c r="C2210">
        <v>-25.166388999999999</v>
      </c>
      <c r="D2210">
        <v>143.31638899999999</v>
      </c>
      <c r="E2210" t="str">
        <f>RIGHT(Airports[[#This Row],[ICAO]],3)</f>
        <v>WLF</v>
      </c>
      <c r="F22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t="s">
        <v>4551</v>
      </c>
      <c r="B2211" t="s">
        <v>4552</v>
      </c>
      <c r="C2211">
        <v>-30.032778</v>
      </c>
      <c r="D2211">
        <v>148.125833</v>
      </c>
      <c r="E2211" t="str">
        <f>RIGHT(Airports[[#This Row],[ICAO]],3)</f>
        <v>WLG</v>
      </c>
      <c r="F22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t="s">
        <v>4553</v>
      </c>
      <c r="B2212" t="s">
        <v>4554</v>
      </c>
      <c r="C2212">
        <v>-32.795000000000002</v>
      </c>
      <c r="D2212">
        <v>151.83444399999999</v>
      </c>
      <c r="E2212" t="str">
        <f>RIGHT(Airports[[#This Row],[ICAO]],3)</f>
        <v>WLM</v>
      </c>
      <c r="F22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t="s">
        <v>4553</v>
      </c>
      <c r="B2213" t="s">
        <v>4554</v>
      </c>
      <c r="C2213">
        <v>-32.795000000000002</v>
      </c>
      <c r="D2213">
        <v>151.83444399999999</v>
      </c>
      <c r="E2213" t="str">
        <f>RIGHT(Airports[[#This Row],[ICAO]],3)</f>
        <v>WLM</v>
      </c>
      <c r="F22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t="s">
        <v>4553</v>
      </c>
      <c r="B2214" t="s">
        <v>4554</v>
      </c>
      <c r="C2214">
        <v>-32.795000000000002</v>
      </c>
      <c r="D2214">
        <v>151.83444399999999</v>
      </c>
      <c r="E2214" t="str">
        <f>RIGHT(Airports[[#This Row],[ICAO]],3)</f>
        <v>WLM</v>
      </c>
      <c r="F22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t="s">
        <v>4555</v>
      </c>
      <c r="B2215" t="s">
        <v>4556</v>
      </c>
      <c r="C2215">
        <v>-30.421666999999999</v>
      </c>
      <c r="D2215">
        <v>139.43611100000001</v>
      </c>
      <c r="E2215" t="str">
        <f>RIGHT(Airports[[#This Row],[ICAO]],3)</f>
        <v>WLN</v>
      </c>
      <c r="F22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t="s">
        <v>4557</v>
      </c>
      <c r="B2216" t="s">
        <v>4558</v>
      </c>
      <c r="C2216">
        <v>-15.3</v>
      </c>
      <c r="D2216">
        <v>131.583056</v>
      </c>
      <c r="E2216" t="str">
        <f>RIGHT(Airports[[#This Row],[ICAO]],3)</f>
        <v>WLO</v>
      </c>
      <c r="F22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t="s">
        <v>4559</v>
      </c>
      <c r="B2217" t="s">
        <v>4560</v>
      </c>
      <c r="C2217">
        <v>-26.629166999999999</v>
      </c>
      <c r="D2217">
        <v>120.220556</v>
      </c>
      <c r="E2217" t="str">
        <f>RIGHT(Airports[[#This Row],[ICAO]],3)</f>
        <v>WLU</v>
      </c>
      <c r="F22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t="s">
        <v>4561</v>
      </c>
      <c r="B2218" t="s">
        <v>4562</v>
      </c>
      <c r="C2218">
        <v>-28.906943999999999</v>
      </c>
      <c r="D2218">
        <v>136.34111100000001</v>
      </c>
      <c r="E2218" t="str">
        <f>RIGHT(Airports[[#This Row],[ICAO]],3)</f>
        <v>WMC</v>
      </c>
      <c r="F22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t="s">
        <v>4563</v>
      </c>
      <c r="B2219" t="s">
        <v>4564</v>
      </c>
      <c r="C2219">
        <v>-29.25</v>
      </c>
      <c r="D2219">
        <v>146.91666699999999</v>
      </c>
      <c r="E2219" t="str">
        <f>RIGHT(Airports[[#This Row],[ICAO]],3)</f>
        <v>WMG</v>
      </c>
      <c r="F22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t="s">
        <v>4565</v>
      </c>
      <c r="B2220" t="s">
        <v>4566</v>
      </c>
      <c r="C2220">
        <v>-17.333333</v>
      </c>
      <c r="D2220">
        <v>138.23333299999999</v>
      </c>
      <c r="E2220" t="str">
        <f>RIGHT(Airports[[#This Row],[ICAO]],3)</f>
        <v>WML</v>
      </c>
      <c r="F22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t="s">
        <v>4567</v>
      </c>
      <c r="B2221" t="s">
        <v>4568</v>
      </c>
      <c r="C2221">
        <v>-30.493333</v>
      </c>
      <c r="D2221">
        <v>152.09027800000001</v>
      </c>
      <c r="E2221" t="str">
        <f>RIGHT(Airports[[#This Row],[ICAO]],3)</f>
        <v>WMM</v>
      </c>
      <c r="F22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t="s">
        <v>4569</v>
      </c>
      <c r="B2222" t="s">
        <v>4570</v>
      </c>
      <c r="C2222">
        <v>-26.053056000000002</v>
      </c>
      <c r="D2222">
        <v>127.690833</v>
      </c>
      <c r="E2222" t="str">
        <f>RIGHT(Airports[[#This Row],[ICAO]],3)</f>
        <v>WMO</v>
      </c>
      <c r="F22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t="s">
        <v>4571</v>
      </c>
      <c r="B2223" t="s">
        <v>4572</v>
      </c>
      <c r="C2223">
        <v>-16.658055999999998</v>
      </c>
      <c r="D2223">
        <v>144.000833</v>
      </c>
      <c r="E2223" t="str">
        <f>RIGHT(Airports[[#This Row],[ICAO]],3)</f>
        <v>WMP</v>
      </c>
      <c r="F22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t="s">
        <v>4573</v>
      </c>
      <c r="B2224" t="s">
        <v>4574</v>
      </c>
      <c r="C2224">
        <v>-16.498055999999998</v>
      </c>
      <c r="D2224">
        <v>143.72444400000001</v>
      </c>
      <c r="E2224" t="str">
        <f>RIGHT(Airports[[#This Row],[ICAO]],3)</f>
        <v>WMR</v>
      </c>
      <c r="F22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t="s">
        <v>4575</v>
      </c>
      <c r="B2225" t="s">
        <v>4576</v>
      </c>
      <c r="C2225">
        <v>-23.866667</v>
      </c>
      <c r="D2225">
        <v>115.15</v>
      </c>
      <c r="E2225" t="str">
        <f>RIGHT(Airports[[#This Row],[ICAO]],3)</f>
        <v>WMY</v>
      </c>
      <c r="F22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t="s">
        <v>4577</v>
      </c>
      <c r="B2226" t="s">
        <v>4578</v>
      </c>
      <c r="C2226">
        <v>-26.284167</v>
      </c>
      <c r="D2226">
        <v>151.861389</v>
      </c>
      <c r="E2226" t="str">
        <f>RIGHT(Airports[[#This Row],[ICAO]],3)</f>
        <v>WND</v>
      </c>
      <c r="F22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t="s">
        <v>4579</v>
      </c>
      <c r="B2227" t="s">
        <v>4580</v>
      </c>
      <c r="C2227">
        <v>-13.699722</v>
      </c>
      <c r="D2227">
        <v>141.55000000000001</v>
      </c>
      <c r="E2227" t="str">
        <f>RIGHT(Airports[[#This Row],[ICAO]],3)</f>
        <v>WNI</v>
      </c>
      <c r="F22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t="s">
        <v>4581</v>
      </c>
      <c r="B2228" t="s">
        <v>4582</v>
      </c>
      <c r="C2228">
        <v>-26.066666999999999</v>
      </c>
      <c r="D2228">
        <v>128.94972200000001</v>
      </c>
      <c r="E2228" t="str">
        <f>RIGHT(Airports[[#This Row],[ICAO]],3)</f>
        <v>WNL</v>
      </c>
      <c r="F22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t="s">
        <v>4583</v>
      </c>
      <c r="B2229" t="s">
        <v>4584</v>
      </c>
      <c r="C2229">
        <v>-26.113056</v>
      </c>
      <c r="D2229">
        <v>149.956389</v>
      </c>
      <c r="E2229" t="str">
        <f>RIGHT(Airports[[#This Row],[ICAO]],3)</f>
        <v>WNN</v>
      </c>
      <c r="F22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t="s">
        <v>4585</v>
      </c>
      <c r="B2230" t="s">
        <v>4586</v>
      </c>
      <c r="C2230">
        <v>-27.133056</v>
      </c>
      <c r="D2230">
        <v>121.333333</v>
      </c>
      <c r="E2230" t="str">
        <f>RIGHT(Airports[[#This Row],[ICAO]],3)</f>
        <v>WNO</v>
      </c>
      <c r="F22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t="s">
        <v>4587</v>
      </c>
      <c r="B2231" t="s">
        <v>4588</v>
      </c>
      <c r="C2231">
        <v>-12.366667</v>
      </c>
      <c r="D2231">
        <v>131.46638899999999</v>
      </c>
      <c r="E2231" t="str">
        <f>RIGHT(Airports[[#This Row],[ICAO]],3)</f>
        <v>WNR</v>
      </c>
      <c r="F22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t="s">
        <v>4589</v>
      </c>
      <c r="B2232" t="s">
        <v>4590</v>
      </c>
      <c r="C2232">
        <v>-38.599722</v>
      </c>
      <c r="D2232">
        <v>145.583056</v>
      </c>
      <c r="E2232" t="str">
        <f>RIGHT(Airports[[#This Row],[ICAO]],3)</f>
        <v>WOG</v>
      </c>
      <c r="F22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t="s">
        <v>4591</v>
      </c>
      <c r="B2233" t="s">
        <v>4592</v>
      </c>
      <c r="C2233">
        <v>-30.88</v>
      </c>
      <c r="D2233">
        <v>116.72833300000001</v>
      </c>
      <c r="E2233" t="str">
        <f>RIGHT(Airports[[#This Row],[ICAO]],3)</f>
        <v>WOH</v>
      </c>
      <c r="F22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t="s">
        <v>5342</v>
      </c>
      <c r="B2234" t="s">
        <v>3880</v>
      </c>
      <c r="C2234">
        <v>-34.561110999999997</v>
      </c>
      <c r="D2234">
        <v>150.788611</v>
      </c>
      <c r="E2234" t="str">
        <f>RIGHT(Airports[[#This Row],[ICAO]],3)</f>
        <v>WOL</v>
      </c>
      <c r="G2234" s="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t="s">
        <v>4593</v>
      </c>
      <c r="B2235" t="s">
        <v>4594</v>
      </c>
      <c r="C2235">
        <v>-14.100277999999999</v>
      </c>
      <c r="D2235">
        <v>134.413611</v>
      </c>
      <c r="E2235" t="str">
        <f>RIGHT(Airports[[#This Row],[ICAO]],3)</f>
        <v>WON</v>
      </c>
      <c r="F22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t="s">
        <v>4595</v>
      </c>
      <c r="B2236" t="s">
        <v>4596</v>
      </c>
      <c r="C2236">
        <v>-30.241667</v>
      </c>
      <c r="D2236">
        <v>149.14333300000001</v>
      </c>
      <c r="E2236" t="str">
        <f>RIGHT(Airports[[#This Row],[ICAO]],3)</f>
        <v>WOO</v>
      </c>
      <c r="F22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t="s">
        <v>4597</v>
      </c>
      <c r="B2237" t="s">
        <v>4598</v>
      </c>
      <c r="C2237">
        <v>-17.220555999999998</v>
      </c>
      <c r="D2237">
        <v>137.923889</v>
      </c>
      <c r="E2237" t="str">
        <f>RIGHT(Airports[[#This Row],[ICAO]],3)</f>
        <v>WOR</v>
      </c>
      <c r="F22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t="s">
        <v>4599</v>
      </c>
      <c r="B2238" t="s">
        <v>4600</v>
      </c>
      <c r="C2238">
        <v>-37.936667</v>
      </c>
      <c r="D2238">
        <v>144.37027800000001</v>
      </c>
      <c r="E2238" t="str">
        <f>RIGHT(Airports[[#This Row],[ICAO]],3)</f>
        <v>WOT</v>
      </c>
      <c r="F22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t="s">
        <v>4601</v>
      </c>
      <c r="B2239" t="s">
        <v>4602</v>
      </c>
      <c r="C2239">
        <v>-32.338056000000002</v>
      </c>
      <c r="D2239">
        <v>148.528333</v>
      </c>
      <c r="E2239" t="str">
        <f>RIGHT(Airports[[#This Row],[ICAO]],3)</f>
        <v>WOW</v>
      </c>
      <c r="F22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t="s">
        <v>4603</v>
      </c>
      <c r="B2240" t="s">
        <v>4604</v>
      </c>
      <c r="C2240">
        <v>-31.133056</v>
      </c>
      <c r="D2240">
        <v>138.96638899999999</v>
      </c>
      <c r="E2240" t="str">
        <f>RIGHT(Airports[[#This Row],[ICAO]],3)</f>
        <v>WPA</v>
      </c>
      <c r="F22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t="s">
        <v>4605</v>
      </c>
      <c r="B2241" t="s">
        <v>4606</v>
      </c>
      <c r="C2241">
        <v>-11.073611</v>
      </c>
      <c r="D2241">
        <v>126.681389</v>
      </c>
      <c r="E2241" t="str">
        <f>RIGHT(Airports[[#This Row],[ICAO]],3)</f>
        <v>WPB</v>
      </c>
      <c r="F22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t="s">
        <v>4607</v>
      </c>
      <c r="B2242" t="s">
        <v>4608</v>
      </c>
      <c r="C2242">
        <v>-34.954999999999998</v>
      </c>
      <c r="D2242">
        <v>116.696944</v>
      </c>
      <c r="E2242" t="str">
        <f>RIGHT(Airports[[#This Row],[ICAO]],3)</f>
        <v>WPE</v>
      </c>
      <c r="F22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t="s">
        <v>4609</v>
      </c>
      <c r="B2243" t="s">
        <v>4610</v>
      </c>
      <c r="C2243">
        <v>-23.1</v>
      </c>
      <c r="D2243">
        <v>114.533056</v>
      </c>
      <c r="E2243" t="str">
        <f>RIGHT(Airports[[#This Row],[ICAO]],3)</f>
        <v>WPL</v>
      </c>
      <c r="F22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t="s">
        <v>4611</v>
      </c>
      <c r="B2244" t="s">
        <v>4612</v>
      </c>
      <c r="C2244">
        <v>-31.516667000000002</v>
      </c>
      <c r="D2244">
        <v>138.625</v>
      </c>
      <c r="E2244" t="str">
        <f>RIGHT(Airports[[#This Row],[ICAO]],3)</f>
        <v>WPN</v>
      </c>
      <c r="F22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t="s">
        <v>4613</v>
      </c>
      <c r="B2245" t="s">
        <v>4614</v>
      </c>
      <c r="C2245">
        <v>-29.966667000000001</v>
      </c>
      <c r="D2245">
        <v>138.333056</v>
      </c>
      <c r="E2245" t="str">
        <f>RIGHT(Airports[[#This Row],[ICAO]],3)</f>
        <v>WPR</v>
      </c>
      <c r="F22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t="s">
        <v>4615</v>
      </c>
      <c r="B2246" t="s">
        <v>4616</v>
      </c>
      <c r="C2246">
        <v>-20.481389</v>
      </c>
      <c r="D2246">
        <v>138.16833299999999</v>
      </c>
      <c r="E2246" t="str">
        <f>RIGHT(Airports[[#This Row],[ICAO]],3)</f>
        <v>WRA</v>
      </c>
      <c r="F22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t="s">
        <v>4617</v>
      </c>
      <c r="B2247" t="s">
        <v>4618</v>
      </c>
      <c r="C2247">
        <v>-32.426389</v>
      </c>
      <c r="D2247">
        <v>118.908056</v>
      </c>
      <c r="E2247" t="str">
        <f>RIGHT(Airports[[#This Row],[ICAO]],3)</f>
        <v>WRC</v>
      </c>
      <c r="F22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t="s">
        <v>4619</v>
      </c>
      <c r="B2248" t="s">
        <v>4620</v>
      </c>
      <c r="C2248">
        <v>-29.533332999999999</v>
      </c>
      <c r="D2248">
        <v>150.533333</v>
      </c>
      <c r="E2248" t="str">
        <f>RIGHT(Airports[[#This Row],[ICAO]],3)</f>
        <v>WRL</v>
      </c>
      <c r="F22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t="s">
        <v>4621</v>
      </c>
      <c r="B2249" t="s">
        <v>4622</v>
      </c>
      <c r="C2249">
        <v>-31.733332999999998</v>
      </c>
      <c r="D2249">
        <v>147.80250000000001</v>
      </c>
      <c r="E2249" t="str">
        <f>RIGHT(Airports[[#This Row],[ICAO]],3)</f>
        <v>WRN</v>
      </c>
      <c r="F22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t="s">
        <v>4623</v>
      </c>
      <c r="B2250" t="s">
        <v>4624</v>
      </c>
      <c r="C2250">
        <v>-33.926943999999999</v>
      </c>
      <c r="D2250">
        <v>137.637778</v>
      </c>
      <c r="E2250" t="str">
        <f>RIGHT(Airports[[#This Row],[ICAO]],3)</f>
        <v>WRO</v>
      </c>
      <c r="F22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t="s">
        <v>4625</v>
      </c>
      <c r="B2251" t="s">
        <v>4626</v>
      </c>
      <c r="C2251">
        <v>-23.483332999999998</v>
      </c>
      <c r="D2251">
        <v>113.8</v>
      </c>
      <c r="E2251" t="str">
        <f>RIGHT(Airports[[#This Row],[ICAO]],3)</f>
        <v>WRR</v>
      </c>
      <c r="F22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t="s">
        <v>4627</v>
      </c>
      <c r="B2252" t="s">
        <v>4628</v>
      </c>
      <c r="C2252">
        <v>-19.316666999999999</v>
      </c>
      <c r="D2252">
        <v>144.083056</v>
      </c>
      <c r="E2252" t="str">
        <f>RIGHT(Airports[[#This Row],[ICAO]],3)</f>
        <v>WRS</v>
      </c>
      <c r="F22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t="s">
        <v>4629</v>
      </c>
      <c r="B2253" t="s">
        <v>4630</v>
      </c>
      <c r="C2253">
        <v>-13.593056000000001</v>
      </c>
      <c r="D2253">
        <v>135.755</v>
      </c>
      <c r="E2253" t="str">
        <f>RIGHT(Airports[[#This Row],[ICAO]],3)</f>
        <v>WRV</v>
      </c>
      <c r="F22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t="s">
        <v>4631</v>
      </c>
      <c r="B2254" t="s">
        <v>4632</v>
      </c>
      <c r="C2254">
        <v>-27.095555999999998</v>
      </c>
      <c r="D2254">
        <v>152.459722</v>
      </c>
      <c r="E2254" t="str">
        <f>RIGHT(Airports[[#This Row],[ICAO]],3)</f>
        <v>WSG</v>
      </c>
      <c r="F22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t="s">
        <v>4633</v>
      </c>
      <c r="B2255" t="s">
        <v>4634</v>
      </c>
      <c r="C2255">
        <v>-38.091667000000001</v>
      </c>
      <c r="D2255">
        <v>146.96527800000001</v>
      </c>
      <c r="E2255" t="str">
        <f>RIGHT(Airports[[#This Row],[ICAO]],3)</f>
        <v>WSL</v>
      </c>
      <c r="F22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t="s">
        <v>4635</v>
      </c>
      <c r="B2256" t="s">
        <v>4636</v>
      </c>
      <c r="C2256">
        <v>-19.361667000000001</v>
      </c>
      <c r="D2256">
        <v>142.761111</v>
      </c>
      <c r="E2256" t="str">
        <f>RIGHT(Airports[[#This Row],[ICAO]],3)</f>
        <v>WSN</v>
      </c>
      <c r="F22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t="s">
        <v>4637</v>
      </c>
      <c r="B2257" t="s">
        <v>4638</v>
      </c>
      <c r="C2257">
        <v>-32.882778000000002</v>
      </c>
      <c r="D2257">
        <v>151.672222</v>
      </c>
      <c r="E2257" t="str">
        <f>RIGHT(Airports[[#This Row],[ICAO]],3)</f>
        <v>WSR</v>
      </c>
      <c r="F22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t="s">
        <v>4639</v>
      </c>
      <c r="B2258" t="s">
        <v>4640</v>
      </c>
      <c r="C2258">
        <v>-33.805</v>
      </c>
      <c r="D2258">
        <v>150.98833300000001</v>
      </c>
      <c r="E2258" t="str">
        <f>RIGHT(Airports[[#This Row],[ICAO]],3)</f>
        <v>WST</v>
      </c>
      <c r="F22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t="s">
        <v>4641</v>
      </c>
      <c r="B2259" t="s">
        <v>4642</v>
      </c>
      <c r="C2259">
        <v>-31.333333</v>
      </c>
      <c r="D2259">
        <v>118.666389</v>
      </c>
      <c r="E2259" t="str">
        <f>RIGHT(Airports[[#This Row],[ICAO]],3)</f>
        <v>WSX</v>
      </c>
      <c r="F22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t="s">
        <v>4643</v>
      </c>
      <c r="B2260" t="s">
        <v>4644</v>
      </c>
      <c r="C2260">
        <v>-27.738056</v>
      </c>
      <c r="D2260">
        <v>134.119722</v>
      </c>
      <c r="E2260" t="str">
        <f>RIGHT(Airports[[#This Row],[ICAO]],3)</f>
        <v>WTA</v>
      </c>
      <c r="F22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t="s">
        <v>4645</v>
      </c>
      <c r="B2261" t="s">
        <v>4646</v>
      </c>
      <c r="C2261">
        <v>-40.81</v>
      </c>
      <c r="D2261">
        <v>147.625</v>
      </c>
      <c r="E2261" t="str">
        <f>RIGHT(Airports[[#This Row],[ICAO]],3)</f>
        <v>WTH</v>
      </c>
      <c r="F22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t="s">
        <v>4647</v>
      </c>
      <c r="B2262" t="s">
        <v>4648</v>
      </c>
      <c r="C2262">
        <v>-16.63</v>
      </c>
      <c r="D2262">
        <v>129.321111</v>
      </c>
      <c r="E2262" t="str">
        <f>RIGHT(Airports[[#This Row],[ICAO]],3)</f>
        <v>WTL</v>
      </c>
      <c r="F22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t="s">
        <v>4649</v>
      </c>
      <c r="B2263" t="s">
        <v>4650</v>
      </c>
      <c r="C2263">
        <v>-22.363610999999999</v>
      </c>
      <c r="D2263">
        <v>143.085556</v>
      </c>
      <c r="E2263" t="str">
        <f>RIGHT(Airports[[#This Row],[ICAO]],3)</f>
        <v>WTN</v>
      </c>
      <c r="F22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t="s">
        <v>4651</v>
      </c>
      <c r="B2264" t="s">
        <v>4652</v>
      </c>
      <c r="C2264">
        <v>-34.087778</v>
      </c>
      <c r="D2264">
        <v>141.891944</v>
      </c>
      <c r="E2264" t="str">
        <f>RIGHT(Airports[[#This Row],[ICAO]],3)</f>
        <v>WTO</v>
      </c>
      <c r="F22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t="s">
        <v>4653</v>
      </c>
      <c r="B2265" t="s">
        <v>4654</v>
      </c>
      <c r="C2265">
        <v>-19.93</v>
      </c>
      <c r="D2265">
        <v>115.38416700000001</v>
      </c>
      <c r="E2265" t="str">
        <f>RIGHT(Airports[[#This Row],[ICAO]],3)</f>
        <v>WTP</v>
      </c>
      <c r="F22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t="s">
        <v>4655</v>
      </c>
      <c r="B2266" t="s">
        <v>4656</v>
      </c>
      <c r="C2266">
        <v>-13.216388999999999</v>
      </c>
      <c r="D2266">
        <v>142.19972200000001</v>
      </c>
      <c r="E2266" t="str">
        <f>RIGHT(Airports[[#This Row],[ICAO]],3)</f>
        <v>WTV</v>
      </c>
      <c r="F22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t="s">
        <v>4657</v>
      </c>
      <c r="B2267" t="s">
        <v>4658</v>
      </c>
      <c r="C2267">
        <v>-33.043332999999997</v>
      </c>
      <c r="D2267">
        <v>135.44722200000001</v>
      </c>
      <c r="E2267" t="str">
        <f>RIGHT(Airports[[#This Row],[ICAO]],3)</f>
        <v>WUD</v>
      </c>
      <c r="F22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t="s">
        <v>4659</v>
      </c>
      <c r="B2268" t="s">
        <v>4660</v>
      </c>
      <c r="C2268">
        <v>-12.899722000000001</v>
      </c>
      <c r="D2268">
        <v>136.333056</v>
      </c>
      <c r="E2268" t="str">
        <f>RIGHT(Airports[[#This Row],[ICAO]],3)</f>
        <v>WUL</v>
      </c>
      <c r="F22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t="s">
        <v>4661</v>
      </c>
      <c r="B2269" t="s">
        <v>4662</v>
      </c>
      <c r="C2269">
        <v>-33.240278000000004</v>
      </c>
      <c r="D2269">
        <v>151.43027799999999</v>
      </c>
      <c r="E2269" t="str">
        <f>RIGHT(Airports[[#This Row],[ICAO]],3)</f>
        <v>WVA</v>
      </c>
      <c r="F22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t="s">
        <v>4663</v>
      </c>
      <c r="B2270" t="s">
        <v>4664</v>
      </c>
      <c r="C2270">
        <v>-18.419167000000002</v>
      </c>
      <c r="D2270">
        <v>140.78722200000001</v>
      </c>
      <c r="E2270" t="str">
        <f>RIGHT(Airports[[#This Row],[ICAO]],3)</f>
        <v>WVL</v>
      </c>
      <c r="F22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t="s">
        <v>4665</v>
      </c>
      <c r="B2271" t="s">
        <v>4666</v>
      </c>
      <c r="C2271">
        <v>-13.316388999999999</v>
      </c>
      <c r="D2271">
        <v>142.88305600000001</v>
      </c>
      <c r="E2271" t="str">
        <f>RIGHT(Airports[[#This Row],[ICAO]],3)</f>
        <v>WVN</v>
      </c>
      <c r="F22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t="s">
        <v>4667</v>
      </c>
      <c r="B2272" t="s">
        <v>4668</v>
      </c>
      <c r="C2272">
        <v>-33.253610999999999</v>
      </c>
      <c r="D2272">
        <v>150.18777800000001</v>
      </c>
      <c r="E2272" t="str">
        <f>RIGHT(Airports[[#This Row],[ICAO]],3)</f>
        <v>WVR</v>
      </c>
      <c r="F22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t="s">
        <v>4669</v>
      </c>
      <c r="B2273" t="s">
        <v>4670</v>
      </c>
      <c r="C2273">
        <v>-22.75</v>
      </c>
      <c r="D2273">
        <v>144.399722</v>
      </c>
      <c r="E2273" t="str">
        <f>RIGHT(Airports[[#This Row],[ICAO]],3)</f>
        <v>WWD</v>
      </c>
      <c r="F22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t="s">
        <v>4671</v>
      </c>
      <c r="B2274" t="s">
        <v>4672</v>
      </c>
      <c r="C2274">
        <v>-20.299721999999999</v>
      </c>
      <c r="D2274">
        <v>146.61666700000001</v>
      </c>
      <c r="E2274" t="str">
        <f>RIGHT(Airports[[#This Row],[ICAO]],3)</f>
        <v>WWE</v>
      </c>
      <c r="F22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t="s">
        <v>4673</v>
      </c>
      <c r="B2275" t="s">
        <v>4674</v>
      </c>
      <c r="C2275">
        <v>-20.85</v>
      </c>
      <c r="D2275">
        <v>120.69972199999999</v>
      </c>
      <c r="E2275" t="str">
        <f>RIGHT(Airports[[#This Row],[ICAO]],3)</f>
        <v>WWG</v>
      </c>
      <c r="F22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t="s">
        <v>4675</v>
      </c>
      <c r="B2276" t="s">
        <v>4652</v>
      </c>
      <c r="C2276">
        <v>-22.1</v>
      </c>
      <c r="D2276">
        <v>147.69972200000001</v>
      </c>
      <c r="E2276" t="str">
        <f>RIGHT(Airports[[#This Row],[ICAO]],3)</f>
        <v>WWH</v>
      </c>
      <c r="F22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t="s">
        <v>4676</v>
      </c>
      <c r="B2277" t="s">
        <v>4677</v>
      </c>
      <c r="C2277">
        <v>-21.645278000000001</v>
      </c>
      <c r="D2277">
        <v>121.191667</v>
      </c>
      <c r="E2277" t="str">
        <f>RIGHT(Airports[[#This Row],[ICAO]],3)</f>
        <v>WWI</v>
      </c>
      <c r="F22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t="s">
        <v>4678</v>
      </c>
      <c r="B2278" t="s">
        <v>4679</v>
      </c>
      <c r="C2278">
        <v>-33.937221999999998</v>
      </c>
      <c r="D2278">
        <v>147.19138899999999</v>
      </c>
      <c r="E2278" t="str">
        <f>RIGHT(Airports[[#This Row],[ICAO]],3)</f>
        <v>WWL</v>
      </c>
      <c r="F22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t="s">
        <v>4680</v>
      </c>
      <c r="B2279" t="s">
        <v>4681</v>
      </c>
      <c r="C2279">
        <v>-28.015218000000001</v>
      </c>
      <c r="D2279">
        <v>153.07005100000001</v>
      </c>
      <c r="E2279" t="str">
        <f>RIGHT(Airports[[#This Row],[ICAO]],3)</f>
        <v>WWS</v>
      </c>
      <c r="F2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t="s">
        <v>4682</v>
      </c>
      <c r="B2280" t="s">
        <v>4683</v>
      </c>
      <c r="C2280">
        <v>-24.116667</v>
      </c>
      <c r="D2280">
        <v>145.583056</v>
      </c>
      <c r="E2280" t="str">
        <f>RIGHT(Airports[[#This Row],[ICAO]],3)</f>
        <v>WWX</v>
      </c>
      <c r="F22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t="s">
        <v>4684</v>
      </c>
      <c r="B2281" t="s">
        <v>4685</v>
      </c>
      <c r="C2281">
        <v>-27.266667000000002</v>
      </c>
      <c r="D2281">
        <v>145.99</v>
      </c>
      <c r="E2281" t="str">
        <f>RIGHT(Airports[[#This Row],[ICAO]],3)</f>
        <v>WYA</v>
      </c>
      <c r="F2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t="s">
        <v>4686</v>
      </c>
      <c r="B2282" t="s">
        <v>4687</v>
      </c>
      <c r="C2282">
        <v>-30.557221999999999</v>
      </c>
      <c r="D2282">
        <v>133.537778</v>
      </c>
      <c r="E2282" t="str">
        <f>RIGHT(Airports[[#This Row],[ICAO]],3)</f>
        <v>WYB</v>
      </c>
      <c r="F22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t="s">
        <v>4688</v>
      </c>
      <c r="B2283" t="s">
        <v>4689</v>
      </c>
      <c r="C2283">
        <v>-36.058889000000001</v>
      </c>
      <c r="D2283">
        <v>143.24333300000001</v>
      </c>
      <c r="E2283" t="str">
        <f>RIGHT(Airports[[#This Row],[ICAO]],3)</f>
        <v>WYF</v>
      </c>
      <c r="F22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t="s">
        <v>4690</v>
      </c>
      <c r="B2284" t="s">
        <v>4691</v>
      </c>
      <c r="C2284">
        <v>-14.633056</v>
      </c>
      <c r="D2284">
        <v>135.5</v>
      </c>
      <c r="E2284" t="str">
        <f>RIGHT(Airports[[#This Row],[ICAO]],3)</f>
        <v>WYG</v>
      </c>
      <c r="F22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t="s">
        <v>4692</v>
      </c>
      <c r="B2285" t="s">
        <v>4693</v>
      </c>
      <c r="C2285">
        <v>-28.761666999999999</v>
      </c>
      <c r="D2285">
        <v>151.04055600000001</v>
      </c>
      <c r="E2285" t="str">
        <f>RIGHT(Airports[[#This Row],[ICAO]],3)</f>
        <v>WYL</v>
      </c>
      <c r="F22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t="s">
        <v>4694</v>
      </c>
      <c r="B2286" t="s">
        <v>4695</v>
      </c>
      <c r="C2286">
        <v>-15.511388999999999</v>
      </c>
      <c r="D2286">
        <v>128.15305599999999</v>
      </c>
      <c r="E2286" t="str">
        <f>RIGHT(Airports[[#This Row],[ICAO]],3)</f>
        <v>WYM</v>
      </c>
      <c r="F22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t="s">
        <v>4696</v>
      </c>
      <c r="B2287" t="s">
        <v>4697</v>
      </c>
      <c r="C2287">
        <v>-28.941389000000001</v>
      </c>
      <c r="D2287">
        <v>148.12555599999999</v>
      </c>
      <c r="E2287" t="str">
        <f>RIGHT(Airports[[#This Row],[ICAO]],3)</f>
        <v>WYN</v>
      </c>
      <c r="F22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t="s">
        <v>4698</v>
      </c>
      <c r="B2288" t="s">
        <v>4699</v>
      </c>
      <c r="C2288">
        <v>-27.219722000000001</v>
      </c>
      <c r="D2288">
        <v>151.49527800000001</v>
      </c>
      <c r="E2288" t="str">
        <f>RIGHT(Airports[[#This Row],[ICAO]],3)</f>
        <v>WYO</v>
      </c>
      <c r="F22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t="s">
        <v>4700</v>
      </c>
      <c r="B2289" t="s">
        <v>4701</v>
      </c>
      <c r="C2289">
        <v>-27.6675</v>
      </c>
      <c r="D2289">
        <v>151.854444</v>
      </c>
      <c r="E2289" t="str">
        <f>RIGHT(Airports[[#This Row],[ICAO]],3)</f>
        <v>WYR</v>
      </c>
      <c r="F22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t="s">
        <v>4702</v>
      </c>
      <c r="B2290" t="s">
        <v>4703</v>
      </c>
      <c r="C2290">
        <v>-33.096474000000001</v>
      </c>
      <c r="D2290">
        <v>117.03012200000001</v>
      </c>
      <c r="E2290" t="str">
        <f>RIGHT(Airports[[#This Row],[ICAO]],3)</f>
        <v>WYU</v>
      </c>
      <c r="F22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t="s">
        <v>4704</v>
      </c>
      <c r="B2291" t="s">
        <v>4705</v>
      </c>
      <c r="C2291">
        <v>-40.998888999999998</v>
      </c>
      <c r="D2291">
        <v>145.731111</v>
      </c>
      <c r="E2291" t="str">
        <f>RIGHT(Airports[[#This Row],[ICAO]],3)</f>
        <v>WYY</v>
      </c>
      <c r="F22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t="s">
        <v>4706</v>
      </c>
      <c r="B2292" t="s">
        <v>4707</v>
      </c>
      <c r="C2292">
        <v>-34.920833000000002</v>
      </c>
      <c r="D2292">
        <v>138.58611099999999</v>
      </c>
      <c r="E2292" t="str">
        <f>RIGHT(Airports[[#This Row],[ICAO]],3)</f>
        <v>XAA</v>
      </c>
      <c r="F22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t="s">
        <v>4708</v>
      </c>
      <c r="B2293" t="s">
        <v>4709</v>
      </c>
      <c r="C2293">
        <v>-31.275556000000002</v>
      </c>
      <c r="D2293">
        <v>149.28388899999999</v>
      </c>
      <c r="E2293" t="str">
        <f>RIGHT(Airports[[#This Row],[ICAO]],3)</f>
        <v>XAB</v>
      </c>
      <c r="F22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t="s">
        <v>4710</v>
      </c>
      <c r="B2294" t="s">
        <v>4711</v>
      </c>
      <c r="C2294">
        <v>-14.44</v>
      </c>
      <c r="D2294">
        <v>132.27083300000001</v>
      </c>
      <c r="E2294" t="str">
        <f>RIGHT(Airports[[#This Row],[ICAO]],3)</f>
        <v>XAE</v>
      </c>
      <c r="F22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t="s">
        <v>4712</v>
      </c>
      <c r="B2295" t="s">
        <v>4713</v>
      </c>
      <c r="C2295">
        <v>-34.507221999999999</v>
      </c>
      <c r="D2295">
        <v>139.04333299999999</v>
      </c>
      <c r="E2295" t="str">
        <f>RIGHT(Airports[[#This Row],[ICAO]],3)</f>
        <v>XAG</v>
      </c>
      <c r="F22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t="s">
        <v>4714</v>
      </c>
      <c r="B2296" t="s">
        <v>4715</v>
      </c>
      <c r="C2296">
        <v>-30.510833000000002</v>
      </c>
      <c r="D2296">
        <v>151.655833</v>
      </c>
      <c r="E2296" t="str">
        <f>RIGHT(Airports[[#This Row],[ICAO]],3)</f>
        <v>XAH</v>
      </c>
      <c r="F22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t="s">
        <v>4716</v>
      </c>
      <c r="B2297" t="s">
        <v>4717</v>
      </c>
      <c r="C2297">
        <v>-36.079166999999998</v>
      </c>
      <c r="D2297">
        <v>146.93861100000001</v>
      </c>
      <c r="E2297" t="str">
        <f>RIGHT(Airports[[#This Row],[ICAO]],3)</f>
        <v>XAL</v>
      </c>
      <c r="F22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t="s">
        <v>4718</v>
      </c>
      <c r="B2298" t="s">
        <v>4719</v>
      </c>
      <c r="C2298">
        <v>-34.426943999999999</v>
      </c>
      <c r="D2298">
        <v>137.91722200000001</v>
      </c>
      <c r="E2298" t="str">
        <f>RIGHT(Airports[[#This Row],[ICAO]],3)</f>
        <v>XAN</v>
      </c>
      <c r="F22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t="s">
        <v>4720</v>
      </c>
      <c r="B2299" t="s">
        <v>4721</v>
      </c>
      <c r="C2299">
        <v>-33.556756999999998</v>
      </c>
      <c r="D2299">
        <v>148.67523499999999</v>
      </c>
      <c r="E2299" t="str">
        <f>RIGHT(Airports[[#This Row],[ICAO]],3)</f>
        <v>XAO</v>
      </c>
      <c r="F22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t="s">
        <v>4722</v>
      </c>
      <c r="B2300" t="s">
        <v>4723</v>
      </c>
      <c r="C2300">
        <v>-37.278333000000003</v>
      </c>
      <c r="D2300">
        <v>142.931389</v>
      </c>
      <c r="E2300" t="str">
        <f>RIGHT(Airports[[#This Row],[ICAO]],3)</f>
        <v>XAR</v>
      </c>
      <c r="F23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t="s">
        <v>4724</v>
      </c>
      <c r="B2301" t="s">
        <v>4725</v>
      </c>
      <c r="C2301">
        <v>-17.265833000000001</v>
      </c>
      <c r="D2301">
        <v>145.483611</v>
      </c>
      <c r="E2301" t="str">
        <f>RIGHT(Airports[[#This Row],[ICAO]],3)</f>
        <v>XAT</v>
      </c>
      <c r="F23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t="s">
        <v>4726</v>
      </c>
      <c r="B2302" t="s">
        <v>4727</v>
      </c>
      <c r="C2302">
        <v>-32.126666999999998</v>
      </c>
      <c r="D2302">
        <v>151.766389</v>
      </c>
      <c r="E2302" t="str">
        <f>RIGHT(Airports[[#This Row],[ICAO]],3)</f>
        <v>XAV</v>
      </c>
      <c r="F23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t="s">
        <v>4728</v>
      </c>
      <c r="B2303" t="s">
        <v>4729</v>
      </c>
      <c r="C2303">
        <v>-33.534722000000002</v>
      </c>
      <c r="D2303">
        <v>149.249167</v>
      </c>
      <c r="E2303" t="str">
        <f>RIGHT(Airports[[#This Row],[ICAO]],3)</f>
        <v>XAY</v>
      </c>
      <c r="F2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t="s">
        <v>4730</v>
      </c>
      <c r="B2304" t="s">
        <v>4731</v>
      </c>
      <c r="C2304">
        <v>-34.139167</v>
      </c>
      <c r="D2304">
        <v>138.419444</v>
      </c>
      <c r="E2304" t="str">
        <f>RIGHT(Airports[[#This Row],[ICAO]],3)</f>
        <v>XBA</v>
      </c>
      <c r="F23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t="s">
        <v>4732</v>
      </c>
      <c r="B2305" t="s">
        <v>4733</v>
      </c>
      <c r="C2305">
        <v>-24.870833000000001</v>
      </c>
      <c r="D2305">
        <v>152.335556</v>
      </c>
      <c r="E2305" t="str">
        <f>RIGHT(Airports[[#This Row],[ICAO]],3)</f>
        <v>XBD</v>
      </c>
      <c r="F23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t="s">
        <v>4734</v>
      </c>
      <c r="B2306" t="s">
        <v>4735</v>
      </c>
      <c r="C2306">
        <v>-36.748728999999997</v>
      </c>
      <c r="D2306">
        <v>144.28237100000001</v>
      </c>
      <c r="E2306" t="str">
        <f>RIGHT(Airports[[#This Row],[ICAO]],3)</f>
        <v>XBE</v>
      </c>
      <c r="F23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t="s">
        <v>4736</v>
      </c>
      <c r="B2307" t="s">
        <v>4737</v>
      </c>
      <c r="C2307">
        <v>-41.871389000000001</v>
      </c>
      <c r="D2307">
        <v>148.305556</v>
      </c>
      <c r="E2307" t="str">
        <f>RIGHT(Airports[[#This Row],[ICAO]],3)</f>
        <v>XBF</v>
      </c>
      <c r="F23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t="s">
        <v>4738</v>
      </c>
      <c r="B2308" t="s">
        <v>4739</v>
      </c>
      <c r="C2308">
        <v>-33.405555999999997</v>
      </c>
      <c r="D2308">
        <v>149.57222200000001</v>
      </c>
      <c r="E2308" t="str">
        <f>RIGHT(Airports[[#This Row],[ICAO]],3)</f>
        <v>XBH</v>
      </c>
      <c r="F23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t="s">
        <v>4740</v>
      </c>
      <c r="B2309" t="s">
        <v>4741</v>
      </c>
      <c r="C2309">
        <v>-25.506944000000001</v>
      </c>
      <c r="D2309">
        <v>152.050556</v>
      </c>
      <c r="E2309" t="str">
        <f>RIGHT(Airports[[#This Row],[ICAO]],3)</f>
        <v>XBI</v>
      </c>
      <c r="F23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t="s">
        <v>4742</v>
      </c>
      <c r="B2310" t="s">
        <v>4743</v>
      </c>
      <c r="C2310">
        <v>-30.816666999999999</v>
      </c>
      <c r="D2310">
        <v>152.516389</v>
      </c>
      <c r="E2310" t="str">
        <f>RIGHT(Airports[[#This Row],[ICAO]],3)</f>
        <v>XBK</v>
      </c>
      <c r="F23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t="s">
        <v>4744</v>
      </c>
      <c r="B2311" t="s">
        <v>4745</v>
      </c>
      <c r="C2311">
        <v>-33.777777999999998</v>
      </c>
      <c r="D2311">
        <v>150.916944</v>
      </c>
      <c r="E2311" t="str">
        <f>RIGHT(Airports[[#This Row],[ICAO]],3)</f>
        <v>XBL</v>
      </c>
      <c r="F23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t="s">
        <v>4746</v>
      </c>
      <c r="B2312" t="s">
        <v>4747</v>
      </c>
      <c r="C2312">
        <v>-33.705278</v>
      </c>
      <c r="D2312">
        <v>150.32222200000001</v>
      </c>
      <c r="E2312" t="str">
        <f>RIGHT(Airports[[#This Row],[ICAO]],3)</f>
        <v>XBM</v>
      </c>
      <c r="F23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t="s">
        <v>4748</v>
      </c>
      <c r="B2313" t="s">
        <v>4749</v>
      </c>
      <c r="C2313">
        <v>-37.832777999999998</v>
      </c>
      <c r="D2313">
        <v>147.60749999999999</v>
      </c>
      <c r="E2313" t="str">
        <f>RIGHT(Airports[[#This Row],[ICAO]],3)</f>
        <v>XBN</v>
      </c>
      <c r="F23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t="s">
        <v>4750</v>
      </c>
      <c r="B2314" t="s">
        <v>4751</v>
      </c>
      <c r="C2314">
        <v>-27.983332999999998</v>
      </c>
      <c r="D2314">
        <v>152.683333</v>
      </c>
      <c r="E2314" t="str">
        <f>RIGHT(Airports[[#This Row],[ICAO]],3)</f>
        <v>XBO</v>
      </c>
      <c r="F23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t="s">
        <v>4752</v>
      </c>
      <c r="B2315" t="s">
        <v>4753</v>
      </c>
      <c r="C2315">
        <v>-35.081389000000001</v>
      </c>
      <c r="D2315">
        <v>138.86944399999999</v>
      </c>
      <c r="E2315" t="str">
        <f>RIGHT(Airports[[#This Row],[ICAO]],3)</f>
        <v>XBR</v>
      </c>
      <c r="F23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t="s">
        <v>4754</v>
      </c>
      <c r="B2316" t="s">
        <v>4755</v>
      </c>
      <c r="C2316">
        <v>-27.985555999999999</v>
      </c>
      <c r="D2316">
        <v>153.00222199999999</v>
      </c>
      <c r="E2316" t="str">
        <f>RIGHT(Airports[[#This Row],[ICAO]],3)</f>
        <v>XBS</v>
      </c>
      <c r="F23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t="s">
        <v>4756</v>
      </c>
      <c r="B2317" t="s">
        <v>4757</v>
      </c>
      <c r="C2317">
        <v>-37.559167000000002</v>
      </c>
      <c r="D2317">
        <v>143.84555599999999</v>
      </c>
      <c r="E2317" t="str">
        <f>RIGHT(Airports[[#This Row],[ICAO]],3)</f>
        <v>XBT</v>
      </c>
      <c r="F23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t="s">
        <v>4758</v>
      </c>
      <c r="B2318" t="s">
        <v>4759</v>
      </c>
      <c r="C2318">
        <v>-27.072500000000002</v>
      </c>
      <c r="D2318">
        <v>153.36750000000001</v>
      </c>
      <c r="E2318" t="str">
        <f>RIGHT(Airports[[#This Row],[ICAO]],3)</f>
        <v>XBU</v>
      </c>
      <c r="F23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t="s">
        <v>4760</v>
      </c>
      <c r="B2319" t="s">
        <v>4761</v>
      </c>
      <c r="C2319">
        <v>-36.687528999999998</v>
      </c>
      <c r="D2319">
        <v>149.85879700000001</v>
      </c>
      <c r="E2319" t="str">
        <f>RIGHT(Airports[[#This Row],[ICAO]],3)</f>
        <v>XBV</v>
      </c>
      <c r="F23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t="s">
        <v>4762</v>
      </c>
      <c r="B2320" t="s">
        <v>4763</v>
      </c>
      <c r="C2320">
        <v>-20.006584</v>
      </c>
      <c r="D2320">
        <v>148.239938</v>
      </c>
      <c r="E2320" t="str">
        <f>RIGHT(Airports[[#This Row],[ICAO]],3)</f>
        <v>XBW</v>
      </c>
      <c r="F23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t="s">
        <v>4764</v>
      </c>
      <c r="B2321" t="s">
        <v>4765</v>
      </c>
      <c r="C2321">
        <v>-43.316667000000002</v>
      </c>
      <c r="D2321">
        <v>147.245</v>
      </c>
      <c r="E2321" t="str">
        <f>RIGHT(Airports[[#This Row],[ICAO]],3)</f>
        <v>XBY</v>
      </c>
      <c r="F23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t="s">
        <v>4766</v>
      </c>
      <c r="B2322" t="s">
        <v>4767</v>
      </c>
      <c r="C2322">
        <v>-24.393611</v>
      </c>
      <c r="D2322">
        <v>150.515278</v>
      </c>
      <c r="E2322" t="str">
        <f>RIGHT(Airports[[#This Row],[ICAO]],3)</f>
        <v>XBZ</v>
      </c>
      <c r="F23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t="s">
        <v>4768</v>
      </c>
      <c r="B2323" t="s">
        <v>4769</v>
      </c>
      <c r="C2323">
        <v>-35.345556000000002</v>
      </c>
      <c r="D2323">
        <v>149.10305600000001</v>
      </c>
      <c r="E2323" t="str">
        <f>RIGHT(Airports[[#This Row],[ICAO]],3)</f>
        <v>XCB</v>
      </c>
      <c r="F23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t="s">
        <v>4770</v>
      </c>
      <c r="B2324" t="s">
        <v>4771</v>
      </c>
      <c r="C2324">
        <v>-33.838611</v>
      </c>
      <c r="D2324">
        <v>151.095</v>
      </c>
      <c r="E2324" t="str">
        <f>RIGHT(Airports[[#This Row],[ICAO]],3)</f>
        <v>XCC</v>
      </c>
      <c r="F23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t="s">
        <v>4772</v>
      </c>
      <c r="B2325" t="s">
        <v>4773</v>
      </c>
      <c r="C2325">
        <v>-17.018611</v>
      </c>
      <c r="D2325">
        <v>145.725278</v>
      </c>
      <c r="E2325" t="str">
        <f>RIGHT(Airports[[#This Row],[ICAO]],3)</f>
        <v>XCE</v>
      </c>
      <c r="F23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t="s">
        <v>4774</v>
      </c>
      <c r="B2326" t="s">
        <v>4775</v>
      </c>
      <c r="C2326">
        <v>-33.305556000000003</v>
      </c>
      <c r="D2326">
        <v>149.119722</v>
      </c>
      <c r="E2326" t="str">
        <f>RIGHT(Airports[[#This Row],[ICAO]],3)</f>
        <v>XCF</v>
      </c>
      <c r="F23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t="s">
        <v>4776</v>
      </c>
      <c r="B2327" t="s">
        <v>4777</v>
      </c>
      <c r="C2327">
        <v>-26.291111000000001</v>
      </c>
      <c r="D2327">
        <v>151.957222</v>
      </c>
      <c r="E2327" t="str">
        <f>RIGHT(Airports[[#This Row],[ICAO]],3)</f>
        <v>XCH</v>
      </c>
      <c r="F23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t="s">
        <v>4778</v>
      </c>
      <c r="B2328" t="s">
        <v>4779</v>
      </c>
      <c r="C2328">
        <v>-26.740556000000002</v>
      </c>
      <c r="D2328">
        <v>150.63416699999999</v>
      </c>
      <c r="E2328" t="str">
        <f>RIGHT(Airports[[#This Row],[ICAO]],3)</f>
        <v>XCI</v>
      </c>
      <c r="F23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t="s">
        <v>4780</v>
      </c>
      <c r="B2329" t="s">
        <v>4781</v>
      </c>
      <c r="C2329">
        <v>-29.545000000000002</v>
      </c>
      <c r="D2329">
        <v>148.581389</v>
      </c>
      <c r="E2329" t="str">
        <f>RIGHT(Airports[[#This Row],[ICAO]],3)</f>
        <v>XCL</v>
      </c>
      <c r="F23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t="s">
        <v>4782</v>
      </c>
      <c r="B2330" t="s">
        <v>4783</v>
      </c>
      <c r="C2330">
        <v>-36.242221999999998</v>
      </c>
      <c r="D2330">
        <v>149.130278</v>
      </c>
      <c r="E2330" t="str">
        <f>RIGHT(Airports[[#This Row],[ICAO]],3)</f>
        <v>XCM</v>
      </c>
      <c r="F23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t="s">
        <v>4784</v>
      </c>
      <c r="B2331" t="s">
        <v>4785</v>
      </c>
      <c r="C2331">
        <v>-15.477499999999999</v>
      </c>
      <c r="D2331">
        <v>145.25</v>
      </c>
      <c r="E2331" t="str">
        <f>RIGHT(Airports[[#This Row],[ICAO]],3)</f>
        <v>XCO</v>
      </c>
      <c r="F23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t="s">
        <v>4786</v>
      </c>
      <c r="B2332" t="s">
        <v>4787</v>
      </c>
      <c r="C2332">
        <v>-34.078055999999997</v>
      </c>
      <c r="D2332">
        <v>150.80694399999999</v>
      </c>
      <c r="E2332" t="str">
        <f>RIGHT(Airports[[#This Row],[ICAO]],3)</f>
        <v>XCP</v>
      </c>
      <c r="F23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t="s">
        <v>4788</v>
      </c>
      <c r="B2333" t="s">
        <v>4789</v>
      </c>
      <c r="C2333">
        <v>-31.741667</v>
      </c>
      <c r="D2333">
        <v>152.38472200000001</v>
      </c>
      <c r="E2333" t="str">
        <f>RIGHT(Airports[[#This Row],[ICAO]],3)</f>
        <v>XCR</v>
      </c>
      <c r="F23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t="s">
        <v>4790</v>
      </c>
      <c r="B2334" t="s">
        <v>4791</v>
      </c>
      <c r="C2334">
        <v>-20.703755000000001</v>
      </c>
      <c r="D2334">
        <v>140.52866800000001</v>
      </c>
      <c r="E2334" t="str">
        <f>RIGHT(Airports[[#This Row],[ICAO]],3)</f>
        <v>XCS</v>
      </c>
      <c r="F23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t="s">
        <v>4792</v>
      </c>
      <c r="B2335" t="s">
        <v>4793</v>
      </c>
      <c r="C2335">
        <v>-22.827013000000001</v>
      </c>
      <c r="D2335">
        <v>147.63126800000001</v>
      </c>
      <c r="E2335" t="str">
        <f>RIGHT(Airports[[#This Row],[ICAO]],3)</f>
        <v>XCT</v>
      </c>
      <c r="F23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t="s">
        <v>4794</v>
      </c>
      <c r="B2336" t="s">
        <v>4795</v>
      </c>
      <c r="C2336">
        <v>-28.066666999999999</v>
      </c>
      <c r="D2336">
        <v>152.41666699999999</v>
      </c>
      <c r="E2336" t="str">
        <f>RIGHT(Airports[[#This Row],[ICAO]],3)</f>
        <v>XCU</v>
      </c>
      <c r="F23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t="s">
        <v>4796</v>
      </c>
      <c r="B2337" t="s">
        <v>4797</v>
      </c>
      <c r="C2337">
        <v>-20.546666999999999</v>
      </c>
      <c r="D2337">
        <v>147.83777799999999</v>
      </c>
      <c r="E2337" t="str">
        <f>RIGHT(Airports[[#This Row],[ICAO]],3)</f>
        <v>XCV</v>
      </c>
      <c r="F23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t="s">
        <v>4798</v>
      </c>
      <c r="B2338" t="s">
        <v>4799</v>
      </c>
      <c r="C2338">
        <v>-33.820278000000002</v>
      </c>
      <c r="D2338">
        <v>148.69</v>
      </c>
      <c r="E2338" t="str">
        <f>RIGHT(Airports[[#This Row],[ICAO]],3)</f>
        <v>XCW</v>
      </c>
      <c r="F23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t="s">
        <v>4800</v>
      </c>
      <c r="B2339" t="s">
        <v>4801</v>
      </c>
      <c r="C2339">
        <v>-27.167221999999999</v>
      </c>
      <c r="D2339">
        <v>151.27694399999999</v>
      </c>
      <c r="E2339" t="str">
        <f>RIGHT(Airports[[#This Row],[ICAO]],3)</f>
        <v>XDA</v>
      </c>
      <c r="F23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t="s">
        <v>4802</v>
      </c>
      <c r="B2340" t="s">
        <v>4803</v>
      </c>
      <c r="C2340">
        <v>-32.238610999999999</v>
      </c>
      <c r="D2340">
        <v>148.62055599999999</v>
      </c>
      <c r="E2340" t="str">
        <f>RIGHT(Airports[[#This Row],[ICAO]],3)</f>
        <v>XDB</v>
      </c>
      <c r="F23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t="s">
        <v>4804</v>
      </c>
      <c r="B2341" t="s">
        <v>4805</v>
      </c>
      <c r="C2341">
        <v>-32.387222000000001</v>
      </c>
      <c r="D2341">
        <v>150.68472199999999</v>
      </c>
      <c r="E2341" t="str">
        <f>RIGHT(Airports[[#This Row],[ICAO]],3)</f>
        <v>XDE</v>
      </c>
      <c r="F23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t="s">
        <v>4806</v>
      </c>
      <c r="B2342" t="s">
        <v>4807</v>
      </c>
      <c r="C2342">
        <v>-30.333333</v>
      </c>
      <c r="D2342">
        <v>152.71638899999999</v>
      </c>
      <c r="E2342" t="str">
        <f>RIGHT(Airports[[#This Row],[ICAO]],3)</f>
        <v>XDG</v>
      </c>
      <c r="F23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t="s">
        <v>4808</v>
      </c>
      <c r="B2343" t="s">
        <v>4809</v>
      </c>
      <c r="C2343">
        <v>-12.352778000000001</v>
      </c>
      <c r="D2343">
        <v>130.88166699999999</v>
      </c>
      <c r="E2343" t="str">
        <f>RIGHT(Airports[[#This Row],[ICAO]],3)</f>
        <v>XDH</v>
      </c>
      <c r="F23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t="s">
        <v>4810</v>
      </c>
      <c r="B2344" t="s">
        <v>4811</v>
      </c>
      <c r="C2344">
        <v>-41.145000000000003</v>
      </c>
      <c r="D2344">
        <v>147.80861100000001</v>
      </c>
      <c r="E2344" t="str">
        <f>RIGHT(Airports[[#This Row],[ICAO]],3)</f>
        <v>XDM</v>
      </c>
      <c r="F23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t="s">
        <v>4812</v>
      </c>
      <c r="B2345" t="s">
        <v>4813</v>
      </c>
      <c r="C2345">
        <v>-32.013888999999999</v>
      </c>
      <c r="D2345">
        <v>149.38972200000001</v>
      </c>
      <c r="E2345" t="str">
        <f>RIGHT(Airports[[#This Row],[ICAO]],3)</f>
        <v>XDN</v>
      </c>
      <c r="F23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t="s">
        <v>4814</v>
      </c>
      <c r="B2346" t="s">
        <v>4815</v>
      </c>
      <c r="C2346">
        <v>-31.523056</v>
      </c>
      <c r="D2346">
        <v>152.19833299999999</v>
      </c>
      <c r="E2346" t="str">
        <f>RIGHT(Airports[[#This Row],[ICAO]],3)</f>
        <v>XDO</v>
      </c>
      <c r="F23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t="s">
        <v>4816</v>
      </c>
      <c r="B2347" t="s">
        <v>4817</v>
      </c>
      <c r="C2347">
        <v>-25.588056000000002</v>
      </c>
      <c r="D2347">
        <v>151.29305600000001</v>
      </c>
      <c r="E2347" t="str">
        <f>RIGHT(Airports[[#This Row],[ICAO]],3)</f>
        <v>XDR</v>
      </c>
      <c r="F23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t="s">
        <v>4818</v>
      </c>
      <c r="B2348" t="s">
        <v>4819</v>
      </c>
      <c r="C2348">
        <v>-23.849722</v>
      </c>
      <c r="D2348">
        <v>151.24861100000001</v>
      </c>
      <c r="E2348" t="str">
        <f>RIGHT(Airports[[#This Row],[ICAO]],3)</f>
        <v>XDT</v>
      </c>
      <c r="F23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t="s">
        <v>4820</v>
      </c>
      <c r="B2349" t="s">
        <v>4821</v>
      </c>
      <c r="C2349">
        <v>-27.496666999999999</v>
      </c>
      <c r="D2349">
        <v>153.398889</v>
      </c>
      <c r="E2349" t="str">
        <f>RIGHT(Airports[[#This Row],[ICAO]],3)</f>
        <v>XDU</v>
      </c>
      <c r="F23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t="s">
        <v>4822</v>
      </c>
      <c r="B2350" t="s">
        <v>4823</v>
      </c>
      <c r="C2350">
        <v>-43.326110999999997</v>
      </c>
      <c r="D2350">
        <v>146.99083300000001</v>
      </c>
      <c r="E2350" t="str">
        <f>RIGHT(Airports[[#This Row],[ICAO]],3)</f>
        <v>XDV</v>
      </c>
      <c r="F23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t="s">
        <v>4824</v>
      </c>
      <c r="B2351" t="s">
        <v>4825</v>
      </c>
      <c r="C2351">
        <v>-22.5825</v>
      </c>
      <c r="D2351">
        <v>148.35583299999999</v>
      </c>
      <c r="E2351" t="str">
        <f>RIGHT(Airports[[#This Row],[ICAO]],3)</f>
        <v>XDY</v>
      </c>
      <c r="F23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t="s">
        <v>4826</v>
      </c>
      <c r="B2352" t="s">
        <v>4827</v>
      </c>
      <c r="C2352">
        <v>-43.015000000000001</v>
      </c>
      <c r="D2352">
        <v>147.925556</v>
      </c>
      <c r="E2352" t="str">
        <f>RIGHT(Airports[[#This Row],[ICAO]],3)</f>
        <v>XEA</v>
      </c>
      <c r="F23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t="s">
        <v>4828</v>
      </c>
      <c r="B2353" t="s">
        <v>4829</v>
      </c>
      <c r="C2353">
        <v>-29.468333000000001</v>
      </c>
      <c r="D2353">
        <v>149.83972199999999</v>
      </c>
      <c r="E2353" t="str">
        <f>RIGHT(Airports[[#This Row],[ICAO]],3)</f>
        <v>XEE</v>
      </c>
      <c r="F23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t="s">
        <v>4830</v>
      </c>
      <c r="B2354" t="s">
        <v>4831</v>
      </c>
      <c r="C2354">
        <v>-30.453610999999999</v>
      </c>
      <c r="D2354">
        <v>152.90194399999999</v>
      </c>
      <c r="E2354" t="str">
        <f>RIGHT(Airports[[#This Row],[ICAO]],3)</f>
        <v>XEG</v>
      </c>
      <c r="F23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t="s">
        <v>4832</v>
      </c>
      <c r="B2355" t="s">
        <v>4833</v>
      </c>
      <c r="C2355">
        <v>-25.3825</v>
      </c>
      <c r="D2355">
        <v>151.12527800000001</v>
      </c>
      <c r="E2355" t="str">
        <f>RIGHT(Airports[[#This Row],[ICAO]],3)</f>
        <v>XEI</v>
      </c>
      <c r="F23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t="s">
        <v>4834</v>
      </c>
      <c r="B2356" t="s">
        <v>4835</v>
      </c>
      <c r="C2356">
        <v>-42.387500000000003</v>
      </c>
      <c r="D2356">
        <v>147.006111</v>
      </c>
      <c r="E2356" t="str">
        <f>RIGHT(Airports[[#This Row],[ICAO]],3)</f>
        <v>XEL</v>
      </c>
      <c r="F23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t="s">
        <v>4836</v>
      </c>
      <c r="B2357" t="s">
        <v>4837</v>
      </c>
      <c r="C2357">
        <v>-37.056111000000001</v>
      </c>
      <c r="D2357">
        <v>149.91055600000001</v>
      </c>
      <c r="E2357" t="str">
        <f>RIGHT(Airports[[#This Row],[ICAO]],3)</f>
        <v>XEM</v>
      </c>
      <c r="F23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t="s">
        <v>4838</v>
      </c>
      <c r="B2358" t="s">
        <v>4839</v>
      </c>
      <c r="C2358">
        <v>-12.623056</v>
      </c>
      <c r="D2358">
        <v>141.880833</v>
      </c>
      <c r="E2358" t="str">
        <f>RIGHT(Airports[[#This Row],[ICAO]],3)</f>
        <v>XEP</v>
      </c>
      <c r="F23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t="s">
        <v>4840</v>
      </c>
      <c r="B2359" t="s">
        <v>4841</v>
      </c>
      <c r="C2359">
        <v>-31.833333</v>
      </c>
      <c r="D2359">
        <v>151.31638899999999</v>
      </c>
      <c r="E2359" t="str">
        <f>RIGHT(Airports[[#This Row],[ICAO]],3)</f>
        <v>XER</v>
      </c>
      <c r="F23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t="s">
        <v>4842</v>
      </c>
      <c r="B2360" t="s">
        <v>4843</v>
      </c>
      <c r="C2360">
        <v>-27.233332999999998</v>
      </c>
      <c r="D2360">
        <v>152.41666699999999</v>
      </c>
      <c r="E2360" t="str">
        <f>RIGHT(Airports[[#This Row],[ICAO]],3)</f>
        <v>XES</v>
      </c>
      <c r="F23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t="s">
        <v>4844</v>
      </c>
      <c r="B2361" t="s">
        <v>4845</v>
      </c>
      <c r="C2361">
        <v>-31.523056</v>
      </c>
      <c r="D2361">
        <v>152.12638899999999</v>
      </c>
      <c r="E2361" t="str">
        <f>RIGHT(Airports[[#This Row],[ICAO]],3)</f>
        <v>XET</v>
      </c>
      <c r="F23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t="s">
        <v>4846</v>
      </c>
      <c r="B2362" t="s">
        <v>4847</v>
      </c>
      <c r="C2362">
        <v>-32.070556000000003</v>
      </c>
      <c r="D2362">
        <v>115.846667</v>
      </c>
      <c r="E2362" t="str">
        <f>RIGHT(Airports[[#This Row],[ICAO]],3)</f>
        <v>XFH</v>
      </c>
      <c r="F23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t="s">
        <v>4848</v>
      </c>
      <c r="B2363" t="s">
        <v>4849</v>
      </c>
      <c r="C2363">
        <v>-35.020277999999998</v>
      </c>
      <c r="D2363">
        <v>138.56805600000001</v>
      </c>
      <c r="E2363" t="str">
        <f>RIGHT(Airports[[#This Row],[ICAO]],3)</f>
        <v>XFM</v>
      </c>
      <c r="F23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t="s">
        <v>4850</v>
      </c>
      <c r="B2364" t="s">
        <v>4851</v>
      </c>
      <c r="C2364">
        <v>-33.395000000000003</v>
      </c>
      <c r="D2364">
        <v>148.01333299999999</v>
      </c>
      <c r="E2364" t="str">
        <f>RIGHT(Airports[[#This Row],[ICAO]],3)</f>
        <v>XFO</v>
      </c>
      <c r="F23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t="s">
        <v>4852</v>
      </c>
      <c r="B2365" t="s">
        <v>4853</v>
      </c>
      <c r="C2365">
        <v>-42.146667000000001</v>
      </c>
      <c r="D2365">
        <v>148.27638899999999</v>
      </c>
      <c r="E2365" t="str">
        <f>RIGHT(Airports[[#This Row],[ICAO]],3)</f>
        <v>XFP</v>
      </c>
      <c r="F23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t="s">
        <v>4854</v>
      </c>
      <c r="B2366" t="s">
        <v>4855</v>
      </c>
      <c r="C2366">
        <v>-38.153055999999999</v>
      </c>
      <c r="D2366">
        <v>145.12805599999999</v>
      </c>
      <c r="E2366" t="str">
        <f>RIGHT(Airports[[#This Row],[ICAO]],3)</f>
        <v>XFR</v>
      </c>
      <c r="F23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t="s">
        <v>4856</v>
      </c>
      <c r="B2367" t="s">
        <v>4857</v>
      </c>
      <c r="C2367">
        <v>-32.920278000000003</v>
      </c>
      <c r="D2367">
        <v>151.72972200000001</v>
      </c>
      <c r="E2367" t="str">
        <f>RIGHT(Airports[[#This Row],[ICAO]],3)</f>
        <v>XFV</v>
      </c>
      <c r="F23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t="s">
        <v>4858</v>
      </c>
      <c r="B2368" t="s">
        <v>4859</v>
      </c>
      <c r="C2368">
        <v>-27.563333</v>
      </c>
      <c r="D2368">
        <v>152.278333</v>
      </c>
      <c r="E2368" t="str">
        <f>RIGHT(Airports[[#This Row],[ICAO]],3)</f>
        <v>XGA</v>
      </c>
      <c r="F23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t="s">
        <v>4860</v>
      </c>
      <c r="B2369" t="s">
        <v>4861</v>
      </c>
      <c r="C2369">
        <v>-32.016388999999997</v>
      </c>
      <c r="D2369">
        <v>151.96638899999999</v>
      </c>
      <c r="E2369" t="str">
        <f>RIGHT(Airports[[#This Row],[ICAO]],3)</f>
        <v>XGC</v>
      </c>
      <c r="F23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t="s">
        <v>4862</v>
      </c>
      <c r="B2370" t="s">
        <v>4863</v>
      </c>
      <c r="C2370">
        <v>-29.733332999999998</v>
      </c>
      <c r="D2370">
        <v>151.75</v>
      </c>
      <c r="E2370" t="str">
        <f>RIGHT(Airports[[#This Row],[ICAO]],3)</f>
        <v>XGE</v>
      </c>
      <c r="F23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t="s">
        <v>4864</v>
      </c>
      <c r="B2371" t="s">
        <v>4865</v>
      </c>
      <c r="C2371">
        <v>-30.049721999999999</v>
      </c>
      <c r="D2371">
        <v>152.98333299999999</v>
      </c>
      <c r="E2371" t="str">
        <f>RIGHT(Airports[[#This Row],[ICAO]],3)</f>
        <v>XGG</v>
      </c>
      <c r="F23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t="s">
        <v>4866</v>
      </c>
      <c r="B2372" t="s">
        <v>4867</v>
      </c>
      <c r="C2372">
        <v>-34.748888999999998</v>
      </c>
      <c r="D2372">
        <v>149.711389</v>
      </c>
      <c r="E2372" t="str">
        <f>RIGHT(Airports[[#This Row],[ICAO]],3)</f>
        <v>XGH</v>
      </c>
      <c r="F23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t="s">
        <v>4868</v>
      </c>
      <c r="B2373" t="s">
        <v>4869</v>
      </c>
      <c r="C2373">
        <v>-25.631944000000001</v>
      </c>
      <c r="D2373">
        <v>151.60472200000001</v>
      </c>
      <c r="E2373" t="str">
        <f>RIGHT(Airports[[#This Row],[ICAO]],3)</f>
        <v>XGI</v>
      </c>
      <c r="F23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t="s">
        <v>4870</v>
      </c>
      <c r="B2374" t="s">
        <v>4871</v>
      </c>
      <c r="C2374">
        <v>-33.906111000000003</v>
      </c>
      <c r="D2374">
        <v>148.16166699999999</v>
      </c>
      <c r="E2374" t="str">
        <f>RIGHT(Airports[[#This Row],[ICAO]],3)</f>
        <v>XGL</v>
      </c>
      <c r="F23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t="s">
        <v>4872</v>
      </c>
      <c r="B2375" t="s">
        <v>4873</v>
      </c>
      <c r="C2375">
        <v>-18.651667</v>
      </c>
      <c r="D2375">
        <v>146.16388900000001</v>
      </c>
      <c r="E2375" t="str">
        <f>RIGHT(Airports[[#This Row],[ICAO]],3)</f>
        <v>XGM</v>
      </c>
      <c r="F23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t="s">
        <v>4874</v>
      </c>
      <c r="B2376" t="s">
        <v>4875</v>
      </c>
      <c r="C2376">
        <v>-31.299721999999999</v>
      </c>
      <c r="D2376">
        <v>150.899722</v>
      </c>
      <c r="E2376" t="str">
        <f>RIGHT(Airports[[#This Row],[ICAO]],3)</f>
        <v>XGN</v>
      </c>
      <c r="F23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t="s">
        <v>4876</v>
      </c>
      <c r="B2377" t="s">
        <v>4877</v>
      </c>
      <c r="C2377">
        <v>-28.548055999999999</v>
      </c>
      <c r="D2377">
        <v>150.301389</v>
      </c>
      <c r="E2377" t="str">
        <f>RIGHT(Airports[[#This Row],[ICAO]],3)</f>
        <v>XGO</v>
      </c>
      <c r="F23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t="s">
        <v>4878</v>
      </c>
      <c r="B2378" t="s">
        <v>4879</v>
      </c>
      <c r="C2378">
        <v>-29.673333</v>
      </c>
      <c r="D2378">
        <v>152.94027800000001</v>
      </c>
      <c r="E2378" t="str">
        <f>RIGHT(Airports[[#This Row],[ICAO]],3)</f>
        <v>XGP</v>
      </c>
      <c r="F23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t="s">
        <v>4880</v>
      </c>
      <c r="B2379" t="s">
        <v>4881</v>
      </c>
      <c r="C2379">
        <v>-31.703900000000001</v>
      </c>
      <c r="D2379">
        <v>148.66521800000001</v>
      </c>
      <c r="E2379" t="str">
        <f>RIGHT(Airports[[#This Row],[ICAO]],3)</f>
        <v>XGR</v>
      </c>
      <c r="F23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t="s">
        <v>4882</v>
      </c>
      <c r="B2380" t="s">
        <v>4883</v>
      </c>
      <c r="C2380">
        <v>-33.419722</v>
      </c>
      <c r="D2380">
        <v>151.339167</v>
      </c>
      <c r="E2380" t="str">
        <f>RIGHT(Airports[[#This Row],[ICAO]],3)</f>
        <v>XGS</v>
      </c>
      <c r="F23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t="s">
        <v>4884</v>
      </c>
      <c r="B2381" t="s">
        <v>4885</v>
      </c>
      <c r="C2381">
        <v>-32.357778000000003</v>
      </c>
      <c r="D2381">
        <v>149.53888900000001</v>
      </c>
      <c r="E2381" t="str">
        <f>RIGHT(Airports[[#This Row],[ICAO]],3)</f>
        <v>XGT</v>
      </c>
      <c r="F23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t="s">
        <v>4886</v>
      </c>
      <c r="B2382" t="s">
        <v>4887</v>
      </c>
      <c r="C2382">
        <v>-30.982778</v>
      </c>
      <c r="D2382">
        <v>150.25222199999999</v>
      </c>
      <c r="E2382" t="str">
        <f>RIGHT(Airports[[#This Row],[ICAO]],3)</f>
        <v>XGU</v>
      </c>
      <c r="F23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t="s">
        <v>4888</v>
      </c>
      <c r="B2383" t="s">
        <v>4889</v>
      </c>
      <c r="C2383">
        <v>-35.066389000000001</v>
      </c>
      <c r="D2383">
        <v>148.1</v>
      </c>
      <c r="E2383" t="str">
        <f>RIGHT(Airports[[#This Row],[ICAO]],3)</f>
        <v>XGW</v>
      </c>
      <c r="F23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t="s">
        <v>4890</v>
      </c>
      <c r="B2384" t="s">
        <v>4891</v>
      </c>
      <c r="C2384">
        <v>-26.188611000000002</v>
      </c>
      <c r="D2384">
        <v>152.65277800000001</v>
      </c>
      <c r="E2384" t="str">
        <f>RIGHT(Airports[[#This Row],[ICAO]],3)</f>
        <v>XGY</v>
      </c>
      <c r="F23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t="s">
        <v>4892</v>
      </c>
      <c r="B2385" t="s">
        <v>4893</v>
      </c>
      <c r="C2385">
        <v>-35.716667000000001</v>
      </c>
      <c r="D2385">
        <v>147.31638899999999</v>
      </c>
      <c r="E2385" t="str">
        <f>RIGHT(Airports[[#This Row],[ICAO]],3)</f>
        <v>XHB</v>
      </c>
      <c r="F23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t="s">
        <v>4894</v>
      </c>
      <c r="B2386" t="s">
        <v>4895</v>
      </c>
      <c r="C2386">
        <v>-36.267991000000002</v>
      </c>
      <c r="D2386">
        <v>143.35287099999999</v>
      </c>
      <c r="E2386" t="str">
        <f>RIGHT(Airports[[#This Row],[ICAO]],3)</f>
        <v>XHC</v>
      </c>
      <c r="F23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t="s">
        <v>4896</v>
      </c>
      <c r="B2387" t="s">
        <v>4897</v>
      </c>
      <c r="C2387">
        <v>-25.3</v>
      </c>
      <c r="D2387">
        <v>152.82138900000001</v>
      </c>
      <c r="E2387" t="str">
        <f>RIGHT(Airports[[#This Row],[ICAO]],3)</f>
        <v>XHE</v>
      </c>
      <c r="F23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t="s">
        <v>4898</v>
      </c>
      <c r="B2388" t="s">
        <v>4899</v>
      </c>
      <c r="C2388">
        <v>-27.959444000000001</v>
      </c>
      <c r="D2388">
        <v>153.381944</v>
      </c>
      <c r="E2388" t="str">
        <f>RIGHT(Airports[[#This Row],[ICAO]],3)</f>
        <v>XHG</v>
      </c>
      <c r="F23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t="s">
        <v>4900</v>
      </c>
      <c r="B2389" t="s">
        <v>4901</v>
      </c>
      <c r="C2389">
        <v>-42.879722000000001</v>
      </c>
      <c r="D2389">
        <v>147.330556</v>
      </c>
      <c r="E2389" t="str">
        <f>RIGHT(Airports[[#This Row],[ICAO]],3)</f>
        <v>XHH</v>
      </c>
      <c r="F23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t="s">
        <v>4902</v>
      </c>
      <c r="B2390" t="s">
        <v>4903</v>
      </c>
      <c r="C2390">
        <v>-33.703333000000001</v>
      </c>
      <c r="D2390">
        <v>151.11277799999999</v>
      </c>
      <c r="E2390" t="str">
        <f>RIGHT(Airports[[#This Row],[ICAO]],3)</f>
        <v>XHK</v>
      </c>
      <c r="F23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t="s">
        <v>4904</v>
      </c>
      <c r="B2391" t="s">
        <v>4905</v>
      </c>
      <c r="C2391">
        <v>-26.747222000000001</v>
      </c>
      <c r="D2391">
        <v>153.11361099999999</v>
      </c>
      <c r="E2391" t="str">
        <f>RIGHT(Airports[[#This Row],[ICAO]],3)</f>
        <v>XHS</v>
      </c>
      <c r="F23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t="s">
        <v>4906</v>
      </c>
      <c r="B2392" t="s">
        <v>4907</v>
      </c>
      <c r="C2392">
        <v>-20.075555999999999</v>
      </c>
      <c r="D2392">
        <v>146.26416699999999</v>
      </c>
      <c r="E2392" t="str">
        <f>RIGHT(Airports[[#This Row],[ICAO]],3)</f>
        <v>XHT</v>
      </c>
      <c r="F23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t="s">
        <v>4908</v>
      </c>
      <c r="B2393" t="s">
        <v>4909</v>
      </c>
      <c r="C2393">
        <v>-20.842777999999999</v>
      </c>
      <c r="D2393">
        <v>144.18777800000001</v>
      </c>
      <c r="E2393" t="str">
        <f>RIGHT(Airports[[#This Row],[ICAO]],3)</f>
        <v>XHU</v>
      </c>
      <c r="F23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t="s">
        <v>4910</v>
      </c>
      <c r="B2394" t="s">
        <v>4911</v>
      </c>
      <c r="C2394">
        <v>-34.5</v>
      </c>
      <c r="D2394">
        <v>144.85249999999999</v>
      </c>
      <c r="E2394" t="str">
        <f>RIGHT(Airports[[#This Row],[ICAO]],3)</f>
        <v>XHY</v>
      </c>
      <c r="F23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t="s">
        <v>4912</v>
      </c>
      <c r="B2395" t="s">
        <v>4913</v>
      </c>
      <c r="C2395">
        <v>-29.864443999999999</v>
      </c>
      <c r="D2395">
        <v>150.578611</v>
      </c>
      <c r="E2395" t="str">
        <f>RIGHT(Airports[[#This Row],[ICAO]],3)</f>
        <v>XIG</v>
      </c>
      <c r="F23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t="s">
        <v>4914</v>
      </c>
      <c r="B2396" t="s">
        <v>4915</v>
      </c>
      <c r="C2396">
        <v>-20.730723000000001</v>
      </c>
      <c r="D2396">
        <v>139.494426</v>
      </c>
      <c r="E2396" t="str">
        <f>RIGHT(Airports[[#This Row],[ICAO]],3)</f>
        <v>XIH</v>
      </c>
      <c r="F23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t="s">
        <v>4916</v>
      </c>
      <c r="B2397" t="s">
        <v>4917</v>
      </c>
      <c r="C2397">
        <v>-35.083055999999999</v>
      </c>
      <c r="D2397">
        <v>147.11666700000001</v>
      </c>
      <c r="E2397" t="str">
        <f>RIGHT(Airports[[#This Row],[ICAO]],3)</f>
        <v>XIL</v>
      </c>
      <c r="F23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t="s">
        <v>4918</v>
      </c>
      <c r="B2398" t="s">
        <v>4919</v>
      </c>
      <c r="C2398">
        <v>-27.616667</v>
      </c>
      <c r="D2398">
        <v>152.766389</v>
      </c>
      <c r="E2398" t="str">
        <f>RIGHT(Airports[[#This Row],[ICAO]],3)</f>
        <v>XIP</v>
      </c>
      <c r="F23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t="s">
        <v>4920</v>
      </c>
      <c r="B2399" t="s">
        <v>4921</v>
      </c>
      <c r="C2399">
        <v>-17.518332999999998</v>
      </c>
      <c r="D2399">
        <v>146.03</v>
      </c>
      <c r="E2399" t="str">
        <f>RIGHT(Airports[[#This Row],[ICAO]],3)</f>
        <v>XIS</v>
      </c>
      <c r="F23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t="s">
        <v>4922</v>
      </c>
      <c r="B2400" t="s">
        <v>4923</v>
      </c>
      <c r="C2400">
        <v>-29.771637999999999</v>
      </c>
      <c r="D2400">
        <v>151.131269</v>
      </c>
      <c r="E2400" t="str">
        <f>RIGHT(Airports[[#This Row],[ICAO]],3)</f>
        <v>XIV</v>
      </c>
      <c r="F24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t="s">
        <v>4924</v>
      </c>
      <c r="B2401" t="s">
        <v>4925</v>
      </c>
      <c r="C2401">
        <v>-28.418056</v>
      </c>
      <c r="D2401">
        <v>151.06111100000001</v>
      </c>
      <c r="E2401" t="str">
        <f>RIGHT(Airports[[#This Row],[ICAO]],3)</f>
        <v>XIW</v>
      </c>
      <c r="F24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t="s">
        <v>4926</v>
      </c>
      <c r="B2402" t="s">
        <v>4927</v>
      </c>
      <c r="C2402">
        <v>-33.762777999999997</v>
      </c>
      <c r="D2402">
        <v>150.68027799999999</v>
      </c>
      <c r="E2402" t="str">
        <f>RIGHT(Airports[[#This Row],[ICAO]],3)</f>
        <v>XJA</v>
      </c>
      <c r="F24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t="s">
        <v>4928</v>
      </c>
      <c r="B2403" t="s">
        <v>4929</v>
      </c>
      <c r="C2403">
        <v>-36.418056</v>
      </c>
      <c r="D2403">
        <v>148.61527799999999</v>
      </c>
      <c r="E2403" t="str">
        <f>RIGHT(Airports[[#This Row],[ICAO]],3)</f>
        <v>XJD</v>
      </c>
      <c r="F24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t="s">
        <v>4930</v>
      </c>
      <c r="B2404" t="s">
        <v>4931</v>
      </c>
      <c r="C2404">
        <v>-32.923889000000003</v>
      </c>
      <c r="D2404">
        <v>151.693333</v>
      </c>
      <c r="E2404" t="str">
        <f>RIGHT(Airports[[#This Row],[ICAO]],3)</f>
        <v>XJH</v>
      </c>
      <c r="F24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t="s">
        <v>4932</v>
      </c>
      <c r="B2405" t="s">
        <v>4933</v>
      </c>
      <c r="C2405">
        <v>-26.781389000000001</v>
      </c>
      <c r="D2405">
        <v>151.10472200000001</v>
      </c>
      <c r="E2405" t="str">
        <f>RIGHT(Airports[[#This Row],[ICAO]],3)</f>
        <v>XJN</v>
      </c>
      <c r="F24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t="s">
        <v>4934</v>
      </c>
      <c r="B2406" t="s">
        <v>4935</v>
      </c>
      <c r="C2406">
        <v>-34.866388999999998</v>
      </c>
      <c r="D2406">
        <v>147.583056</v>
      </c>
      <c r="E2406" t="str">
        <f>RIGHT(Airports[[#This Row],[ICAO]],3)</f>
        <v>XJU</v>
      </c>
      <c r="F24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t="s">
        <v>4936</v>
      </c>
      <c r="B2407" t="s">
        <v>4937</v>
      </c>
      <c r="C2407">
        <v>-28.35</v>
      </c>
      <c r="D2407">
        <v>152.30000000000001</v>
      </c>
      <c r="E2407" t="str">
        <f>RIGHT(Airports[[#This Row],[ICAO]],3)</f>
        <v>XKA</v>
      </c>
      <c r="F24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t="s">
        <v>4938</v>
      </c>
      <c r="B2408" t="s">
        <v>4939</v>
      </c>
      <c r="C2408">
        <v>-35.644722000000002</v>
      </c>
      <c r="D2408">
        <v>137.634444</v>
      </c>
      <c r="E2408" t="str">
        <f>RIGHT(Airports[[#This Row],[ICAO]],3)</f>
        <v>XKC</v>
      </c>
      <c r="F24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t="s">
        <v>4940</v>
      </c>
      <c r="B2409" t="s">
        <v>4941</v>
      </c>
      <c r="C2409">
        <v>-32.86</v>
      </c>
      <c r="D2409">
        <v>149.931667</v>
      </c>
      <c r="E2409" t="str">
        <f>RIGHT(Airports[[#This Row],[ICAO]],3)</f>
        <v>XKD</v>
      </c>
      <c r="F24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t="s">
        <v>4942</v>
      </c>
      <c r="B2410" t="s">
        <v>4943</v>
      </c>
      <c r="C2410">
        <v>-34.331111</v>
      </c>
      <c r="D2410">
        <v>138.921944</v>
      </c>
      <c r="E2410" t="str">
        <f>RIGHT(Airports[[#This Row],[ICAO]],3)</f>
        <v>XKH</v>
      </c>
      <c r="F24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t="s">
        <v>4944</v>
      </c>
      <c r="B2411" t="s">
        <v>4945</v>
      </c>
      <c r="C2411">
        <v>-26.916667</v>
      </c>
      <c r="D2411">
        <v>152.566667</v>
      </c>
      <c r="E2411" t="str">
        <f>RIGHT(Airports[[#This Row],[ICAO]],3)</f>
        <v>XKI</v>
      </c>
      <c r="F24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t="s">
        <v>4946</v>
      </c>
      <c r="B2412" t="s">
        <v>4947</v>
      </c>
      <c r="C2412">
        <v>-26.083333</v>
      </c>
      <c r="D2412">
        <v>152.23333299999999</v>
      </c>
      <c r="E2412" t="str">
        <f>RIGHT(Airports[[#This Row],[ICAO]],3)</f>
        <v>XKL</v>
      </c>
      <c r="F24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t="s">
        <v>4948</v>
      </c>
      <c r="B2413" t="s">
        <v>4949</v>
      </c>
      <c r="C2413">
        <v>-26.532499999999999</v>
      </c>
      <c r="D2413">
        <v>151.83972199999999</v>
      </c>
      <c r="E2413" t="str">
        <f>RIGHT(Airports[[#This Row],[ICAO]],3)</f>
        <v>XKN</v>
      </c>
      <c r="F24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t="s">
        <v>4950</v>
      </c>
      <c r="B2414" t="s">
        <v>4951</v>
      </c>
      <c r="C2414">
        <v>-28.628333000000001</v>
      </c>
      <c r="D2414">
        <v>153.001667</v>
      </c>
      <c r="E2414" t="str">
        <f>RIGHT(Airports[[#This Row],[ICAO]],3)</f>
        <v>XKO</v>
      </c>
      <c r="F24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t="s">
        <v>4952</v>
      </c>
      <c r="B2415" t="s">
        <v>4953</v>
      </c>
      <c r="C2415">
        <v>-27.414166999999999</v>
      </c>
      <c r="D2415">
        <v>153.03694400000001</v>
      </c>
      <c r="E2415" t="str">
        <f>RIGHT(Airports[[#This Row],[ICAO]],3)</f>
        <v>XKP</v>
      </c>
      <c r="F24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t="s">
        <v>4954</v>
      </c>
      <c r="B2416" t="s">
        <v>4955</v>
      </c>
      <c r="C2416">
        <v>-20.731389</v>
      </c>
      <c r="D2416">
        <v>116.84055600000001</v>
      </c>
      <c r="E2416" t="str">
        <f>RIGHT(Airports[[#This Row],[ICAO]],3)</f>
        <v>XKR</v>
      </c>
      <c r="F24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t="s">
        <v>4956</v>
      </c>
      <c r="B2417" t="s">
        <v>4957</v>
      </c>
      <c r="C2417">
        <v>-37.255454999999998</v>
      </c>
      <c r="D2417">
        <v>144.47061299999999</v>
      </c>
      <c r="E2417" t="str">
        <f>RIGHT(Airports[[#This Row],[ICAO]],3)</f>
        <v>XKT</v>
      </c>
      <c r="F24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t="s">
        <v>4958</v>
      </c>
      <c r="B2418" t="s">
        <v>4959</v>
      </c>
      <c r="C2418">
        <v>-23.571389</v>
      </c>
      <c r="D2418">
        <v>148.87805599999999</v>
      </c>
      <c r="E2418" t="str">
        <f>RIGHT(Airports[[#This Row],[ICAO]],3)</f>
        <v>XKW</v>
      </c>
      <c r="F24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t="s">
        <v>4960</v>
      </c>
      <c r="B2419" t="s">
        <v>4961</v>
      </c>
      <c r="C2419">
        <v>-27.633056</v>
      </c>
      <c r="D2419">
        <v>152.38305600000001</v>
      </c>
      <c r="E2419" t="str">
        <f>RIGHT(Airports[[#This Row],[ICAO]],3)</f>
        <v>XLA</v>
      </c>
      <c r="F24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t="s">
        <v>4962</v>
      </c>
      <c r="B2420" t="s">
        <v>4963</v>
      </c>
      <c r="C2420">
        <v>-24.184722000000001</v>
      </c>
      <c r="D2420">
        <v>149.80944400000001</v>
      </c>
      <c r="E2420" t="str">
        <f>RIGHT(Airports[[#This Row],[ICAO]],3)</f>
        <v>XLB</v>
      </c>
      <c r="F24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t="s">
        <v>4964</v>
      </c>
      <c r="B2421" t="s">
        <v>4965</v>
      </c>
      <c r="C2421">
        <v>-34.559722000000001</v>
      </c>
      <c r="D2421">
        <v>146.40472199999999</v>
      </c>
      <c r="E2421" t="str">
        <f>RIGHT(Airports[[#This Row],[ICAO]],3)</f>
        <v>XLE</v>
      </c>
      <c r="F24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t="s">
        <v>4966</v>
      </c>
      <c r="B2422" t="s">
        <v>4967</v>
      </c>
      <c r="C2422">
        <v>-41.228611000000001</v>
      </c>
      <c r="D2422">
        <v>146.42166700000001</v>
      </c>
      <c r="E2422" t="str">
        <f>RIGHT(Airports[[#This Row],[ICAO]],3)</f>
        <v>XLF</v>
      </c>
      <c r="F24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t="s">
        <v>4968</v>
      </c>
      <c r="B2423" t="s">
        <v>4969</v>
      </c>
      <c r="C2423">
        <v>-33.499443999999997</v>
      </c>
      <c r="D2423">
        <v>150.12888899999999</v>
      </c>
      <c r="E2423" t="str">
        <f>RIGHT(Airports[[#This Row],[ICAO]],3)</f>
        <v>XLG</v>
      </c>
      <c r="F24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t="s">
        <v>4970</v>
      </c>
      <c r="B2424" t="s">
        <v>4971</v>
      </c>
      <c r="C2424">
        <v>-38.49</v>
      </c>
      <c r="D2424">
        <v>145.94833299999999</v>
      </c>
      <c r="E2424" t="str">
        <f>RIGHT(Airports[[#This Row],[ICAO]],3)</f>
        <v>XLH</v>
      </c>
      <c r="F24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t="s">
        <v>4972</v>
      </c>
      <c r="B2425" t="s">
        <v>4973</v>
      </c>
      <c r="C2425">
        <v>-33.920278000000003</v>
      </c>
      <c r="D2425">
        <v>150.93083300000001</v>
      </c>
      <c r="E2425" t="str">
        <f>RIGHT(Airports[[#This Row],[ICAO]],3)</f>
        <v>XLL</v>
      </c>
      <c r="F24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t="s">
        <v>4974</v>
      </c>
      <c r="B2426" t="s">
        <v>4975</v>
      </c>
      <c r="C2426">
        <v>-34.816389000000001</v>
      </c>
      <c r="D2426">
        <v>147.19972200000001</v>
      </c>
      <c r="E2426" t="str">
        <f>RIGHT(Airports[[#This Row],[ICAO]],3)</f>
        <v>XLN</v>
      </c>
      <c r="F24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t="s">
        <v>4976</v>
      </c>
      <c r="B2427" t="s">
        <v>4977</v>
      </c>
      <c r="C2427">
        <v>-34.747777999999997</v>
      </c>
      <c r="D2427">
        <v>138.66555600000001</v>
      </c>
      <c r="E2427" t="str">
        <f>RIGHT(Airports[[#This Row],[ICAO]],3)</f>
        <v>XLQ</v>
      </c>
      <c r="F24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t="s">
        <v>4978</v>
      </c>
      <c r="B2428" t="s">
        <v>4979</v>
      </c>
      <c r="C2428">
        <v>-27.879443999999999</v>
      </c>
      <c r="D2428">
        <v>151.26305600000001</v>
      </c>
      <c r="E2428" t="str">
        <f>RIGHT(Airports[[#This Row],[ICAO]],3)</f>
        <v>XLR</v>
      </c>
      <c r="F24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t="s">
        <v>4980</v>
      </c>
      <c r="B2429" t="s">
        <v>4981</v>
      </c>
      <c r="C2429">
        <v>-38.219515000000001</v>
      </c>
      <c r="D2429">
        <v>146.47242199999999</v>
      </c>
      <c r="E2429" t="str">
        <f>RIGHT(Airports[[#This Row],[ICAO]],3)</f>
        <v>XLS</v>
      </c>
      <c r="F24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t="s">
        <v>4982</v>
      </c>
      <c r="B2430" t="s">
        <v>4983</v>
      </c>
      <c r="C2430">
        <v>-27.079443999999999</v>
      </c>
      <c r="D2430">
        <v>152.96305599999999</v>
      </c>
      <c r="E2430" t="str">
        <f>RIGHT(Airports[[#This Row],[ICAO]],3)</f>
        <v>XLT</v>
      </c>
      <c r="F24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t="s">
        <v>4984</v>
      </c>
      <c r="B2431" t="s">
        <v>4985</v>
      </c>
      <c r="C2431">
        <v>-41.447499999999998</v>
      </c>
      <c r="D2431">
        <v>147.141944</v>
      </c>
      <c r="E2431" t="str">
        <f>RIGHT(Airports[[#This Row],[ICAO]],3)</f>
        <v>XLU</v>
      </c>
      <c r="F24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t="s">
        <v>4986</v>
      </c>
      <c r="B2432" t="s">
        <v>4987</v>
      </c>
      <c r="C2432">
        <v>-34.455556000000001</v>
      </c>
      <c r="D2432">
        <v>140.56472199999999</v>
      </c>
      <c r="E2432" t="str">
        <f>RIGHT(Airports[[#This Row],[ICAO]],3)</f>
        <v>XLX</v>
      </c>
      <c r="F24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t="s">
        <v>4988</v>
      </c>
      <c r="B2433" t="s">
        <v>4989</v>
      </c>
      <c r="C2433">
        <v>-29.453610999999999</v>
      </c>
      <c r="D2433">
        <v>153.20138900000001</v>
      </c>
      <c r="E2433" t="str">
        <f>RIGHT(Airports[[#This Row],[ICAO]],3)</f>
        <v>XMA</v>
      </c>
      <c r="F24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t="s">
        <v>4990</v>
      </c>
      <c r="B2434" t="s">
        <v>4991</v>
      </c>
      <c r="C2434">
        <v>-16.986667000000001</v>
      </c>
      <c r="D2434">
        <v>145.42583300000001</v>
      </c>
      <c r="E2434" t="str">
        <f>RIGHT(Airports[[#This Row],[ICAO]],3)</f>
        <v>XMB</v>
      </c>
      <c r="F24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t="s">
        <v>4992</v>
      </c>
      <c r="B2435" t="s">
        <v>4993</v>
      </c>
      <c r="C2435">
        <v>-27.616667</v>
      </c>
      <c r="D2435">
        <v>153.36666700000001</v>
      </c>
      <c r="E2435" t="str">
        <f>RIGHT(Airports[[#This Row],[ICAO]],3)</f>
        <v>XMC</v>
      </c>
      <c r="F24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t="s">
        <v>4994</v>
      </c>
      <c r="B2436" t="s">
        <v>4995</v>
      </c>
      <c r="C2436">
        <v>-33.766388999999997</v>
      </c>
      <c r="D2436">
        <v>150.833056</v>
      </c>
      <c r="E2436" t="str">
        <f>RIGHT(Airports[[#This Row],[ICAO]],3)</f>
        <v>XMD</v>
      </c>
      <c r="F24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t="s">
        <v>4996</v>
      </c>
      <c r="B2437" t="s">
        <v>4997</v>
      </c>
      <c r="C2437">
        <v>-26.238610999999999</v>
      </c>
      <c r="D2437">
        <v>151.951111</v>
      </c>
      <c r="E2437" t="str">
        <f>RIGHT(Airports[[#This Row],[ICAO]],3)</f>
        <v>XMG</v>
      </c>
      <c r="F24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t="s">
        <v>4998</v>
      </c>
      <c r="B2438" t="s">
        <v>4999</v>
      </c>
      <c r="C2438">
        <v>-32.603332999999999</v>
      </c>
      <c r="D2438">
        <v>149.587222</v>
      </c>
      <c r="E2438" t="str">
        <f>RIGHT(Airports[[#This Row],[ICAO]],3)</f>
        <v>XMH</v>
      </c>
      <c r="F24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t="s">
        <v>5000</v>
      </c>
      <c r="B2439" t="s">
        <v>5001</v>
      </c>
      <c r="C2439">
        <v>-35.693333000000003</v>
      </c>
      <c r="D2439">
        <v>139.334722</v>
      </c>
      <c r="E2439" t="str">
        <f>RIGHT(Airports[[#This Row],[ICAO]],3)</f>
        <v>XMI</v>
      </c>
      <c r="F24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t="s">
        <v>5002</v>
      </c>
      <c r="B2440" t="s">
        <v>5003</v>
      </c>
      <c r="C2440">
        <v>-35.128056000000001</v>
      </c>
      <c r="D2440">
        <v>139.28111100000001</v>
      </c>
      <c r="E2440" t="str">
        <f>RIGHT(Airports[[#This Row],[ICAO]],3)</f>
        <v>XMJ</v>
      </c>
      <c r="F24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t="s">
        <v>5004</v>
      </c>
      <c r="B2441" t="s">
        <v>5005</v>
      </c>
      <c r="C2441">
        <v>-30.716667000000001</v>
      </c>
      <c r="D2441">
        <v>152.91666699999999</v>
      </c>
      <c r="E2441" t="str">
        <f>RIGHT(Airports[[#This Row],[ICAO]],3)</f>
        <v>XMK</v>
      </c>
      <c r="F24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t="s">
        <v>5006</v>
      </c>
      <c r="B2442" t="s">
        <v>5007</v>
      </c>
      <c r="C2442">
        <v>-34.916666999999997</v>
      </c>
      <c r="D2442">
        <v>139.308333</v>
      </c>
      <c r="E2442" t="str">
        <f>RIGHT(Airports[[#This Row],[ICAO]],3)</f>
        <v>XMM</v>
      </c>
      <c r="F24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t="s">
        <v>5008</v>
      </c>
      <c r="B2443" t="s">
        <v>5009</v>
      </c>
      <c r="C2443">
        <v>-16.463332999999999</v>
      </c>
      <c r="D2443">
        <v>145.368056</v>
      </c>
      <c r="E2443" t="str">
        <f>RIGHT(Airports[[#This Row],[ICAO]],3)</f>
        <v>XMO</v>
      </c>
      <c r="F24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t="s">
        <v>5010</v>
      </c>
      <c r="B2444" t="s">
        <v>5011</v>
      </c>
      <c r="C2444">
        <v>-25.181667000000001</v>
      </c>
      <c r="D2444">
        <v>151.64583300000001</v>
      </c>
      <c r="E2444" t="str">
        <f>RIGHT(Airports[[#This Row],[ICAO]],3)</f>
        <v>XMP</v>
      </c>
      <c r="F24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t="s">
        <v>5012</v>
      </c>
      <c r="B2445" t="s">
        <v>5013</v>
      </c>
      <c r="C2445">
        <v>-34.371110999999999</v>
      </c>
      <c r="D2445">
        <v>137.67611099999999</v>
      </c>
      <c r="E2445" t="str">
        <f>RIGHT(Airports[[#This Row],[ICAO]],3)</f>
        <v>XMQ</v>
      </c>
      <c r="F24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t="s">
        <v>5014</v>
      </c>
      <c r="B2446" t="s">
        <v>5015</v>
      </c>
      <c r="C2446">
        <v>-24.576111000000001</v>
      </c>
      <c r="D2446">
        <v>149.97583299999999</v>
      </c>
      <c r="E2446" t="str">
        <f>RIGHT(Airports[[#This Row],[ICAO]],3)</f>
        <v>XMR</v>
      </c>
      <c r="F24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t="s">
        <v>5016</v>
      </c>
      <c r="B2447" t="s">
        <v>5017</v>
      </c>
      <c r="C2447">
        <v>-26.658055999999998</v>
      </c>
      <c r="D2447">
        <v>150.19638900000001</v>
      </c>
      <c r="E2447" t="str">
        <f>RIGHT(Airports[[#This Row],[ICAO]],3)</f>
        <v>XMS</v>
      </c>
      <c r="F24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t="s">
        <v>5018</v>
      </c>
      <c r="B2448" t="s">
        <v>5019</v>
      </c>
      <c r="C2448">
        <v>-32.759721999999996</v>
      </c>
      <c r="D2448">
        <v>151.604444</v>
      </c>
      <c r="E2448" t="str">
        <f>RIGHT(Airports[[#This Row],[ICAO]],3)</f>
        <v>XMT</v>
      </c>
      <c r="F24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t="s">
        <v>5020</v>
      </c>
      <c r="B2449" t="s">
        <v>5021</v>
      </c>
      <c r="C2449">
        <v>-28.558056000000001</v>
      </c>
      <c r="D2449">
        <v>153.498333</v>
      </c>
      <c r="E2449" t="str">
        <f>RIGHT(Airports[[#This Row],[ICAO]],3)</f>
        <v>XMU</v>
      </c>
      <c r="F24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t="s">
        <v>5022</v>
      </c>
      <c r="B2450" t="s">
        <v>5023</v>
      </c>
      <c r="C2450">
        <v>-33.685000000000002</v>
      </c>
      <c r="D2450">
        <v>151.308333</v>
      </c>
      <c r="E2450" t="str">
        <f>RIGHT(Airports[[#This Row],[ICAO]],3)</f>
        <v>XMV</v>
      </c>
      <c r="F24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t="s">
        <v>5024</v>
      </c>
      <c r="B2451" t="s">
        <v>5025</v>
      </c>
      <c r="C2451">
        <v>-32.143332999999998</v>
      </c>
      <c r="D2451">
        <v>150.36083300000001</v>
      </c>
      <c r="E2451" t="str">
        <f>RIGHT(Airports[[#This Row],[ICAO]],3)</f>
        <v>XMW</v>
      </c>
      <c r="F24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t="s">
        <v>5026</v>
      </c>
      <c r="B2452" t="s">
        <v>5027</v>
      </c>
      <c r="C2452">
        <v>-34.767499999999998</v>
      </c>
      <c r="D2452">
        <v>137.59138899999999</v>
      </c>
      <c r="E2452" t="str">
        <f>RIGHT(Airports[[#This Row],[ICAO]],3)</f>
        <v>XMX</v>
      </c>
      <c r="F24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t="s">
        <v>5028</v>
      </c>
      <c r="B2453" t="s">
        <v>5029</v>
      </c>
      <c r="C2453">
        <v>-35.903888999999999</v>
      </c>
      <c r="D2453">
        <v>150.069444</v>
      </c>
      <c r="E2453" t="str">
        <f>RIGHT(Airports[[#This Row],[ICAO]],3)</f>
        <v>XMY</v>
      </c>
      <c r="F24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t="s">
        <v>5030</v>
      </c>
      <c r="B2454" t="s">
        <v>5031</v>
      </c>
      <c r="C2454">
        <v>-30.75</v>
      </c>
      <c r="D2454">
        <v>150.71638899999999</v>
      </c>
      <c r="E2454" t="str">
        <f>RIGHT(Airports[[#This Row],[ICAO]],3)</f>
        <v>XMZ</v>
      </c>
      <c r="F24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t="s">
        <v>5032</v>
      </c>
      <c r="B2455" t="s">
        <v>5033</v>
      </c>
      <c r="C2455">
        <v>-26.620556000000001</v>
      </c>
      <c r="D2455">
        <v>152.95083299999999</v>
      </c>
      <c r="E2455" t="str">
        <f>RIGHT(Airports[[#This Row],[ICAO]],3)</f>
        <v>XNA</v>
      </c>
      <c r="F24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t="s">
        <v>5034</v>
      </c>
      <c r="B2456" t="s">
        <v>5035</v>
      </c>
      <c r="C2456">
        <v>-24.133333</v>
      </c>
      <c r="D2456">
        <v>149.454722</v>
      </c>
      <c r="E2456" t="str">
        <f>RIGHT(Airports[[#This Row],[ICAO]],3)</f>
        <v>XND</v>
      </c>
      <c r="F24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t="s">
        <v>5036</v>
      </c>
      <c r="B2457" t="s">
        <v>5037</v>
      </c>
      <c r="C2457">
        <v>-33.759444000000002</v>
      </c>
      <c r="D2457">
        <v>150.715</v>
      </c>
      <c r="E2457" t="str">
        <f>RIGHT(Airports[[#This Row],[ICAO]],3)</f>
        <v>XNE</v>
      </c>
      <c r="F24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t="s">
        <v>5038</v>
      </c>
      <c r="B2458" t="s">
        <v>5039</v>
      </c>
      <c r="C2458">
        <v>-30.325832999999999</v>
      </c>
      <c r="D2458">
        <v>149.77722199999999</v>
      </c>
      <c r="E2458" t="str">
        <f>RIGHT(Airports[[#This Row],[ICAO]],3)</f>
        <v>XNH</v>
      </c>
      <c r="F24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t="s">
        <v>5040</v>
      </c>
      <c r="B2459" t="s">
        <v>5041</v>
      </c>
      <c r="C2459">
        <v>-33.750833</v>
      </c>
      <c r="D2459">
        <v>151.23333299999999</v>
      </c>
      <c r="E2459" t="str">
        <f>RIGHT(Airports[[#This Row],[ICAO]],3)</f>
        <v>XNL</v>
      </c>
      <c r="F24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t="s">
        <v>5042</v>
      </c>
      <c r="B2460" t="s">
        <v>5043</v>
      </c>
      <c r="C2460">
        <v>-32.233333000000002</v>
      </c>
      <c r="D2460">
        <v>148.25</v>
      </c>
      <c r="E2460" t="str">
        <f>RIGHT(Airports[[#This Row],[ICAO]],3)</f>
        <v>XNM</v>
      </c>
      <c r="F24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t="s">
        <v>5044</v>
      </c>
      <c r="B2461" t="s">
        <v>5045</v>
      </c>
      <c r="C2461">
        <v>-26.665832999999999</v>
      </c>
      <c r="D2461">
        <v>152.00749999999999</v>
      </c>
      <c r="E2461" t="str">
        <f>RIGHT(Airports[[#This Row],[ICAO]],3)</f>
        <v>XNN</v>
      </c>
      <c r="F24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t="s">
        <v>5046</v>
      </c>
      <c r="B2462" t="s">
        <v>5047</v>
      </c>
      <c r="C2462">
        <v>-19.586389</v>
      </c>
      <c r="D2462">
        <v>116.13888900000001</v>
      </c>
      <c r="E2462" t="str">
        <f>RIGHT(Airports[[#This Row],[ICAO]],3)</f>
        <v>XNR</v>
      </c>
      <c r="F24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t="s">
        <v>5048</v>
      </c>
      <c r="B2463" t="s">
        <v>5049</v>
      </c>
      <c r="C2463">
        <v>-33.821111000000002</v>
      </c>
      <c r="D2463">
        <v>151.19194400000001</v>
      </c>
      <c r="E2463" t="str">
        <f>RIGHT(Airports[[#This Row],[ICAO]],3)</f>
        <v>XNS</v>
      </c>
      <c r="F24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t="s">
        <v>5050</v>
      </c>
      <c r="B2464" t="s">
        <v>5051</v>
      </c>
      <c r="C2464">
        <v>-34.869722000000003</v>
      </c>
      <c r="D2464">
        <v>150.59555599999999</v>
      </c>
      <c r="E2464" t="str">
        <f>RIGHT(Airports[[#This Row],[ICAO]],3)</f>
        <v>XNW</v>
      </c>
      <c r="F24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t="s">
        <v>5052</v>
      </c>
      <c r="B2465" t="s">
        <v>5053</v>
      </c>
      <c r="C2465">
        <v>-32.716667000000001</v>
      </c>
      <c r="D2465">
        <v>152.13305600000001</v>
      </c>
      <c r="E2465" t="str">
        <f>RIGHT(Airports[[#This Row],[ICAO]],3)</f>
        <v>XNY</v>
      </c>
      <c r="F24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t="s">
        <v>5054</v>
      </c>
      <c r="B2466" t="s">
        <v>5055</v>
      </c>
      <c r="C2466">
        <v>-35.799605</v>
      </c>
      <c r="D2466">
        <v>144.21426099999999</v>
      </c>
      <c r="E2466" t="str">
        <f>RIGHT(Airports[[#This Row],[ICAO]],3)</f>
        <v>XOA</v>
      </c>
      <c r="F24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t="s">
        <v>5056</v>
      </c>
      <c r="B2467" t="s">
        <v>5057</v>
      </c>
      <c r="C2467">
        <v>-42.304167</v>
      </c>
      <c r="D2467">
        <v>147.36666700000001</v>
      </c>
      <c r="E2467" t="str">
        <f>RIGHT(Airports[[#This Row],[ICAO]],3)</f>
        <v>XOD</v>
      </c>
      <c r="F2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t="s">
        <v>5058</v>
      </c>
      <c r="B2468" t="s">
        <v>5059</v>
      </c>
      <c r="C2468">
        <v>-30.316943999999999</v>
      </c>
      <c r="D2468">
        <v>153.09305599999999</v>
      </c>
      <c r="E2468" t="str">
        <f>RIGHT(Airports[[#This Row],[ICAO]],3)</f>
        <v>XOF</v>
      </c>
      <c r="F2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t="s">
        <v>5060</v>
      </c>
      <c r="B2469" t="s">
        <v>5061</v>
      </c>
      <c r="C2469">
        <v>-33.316808999999999</v>
      </c>
      <c r="D2469">
        <v>149.09270000000001</v>
      </c>
      <c r="E2469" t="str">
        <f>RIGHT(Airports[[#This Row],[ICAO]],3)</f>
        <v>XOG</v>
      </c>
      <c r="F2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t="s">
        <v>5062</v>
      </c>
      <c r="B2470" t="s">
        <v>5063</v>
      </c>
      <c r="C2470">
        <v>-31.821667000000001</v>
      </c>
      <c r="D2470">
        <v>149.71</v>
      </c>
      <c r="E2470" t="str">
        <f>RIGHT(Airports[[#This Row],[ICAO]],3)</f>
        <v>XOH</v>
      </c>
      <c r="F2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t="s">
        <v>5064</v>
      </c>
      <c r="B2471" t="s">
        <v>5065</v>
      </c>
      <c r="C2471">
        <v>-31.596388999999999</v>
      </c>
      <c r="D2471">
        <v>152.274722</v>
      </c>
      <c r="E2471" t="str">
        <f>RIGHT(Airports[[#This Row],[ICAO]],3)</f>
        <v>XOI</v>
      </c>
      <c r="F2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t="s">
        <v>5066</v>
      </c>
      <c r="B2472" t="s">
        <v>5067</v>
      </c>
      <c r="C2472">
        <v>-34.449444</v>
      </c>
      <c r="D2472">
        <v>149.469167</v>
      </c>
      <c r="E2472" t="str">
        <f>RIGHT(Airports[[#This Row],[ICAO]],3)</f>
        <v>XOK</v>
      </c>
      <c r="F2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t="s">
        <v>5068</v>
      </c>
      <c r="B2473" t="s">
        <v>5069</v>
      </c>
      <c r="C2473">
        <v>-33.081111</v>
      </c>
      <c r="D2473">
        <v>147.14944399999999</v>
      </c>
      <c r="E2473" t="str">
        <f>RIGHT(Airports[[#This Row],[ICAO]],3)</f>
        <v>XOL</v>
      </c>
      <c r="F2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t="s">
        <v>5070</v>
      </c>
      <c r="B2474" t="s">
        <v>5071</v>
      </c>
      <c r="C2474">
        <v>-36.913611000000003</v>
      </c>
      <c r="D2474">
        <v>149.24083300000001</v>
      </c>
      <c r="E2474" t="str">
        <f>RIGHT(Airports[[#This Row],[ICAO]],3)</f>
        <v>XOM</v>
      </c>
      <c r="F2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t="s">
        <v>5072</v>
      </c>
      <c r="B2475" t="s">
        <v>5073</v>
      </c>
      <c r="C2475">
        <v>-30.966111000000001</v>
      </c>
      <c r="D2475">
        <v>148.38722200000001</v>
      </c>
      <c r="E2475" t="str">
        <f>RIGHT(Airports[[#This Row],[ICAO]],3)</f>
        <v>XON</v>
      </c>
      <c r="F2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t="s">
        <v>5074</v>
      </c>
      <c r="B2476" t="s">
        <v>5075</v>
      </c>
      <c r="C2476">
        <v>-34.633889000000003</v>
      </c>
      <c r="D2476">
        <v>148.012778</v>
      </c>
      <c r="E2476" t="str">
        <f>RIGHT(Airports[[#This Row],[ICAO]],3)</f>
        <v>XOO</v>
      </c>
      <c r="F2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t="s">
        <v>5076</v>
      </c>
      <c r="B2477" t="s">
        <v>5077</v>
      </c>
      <c r="C2477">
        <v>-42.486111000000001</v>
      </c>
      <c r="D2477">
        <v>146.71611100000001</v>
      </c>
      <c r="E2477" t="str">
        <f>RIGHT(Airports[[#This Row],[ICAO]],3)</f>
        <v>XOS</v>
      </c>
      <c r="F2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t="s">
        <v>5078</v>
      </c>
      <c r="B2478" t="s">
        <v>5079</v>
      </c>
      <c r="C2478">
        <v>-24.866944</v>
      </c>
      <c r="D2478">
        <v>151.11277799999999</v>
      </c>
      <c r="E2478" t="str">
        <f>RIGHT(Airports[[#This Row],[ICAO]],3)</f>
        <v>XOT</v>
      </c>
      <c r="F2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t="s">
        <v>5080</v>
      </c>
      <c r="B2479" t="s">
        <v>5081</v>
      </c>
      <c r="C2479">
        <v>-26.800380000000001</v>
      </c>
      <c r="D2479">
        <v>153.11892</v>
      </c>
      <c r="E2479" t="str">
        <f>RIGHT(Airports[[#This Row],[ICAO]],3)</f>
        <v>XOU</v>
      </c>
      <c r="F2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t="s">
        <v>5082</v>
      </c>
      <c r="B2480" t="s">
        <v>5083</v>
      </c>
      <c r="C2480">
        <v>-34.486389000000003</v>
      </c>
      <c r="D2480">
        <v>150.42277799999999</v>
      </c>
      <c r="E2480" t="str">
        <f>RIGHT(Airports[[#This Row],[ICAO]],3)</f>
        <v>XOW</v>
      </c>
      <c r="F2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t="s">
        <v>5084</v>
      </c>
      <c r="B2481" t="s">
        <v>5085</v>
      </c>
      <c r="C2481">
        <v>-18.732500000000002</v>
      </c>
      <c r="D2481">
        <v>146.577778</v>
      </c>
      <c r="E2481" t="str">
        <f>RIGHT(Airports[[#This Row],[ICAO]],3)</f>
        <v>XPC</v>
      </c>
      <c r="F2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t="s">
        <v>5086</v>
      </c>
      <c r="B2482" t="s">
        <v>5087</v>
      </c>
      <c r="C2482">
        <v>-20.414434</v>
      </c>
      <c r="D2482">
        <v>118.598974</v>
      </c>
      <c r="E2482" t="str">
        <f>RIGHT(Airports[[#This Row],[ICAO]],3)</f>
        <v>XPD</v>
      </c>
      <c r="F2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t="s">
        <v>5088</v>
      </c>
      <c r="B2483" t="s">
        <v>5089</v>
      </c>
      <c r="C2483">
        <v>-33.176110999999999</v>
      </c>
      <c r="D2483">
        <v>138.005278</v>
      </c>
      <c r="E2483" t="str">
        <f>RIGHT(Airports[[#This Row],[ICAO]],3)</f>
        <v>XPE</v>
      </c>
      <c r="F2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t="s">
        <v>5090</v>
      </c>
      <c r="B2484" t="s">
        <v>5091</v>
      </c>
      <c r="C2484">
        <v>-32.736111000000001</v>
      </c>
      <c r="D2484">
        <v>148.19972200000001</v>
      </c>
      <c r="E2484" t="str">
        <f>RIGHT(Airports[[#This Row],[ICAO]],3)</f>
        <v>XPH</v>
      </c>
      <c r="F2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t="s">
        <v>5092</v>
      </c>
      <c r="B2485" t="s">
        <v>5093</v>
      </c>
      <c r="C2485">
        <v>-28.016389</v>
      </c>
      <c r="D2485">
        <v>153.399722</v>
      </c>
      <c r="E2485" t="str">
        <f>RIGHT(Airports[[#This Row],[ICAO]],3)</f>
        <v>XPI</v>
      </c>
      <c r="F2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t="s">
        <v>5094</v>
      </c>
      <c r="B2486" t="s">
        <v>5095</v>
      </c>
      <c r="C2486">
        <v>-33.153333000000003</v>
      </c>
      <c r="D2486">
        <v>148.171111</v>
      </c>
      <c r="E2486" t="str">
        <f>RIGHT(Airports[[#This Row],[ICAO]],3)</f>
        <v>XPK</v>
      </c>
      <c r="F2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t="s">
        <v>5096</v>
      </c>
      <c r="B2487" t="s">
        <v>5097</v>
      </c>
      <c r="C2487">
        <v>-31.452221999999999</v>
      </c>
      <c r="D2487">
        <v>152.876667</v>
      </c>
      <c r="E2487" t="str">
        <f>RIGHT(Airports[[#This Row],[ICAO]],3)</f>
        <v>XPM</v>
      </c>
      <c r="F2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t="s">
        <v>5098</v>
      </c>
      <c r="B2488" t="s">
        <v>5099</v>
      </c>
      <c r="C2488">
        <v>-20.400556000000002</v>
      </c>
      <c r="D2488">
        <v>148.58416700000001</v>
      </c>
      <c r="E2488" t="str">
        <f>RIGHT(Airports[[#This Row],[ICAO]],3)</f>
        <v>XPN</v>
      </c>
      <c r="F2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t="s">
        <v>5100</v>
      </c>
      <c r="B2489" t="s">
        <v>5101</v>
      </c>
      <c r="C2489">
        <v>-34.25</v>
      </c>
      <c r="D2489">
        <v>148.31638899999999</v>
      </c>
      <c r="E2489" t="str">
        <f>RIGHT(Airports[[#This Row],[ICAO]],3)</f>
        <v>XPP</v>
      </c>
      <c r="F2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t="s">
        <v>5102</v>
      </c>
      <c r="B2490" t="s">
        <v>5103</v>
      </c>
      <c r="C2490">
        <v>-38.341433000000002</v>
      </c>
      <c r="D2490">
        <v>141.60630699999999</v>
      </c>
      <c r="E2490" t="str">
        <f>RIGHT(Airports[[#This Row],[ICAO]],3)</f>
        <v>XPR</v>
      </c>
      <c r="F2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t="s">
        <v>5104</v>
      </c>
      <c r="B2491" t="s">
        <v>5105</v>
      </c>
      <c r="C2491">
        <v>-43.142221999999997</v>
      </c>
      <c r="D2491">
        <v>147.84361100000001</v>
      </c>
      <c r="E2491" t="str">
        <f>RIGHT(Airports[[#This Row],[ICAO]],3)</f>
        <v>XPU</v>
      </c>
      <c r="F2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t="s">
        <v>5106</v>
      </c>
      <c r="B2492" t="s">
        <v>5107</v>
      </c>
      <c r="C2492">
        <v>-27.484166999999999</v>
      </c>
      <c r="D2492">
        <v>153.02694399999999</v>
      </c>
      <c r="E2492" t="str">
        <f>RIGHT(Airports[[#This Row],[ICAO]],3)</f>
        <v>XQC</v>
      </c>
      <c r="F2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t="s">
        <v>5108</v>
      </c>
      <c r="B2493" t="s">
        <v>5109</v>
      </c>
      <c r="C2493">
        <v>-31.968889000000001</v>
      </c>
      <c r="D2493">
        <v>115.81694400000001</v>
      </c>
      <c r="E2493" t="str">
        <f>RIGHT(Airports[[#This Row],[ICAO]],3)</f>
        <v>XQE</v>
      </c>
      <c r="F2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t="s">
        <v>5110</v>
      </c>
      <c r="B2494" t="s">
        <v>5111</v>
      </c>
      <c r="C2494">
        <v>-31.510278</v>
      </c>
      <c r="D2494">
        <v>150.68555599999999</v>
      </c>
      <c r="E2494" t="str">
        <f>RIGHT(Airports[[#This Row],[ICAO]],3)</f>
        <v>XQU</v>
      </c>
      <c r="F2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t="s">
        <v>5112</v>
      </c>
      <c r="B2495" t="s">
        <v>5113</v>
      </c>
      <c r="C2495">
        <v>-33.925832999999997</v>
      </c>
      <c r="D2495">
        <v>151.241389</v>
      </c>
      <c r="E2495" t="str">
        <f>RIGHT(Airports[[#This Row],[ICAO]],3)</f>
        <v>XRA</v>
      </c>
      <c r="F2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t="s">
        <v>5114</v>
      </c>
      <c r="B2496" t="s">
        <v>5115</v>
      </c>
      <c r="C2496">
        <v>-27.548888999999999</v>
      </c>
      <c r="D2496">
        <v>153.25277800000001</v>
      </c>
      <c r="E2496" t="str">
        <f>RIGHT(Airports[[#This Row],[ICAO]],3)</f>
        <v>XRD</v>
      </c>
      <c r="F2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t="s">
        <v>5116</v>
      </c>
      <c r="B2497" t="s">
        <v>5117</v>
      </c>
      <c r="C2497">
        <v>-27.273056</v>
      </c>
      <c r="D2497">
        <v>150.457222</v>
      </c>
      <c r="E2497" t="str">
        <f>RIGHT(Airports[[#This Row],[ICAO]],3)</f>
        <v>XRH</v>
      </c>
      <c r="F2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t="s">
        <v>5118</v>
      </c>
      <c r="B2498" t="s">
        <v>5119</v>
      </c>
      <c r="C2498">
        <v>-23.380278000000001</v>
      </c>
      <c r="D2498">
        <v>150.49444399999999</v>
      </c>
      <c r="E2498" t="str">
        <f>RIGHT(Airports[[#This Row],[ICAO]],3)</f>
        <v>XRK</v>
      </c>
      <c r="F2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t="s">
        <v>5120</v>
      </c>
      <c r="B2499" t="s">
        <v>5121</v>
      </c>
      <c r="C2499">
        <v>-34.163888999999998</v>
      </c>
      <c r="D2499">
        <v>140.744722</v>
      </c>
      <c r="E2499" t="str">
        <f>RIGHT(Airports[[#This Row],[ICAO]],3)</f>
        <v>XRM</v>
      </c>
      <c r="F2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t="s">
        <v>5122</v>
      </c>
      <c r="B2500" t="s">
        <v>5123</v>
      </c>
      <c r="C2500">
        <v>-32.788611000000003</v>
      </c>
      <c r="D2500">
        <v>149.97416699999999</v>
      </c>
      <c r="E2500" t="str">
        <f>RIGHT(Airports[[#This Row],[ICAO]],3)</f>
        <v>XRN</v>
      </c>
      <c r="F2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t="s">
        <v>5124</v>
      </c>
      <c r="B2501" t="s">
        <v>5125</v>
      </c>
      <c r="C2501">
        <v>-31.956944</v>
      </c>
      <c r="D2501">
        <v>115.865278</v>
      </c>
      <c r="E2501" t="str">
        <f>RIGHT(Airports[[#This Row],[ICAO]],3)</f>
        <v>XRP</v>
      </c>
      <c r="F2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t="s">
        <v>5126</v>
      </c>
      <c r="B2502" t="s">
        <v>5127</v>
      </c>
      <c r="C2502">
        <v>-27.657499999999999</v>
      </c>
      <c r="D2502">
        <v>153.36666700000001</v>
      </c>
      <c r="E2502" t="str">
        <f>RIGHT(Airports[[#This Row],[ICAO]],3)</f>
        <v>XRU</v>
      </c>
      <c r="F2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t="s">
        <v>5128</v>
      </c>
      <c r="B2503" t="s">
        <v>5129</v>
      </c>
      <c r="C2503">
        <v>-32.509721999999996</v>
      </c>
      <c r="D2503">
        <v>150.96638899999999</v>
      </c>
      <c r="E2503" t="str">
        <f>RIGHT(Airports[[#This Row],[ICAO]],3)</f>
        <v>XRW</v>
      </c>
      <c r="F2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t="s">
        <v>5130</v>
      </c>
      <c r="B2504" t="s">
        <v>5131</v>
      </c>
      <c r="C2504">
        <v>-33.733333000000002</v>
      </c>
      <c r="D2504">
        <v>151.1</v>
      </c>
      <c r="E2504" t="str">
        <f>RIGHT(Airports[[#This Row],[ICAO]],3)</f>
        <v>XSA</v>
      </c>
      <c r="F2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t="s">
        <v>5132</v>
      </c>
      <c r="B2505" t="s">
        <v>5133</v>
      </c>
      <c r="C2505">
        <v>-35.378610999999999</v>
      </c>
      <c r="D2505">
        <v>149.17166700000001</v>
      </c>
      <c r="E2505" t="str">
        <f>RIGHT(Airports[[#This Row],[ICAO]],3)</f>
        <v>XSB</v>
      </c>
      <c r="F2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t="s">
        <v>5134</v>
      </c>
      <c r="B2506" t="s">
        <v>5135</v>
      </c>
      <c r="C2506">
        <v>-32.049999999999997</v>
      </c>
      <c r="D2506">
        <v>150.8775</v>
      </c>
      <c r="E2506" t="str">
        <f>RIGHT(Airports[[#This Row],[ICAO]],3)</f>
        <v>XSC</v>
      </c>
      <c r="F2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t="s">
        <v>5136</v>
      </c>
      <c r="B2507" t="s">
        <v>5137</v>
      </c>
      <c r="C2507">
        <v>-41.318333000000003</v>
      </c>
      <c r="D2507">
        <v>148.24194399999999</v>
      </c>
      <c r="E2507" t="str">
        <f>RIGHT(Airports[[#This Row],[ICAO]],3)</f>
        <v>XSD</v>
      </c>
      <c r="F2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t="s">
        <v>5138</v>
      </c>
      <c r="B2508" t="s">
        <v>5139</v>
      </c>
      <c r="C2508">
        <v>-34.896388999999999</v>
      </c>
      <c r="D2508">
        <v>150.59055599999999</v>
      </c>
      <c r="E2508" t="str">
        <f>RIGHT(Airports[[#This Row],[ICAO]],3)</f>
        <v>XSE</v>
      </c>
      <c r="F2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t="s">
        <v>5140</v>
      </c>
      <c r="B2509" t="s">
        <v>5141</v>
      </c>
      <c r="C2509">
        <v>-33.966943999999998</v>
      </c>
      <c r="D2509">
        <v>151.13249999999999</v>
      </c>
      <c r="E2509" t="str">
        <f>RIGHT(Airports[[#This Row],[ICAO]],3)</f>
        <v>XSG</v>
      </c>
      <c r="F2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t="s">
        <v>5142</v>
      </c>
      <c r="B2510" t="s">
        <v>5143</v>
      </c>
      <c r="C2510">
        <v>-34.56</v>
      </c>
      <c r="D2510">
        <v>150.841667</v>
      </c>
      <c r="E2510" t="str">
        <f>RIGHT(Airports[[#This Row],[ICAO]],3)</f>
        <v>XSH</v>
      </c>
      <c r="F2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t="s">
        <v>5144</v>
      </c>
      <c r="B2511" t="s">
        <v>5145</v>
      </c>
      <c r="C2511">
        <v>-32.566943999999999</v>
      </c>
      <c r="D2511">
        <v>151.18694400000001</v>
      </c>
      <c r="E2511" t="str">
        <f>RIGHT(Airports[[#This Row],[ICAO]],3)</f>
        <v>XSI</v>
      </c>
      <c r="F2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t="s">
        <v>5146</v>
      </c>
      <c r="B2512" t="s">
        <v>5147</v>
      </c>
      <c r="C2512">
        <v>-41.587221999999997</v>
      </c>
      <c r="D2512">
        <v>148.184167</v>
      </c>
      <c r="E2512" t="str">
        <f>RIGHT(Airports[[#This Row],[ICAO]],3)</f>
        <v>XSM</v>
      </c>
      <c r="F2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t="s">
        <v>5148</v>
      </c>
      <c r="B2513" t="s">
        <v>5149</v>
      </c>
      <c r="C2513">
        <v>-33.919443999999999</v>
      </c>
      <c r="D2513">
        <v>151.24</v>
      </c>
      <c r="E2513" t="str">
        <f>RIGHT(Airports[[#This Row],[ICAO]],3)</f>
        <v>XSN</v>
      </c>
      <c r="F2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t="s">
        <v>5150</v>
      </c>
      <c r="B2514" t="s">
        <v>5151</v>
      </c>
      <c r="C2514">
        <v>-41.157778</v>
      </c>
      <c r="D2514">
        <v>147.511944</v>
      </c>
      <c r="E2514" t="str">
        <f>RIGHT(Airports[[#This Row],[ICAO]],3)</f>
        <v>XSO</v>
      </c>
      <c r="F2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t="s">
        <v>5152</v>
      </c>
      <c r="B2515" t="s">
        <v>5153</v>
      </c>
      <c r="C2515">
        <v>-28.66</v>
      </c>
      <c r="D2515">
        <v>151.92777799999999</v>
      </c>
      <c r="E2515" t="str">
        <f>RIGHT(Airports[[#This Row],[ICAO]],3)</f>
        <v>XST</v>
      </c>
      <c r="F2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t="s">
        <v>5154</v>
      </c>
      <c r="B2516" t="s">
        <v>5155</v>
      </c>
      <c r="C2516">
        <v>-42.126111000000002</v>
      </c>
      <c r="D2516">
        <v>148.078056</v>
      </c>
      <c r="E2516" t="str">
        <f>RIGHT(Airports[[#This Row],[ICAO]],3)</f>
        <v>XSW</v>
      </c>
      <c r="F2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t="s">
        <v>5156</v>
      </c>
      <c r="B2517" t="s">
        <v>5157</v>
      </c>
      <c r="C2517">
        <v>-35.260556000000001</v>
      </c>
      <c r="D2517">
        <v>138.886111</v>
      </c>
      <c r="E2517" t="str">
        <f>RIGHT(Airports[[#This Row],[ICAO]],3)</f>
        <v>XSY</v>
      </c>
      <c r="F2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t="s">
        <v>5158</v>
      </c>
      <c r="B2518" t="s">
        <v>5159</v>
      </c>
      <c r="C2518">
        <v>-27.181944000000001</v>
      </c>
      <c r="D2518">
        <v>153.37138899999999</v>
      </c>
      <c r="E2518" t="str">
        <f>RIGHT(Airports[[#This Row],[ICAO]],3)</f>
        <v>XTA</v>
      </c>
      <c r="F2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t="s">
        <v>5160</v>
      </c>
      <c r="B2519" t="s">
        <v>5161</v>
      </c>
      <c r="C2519">
        <v>-42.509721999999996</v>
      </c>
      <c r="D2519">
        <v>147.91194400000001</v>
      </c>
      <c r="E2519" t="str">
        <f>RIGHT(Airports[[#This Row],[ICAO]],3)</f>
        <v>XTB</v>
      </c>
      <c r="F2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t="s">
        <v>5162</v>
      </c>
      <c r="B2520" t="s">
        <v>5163</v>
      </c>
      <c r="C2520">
        <v>-32.921388999999998</v>
      </c>
      <c r="D2520">
        <v>147.70416700000001</v>
      </c>
      <c r="E2520" t="str">
        <f>RIGHT(Airports[[#This Row],[ICAO]],3)</f>
        <v>XTD</v>
      </c>
      <c r="F2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t="s">
        <v>5164</v>
      </c>
      <c r="B2521" t="s">
        <v>5165</v>
      </c>
      <c r="C2521">
        <v>-29.049721999999999</v>
      </c>
      <c r="D2521">
        <v>152.016389</v>
      </c>
      <c r="E2521" t="str">
        <f>RIGHT(Airports[[#This Row],[ICAO]],3)</f>
        <v>XTE</v>
      </c>
      <c r="F2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t="s">
        <v>5166</v>
      </c>
      <c r="B2522" t="s">
        <v>5167</v>
      </c>
      <c r="C2522">
        <v>-10.588333</v>
      </c>
      <c r="D2522">
        <v>142.20944399999999</v>
      </c>
      <c r="E2522" t="str">
        <f>RIGHT(Airports[[#This Row],[ICAO]],3)</f>
        <v>XTI</v>
      </c>
      <c r="F2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t="s">
        <v>5168</v>
      </c>
      <c r="B2523" t="s">
        <v>5169</v>
      </c>
      <c r="C2523">
        <v>-19.320277999999998</v>
      </c>
      <c r="D2523">
        <v>146.76055600000001</v>
      </c>
      <c r="E2523" t="str">
        <f>RIGHT(Airports[[#This Row],[ICAO]],3)</f>
        <v>XTL</v>
      </c>
      <c r="F2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t="s">
        <v>5170</v>
      </c>
      <c r="B2524" t="s">
        <v>5171</v>
      </c>
      <c r="C2524">
        <v>-34.521110999999998</v>
      </c>
      <c r="D2524">
        <v>138.98249999999999</v>
      </c>
      <c r="E2524" t="str">
        <f>RIGHT(Airports[[#This Row],[ICAO]],3)</f>
        <v>XTN</v>
      </c>
      <c r="F2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t="s">
        <v>5172</v>
      </c>
      <c r="B2525" t="s">
        <v>5173</v>
      </c>
      <c r="C2525">
        <v>-27.570556</v>
      </c>
      <c r="D2525">
        <v>151.946111</v>
      </c>
      <c r="E2525" t="str">
        <f>RIGHT(Airports[[#This Row],[ICAO]],3)</f>
        <v>XTO</v>
      </c>
      <c r="F2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t="s">
        <v>5174</v>
      </c>
      <c r="B2526" t="s">
        <v>5169</v>
      </c>
      <c r="C2526">
        <v>-19.322500000000002</v>
      </c>
      <c r="D2526">
        <v>146.76666700000001</v>
      </c>
      <c r="E2526" t="str">
        <f>RIGHT(Airports[[#This Row],[ICAO]],3)</f>
        <v>XTS</v>
      </c>
      <c r="F2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t="s">
        <v>5175</v>
      </c>
      <c r="B2527" t="s">
        <v>5176</v>
      </c>
      <c r="C2527">
        <v>-17.926943999999999</v>
      </c>
      <c r="D2527">
        <v>145.92333300000001</v>
      </c>
      <c r="E2527" t="str">
        <f>RIGHT(Airports[[#This Row],[ICAO]],3)</f>
        <v>XTU</v>
      </c>
      <c r="F2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t="s">
        <v>5177</v>
      </c>
      <c r="B2528" t="s">
        <v>5178</v>
      </c>
      <c r="C2528">
        <v>-28.263888999999999</v>
      </c>
      <c r="D2528">
        <v>153.56638899999999</v>
      </c>
      <c r="E2528" t="str">
        <f>RIGHT(Airports[[#This Row],[ICAO]],3)</f>
        <v>XTV</v>
      </c>
      <c r="F2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t="s">
        <v>5179</v>
      </c>
      <c r="B2529" t="s">
        <v>5180</v>
      </c>
      <c r="C2529">
        <v>-31.072222</v>
      </c>
      <c r="D2529">
        <v>150.92666700000001</v>
      </c>
      <c r="E2529" t="str">
        <f>RIGHT(Airports[[#This Row],[ICAO]],3)</f>
        <v>XTW</v>
      </c>
      <c r="F2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t="s">
        <v>5181</v>
      </c>
      <c r="B2530" t="s">
        <v>5182</v>
      </c>
      <c r="C2530">
        <v>-28.855277999999998</v>
      </c>
      <c r="D2530">
        <v>151.178889</v>
      </c>
      <c r="E2530" t="str">
        <f>RIGHT(Airports[[#This Row],[ICAO]],3)</f>
        <v>XTX</v>
      </c>
      <c r="F2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t="s">
        <v>5183</v>
      </c>
      <c r="B2531" t="s">
        <v>5184</v>
      </c>
      <c r="C2531">
        <v>-35.320833</v>
      </c>
      <c r="D2531">
        <v>150.43944400000001</v>
      </c>
      <c r="E2531" t="str">
        <f>RIGHT(Airports[[#This Row],[ICAO]],3)</f>
        <v>XUA</v>
      </c>
      <c r="F2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t="s">
        <v>5185</v>
      </c>
      <c r="B2532" t="s">
        <v>5186</v>
      </c>
      <c r="C2532">
        <v>-33.479722000000002</v>
      </c>
      <c r="D2532">
        <v>148.84638899999999</v>
      </c>
      <c r="E2532" t="str">
        <f>RIGHT(Airports[[#This Row],[ICAO]],3)</f>
        <v>XUB</v>
      </c>
      <c r="F2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t="s">
        <v>5187</v>
      </c>
      <c r="B2533" t="s">
        <v>5188</v>
      </c>
      <c r="C2533">
        <v>-33.266388999999997</v>
      </c>
      <c r="D2533">
        <v>148.766389</v>
      </c>
      <c r="E2533" t="str">
        <f>RIGHT(Airports[[#This Row],[ICAO]],3)</f>
        <v>XUD</v>
      </c>
      <c r="F2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t="s">
        <v>5189</v>
      </c>
      <c r="B2534" t="s">
        <v>5190</v>
      </c>
      <c r="C2534">
        <v>-33.765931999999999</v>
      </c>
      <c r="D2534">
        <v>151.11608200000001</v>
      </c>
      <c r="E2534" t="str">
        <f>RIGHT(Airports[[#This Row],[ICAO]],3)</f>
        <v>XUH</v>
      </c>
      <c r="F2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t="s">
        <v>5191</v>
      </c>
      <c r="B2535" t="s">
        <v>5192</v>
      </c>
      <c r="C2535">
        <v>-33.196666999999998</v>
      </c>
      <c r="D2535">
        <v>149.98166699999999</v>
      </c>
      <c r="E2535" t="str">
        <f>RIGHT(Airports[[#This Row],[ICAO]],3)</f>
        <v>XUN</v>
      </c>
      <c r="F2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t="s">
        <v>5193</v>
      </c>
      <c r="B2536" t="s">
        <v>5194</v>
      </c>
      <c r="C2536">
        <v>-32.264443999999997</v>
      </c>
      <c r="D2536">
        <v>150.898889</v>
      </c>
      <c r="E2536" t="str">
        <f>RIGHT(Airports[[#This Row],[ICAO]],3)</f>
        <v>XUS</v>
      </c>
      <c r="F2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t="s">
        <v>5195</v>
      </c>
      <c r="B2537" t="s">
        <v>5196</v>
      </c>
      <c r="C2537">
        <v>-37.912500000000001</v>
      </c>
      <c r="D2537">
        <v>145.13999999999999</v>
      </c>
      <c r="E2537" t="str">
        <f>RIGHT(Airports[[#This Row],[ICAO]],3)</f>
        <v>XVH</v>
      </c>
      <c r="F2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t="s">
        <v>5197</v>
      </c>
      <c r="B2538" t="s">
        <v>5198</v>
      </c>
      <c r="C2538">
        <v>-30.647777999999999</v>
      </c>
      <c r="D2538">
        <v>152.84805600000001</v>
      </c>
      <c r="E2538" t="str">
        <f>RIGHT(Airports[[#This Row],[ICAO]],3)</f>
        <v>XVL</v>
      </c>
      <c r="F2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t="s">
        <v>5199</v>
      </c>
      <c r="B2539" t="s">
        <v>5200</v>
      </c>
      <c r="C2539">
        <v>-28.223889</v>
      </c>
      <c r="D2539">
        <v>152.01666700000001</v>
      </c>
      <c r="E2539" t="str">
        <f>RIGHT(Airports[[#This Row],[ICAO]],3)</f>
        <v>XWA</v>
      </c>
      <c r="F2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t="s">
        <v>5201</v>
      </c>
      <c r="B2540" t="s">
        <v>5202</v>
      </c>
      <c r="C2540">
        <v>-35.119166999999997</v>
      </c>
      <c r="D2540">
        <v>147.35722200000001</v>
      </c>
      <c r="E2540" t="str">
        <f>RIGHT(Airports[[#This Row],[ICAO]],3)</f>
        <v>XWG</v>
      </c>
      <c r="F2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t="s">
        <v>5203</v>
      </c>
      <c r="B2541" t="s">
        <v>5204</v>
      </c>
      <c r="C2541">
        <v>-30.983332999999998</v>
      </c>
      <c r="D2541">
        <v>151.583056</v>
      </c>
      <c r="E2541" t="str">
        <f>RIGHT(Airports[[#This Row],[ICAO]],3)</f>
        <v>XWH</v>
      </c>
      <c r="F2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t="s">
        <v>5205</v>
      </c>
      <c r="B2542" t="s">
        <v>5206</v>
      </c>
      <c r="C2542">
        <v>-31.35</v>
      </c>
      <c r="D2542">
        <v>150.649722</v>
      </c>
      <c r="E2542" t="str">
        <f>RIGHT(Airports[[#This Row],[ICAO]],3)</f>
        <v>XWI</v>
      </c>
      <c r="F2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t="s">
        <v>5207</v>
      </c>
      <c r="B2543" t="s">
        <v>5208</v>
      </c>
      <c r="C2543">
        <v>-32.599722</v>
      </c>
      <c r="D2543">
        <v>151</v>
      </c>
      <c r="E2543" t="str">
        <f>RIGHT(Airports[[#This Row],[ICAO]],3)</f>
        <v>XWK</v>
      </c>
      <c r="F2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t="s">
        <v>5209</v>
      </c>
      <c r="B2544" t="s">
        <v>5210</v>
      </c>
      <c r="C2544">
        <v>-34.424166999999997</v>
      </c>
      <c r="D2544">
        <v>150.88222200000001</v>
      </c>
      <c r="E2544" t="str">
        <f>RIGHT(Airports[[#This Row],[ICAO]],3)</f>
        <v>XWL</v>
      </c>
      <c r="F2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t="s">
        <v>5211</v>
      </c>
      <c r="B2545" t="s">
        <v>5212</v>
      </c>
      <c r="C2545">
        <v>-33.802222</v>
      </c>
      <c r="D2545">
        <v>150.99361099999999</v>
      </c>
      <c r="E2545" t="str">
        <f>RIGHT(Airports[[#This Row],[ICAO]],3)</f>
        <v>XWM</v>
      </c>
      <c r="F2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t="s">
        <v>5213</v>
      </c>
      <c r="B2546" t="s">
        <v>5214</v>
      </c>
      <c r="C2546">
        <v>-26.333333</v>
      </c>
      <c r="D2546">
        <v>151.88305600000001</v>
      </c>
      <c r="E2546" t="str">
        <f>RIGHT(Airports[[#This Row],[ICAO]],3)</f>
        <v>XWO</v>
      </c>
      <c r="F2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t="s">
        <v>5215</v>
      </c>
      <c r="B2547" t="s">
        <v>5216</v>
      </c>
      <c r="C2547">
        <v>-31.446667000000001</v>
      </c>
      <c r="D2547">
        <v>151.85472200000001</v>
      </c>
      <c r="E2547" t="str">
        <f>RIGHT(Airports[[#This Row],[ICAO]],3)</f>
        <v>XWR</v>
      </c>
      <c r="F2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t="s">
        <v>5217</v>
      </c>
      <c r="B2548" t="s">
        <v>5218</v>
      </c>
      <c r="C2548">
        <v>-33.802500000000002</v>
      </c>
      <c r="D2548">
        <v>150.99</v>
      </c>
      <c r="E2548" t="str">
        <f>RIGHT(Airports[[#This Row],[ICAO]],3)</f>
        <v>XWS</v>
      </c>
      <c r="F2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t="s">
        <v>5219</v>
      </c>
      <c r="B2549" t="s">
        <v>5220</v>
      </c>
      <c r="C2549">
        <v>-32.549722000000003</v>
      </c>
      <c r="D2549">
        <v>148.94972200000001</v>
      </c>
      <c r="E2549" t="str">
        <f>RIGHT(Airports[[#This Row],[ICAO]],3)</f>
        <v>XWT</v>
      </c>
      <c r="F2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t="s">
        <v>5221</v>
      </c>
      <c r="B2550" t="s">
        <v>5222</v>
      </c>
      <c r="C2550">
        <v>-30.116667</v>
      </c>
      <c r="D2550">
        <v>153.19972200000001</v>
      </c>
      <c r="E2550" t="str">
        <f>RIGHT(Airports[[#This Row],[ICAO]],3)</f>
        <v>XWU</v>
      </c>
      <c r="F2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t="s">
        <v>5223</v>
      </c>
      <c r="B2551" t="s">
        <v>5224</v>
      </c>
      <c r="C2551">
        <v>-31.533055999999998</v>
      </c>
      <c r="D2551">
        <v>150.81638899999999</v>
      </c>
      <c r="E2551" t="str">
        <f>RIGHT(Airports[[#This Row],[ICAO]],3)</f>
        <v>XWV</v>
      </c>
      <c r="F2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t="s">
        <v>5225</v>
      </c>
      <c r="B2552" t="s">
        <v>5226</v>
      </c>
      <c r="C2552">
        <v>-30.225591999999999</v>
      </c>
      <c r="D2552">
        <v>149.44757899999999</v>
      </c>
      <c r="E2552" t="str">
        <f>RIGHT(Airports[[#This Row],[ICAO]],3)</f>
        <v>XWW</v>
      </c>
      <c r="F2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t="s">
        <v>5227</v>
      </c>
      <c r="B2553" t="s">
        <v>5228</v>
      </c>
      <c r="C2553">
        <v>-33.260278</v>
      </c>
      <c r="D2553">
        <v>151.48083299999999</v>
      </c>
      <c r="E2553" t="str">
        <f>RIGHT(Airports[[#This Row],[ICAO]],3)</f>
        <v>XWY</v>
      </c>
      <c r="F2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t="s">
        <v>5229</v>
      </c>
      <c r="B2554" t="s">
        <v>5230</v>
      </c>
      <c r="C2554">
        <v>-37.798056000000003</v>
      </c>
      <c r="D2554">
        <v>145.11666700000001</v>
      </c>
      <c r="E2554" t="str">
        <f>RIGHT(Airports[[#This Row],[ICAO]],3)</f>
        <v>XXL</v>
      </c>
      <c r="F2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t="s">
        <v>5231</v>
      </c>
      <c r="B2555" t="s">
        <v>5232</v>
      </c>
      <c r="C2555">
        <v>-37.919722</v>
      </c>
      <c r="D2555">
        <v>145.121667</v>
      </c>
      <c r="E2555" t="str">
        <f>RIGHT(Airports[[#This Row],[ICAO]],3)</f>
        <v>XXM</v>
      </c>
      <c r="F2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t="s">
        <v>5233</v>
      </c>
      <c r="B2556" t="s">
        <v>5234</v>
      </c>
      <c r="C2556">
        <v>-34.854444000000001</v>
      </c>
      <c r="D2556">
        <v>148.908333</v>
      </c>
      <c r="E2556" t="str">
        <f>RIGHT(Airports[[#This Row],[ICAO]],3)</f>
        <v>XYA</v>
      </c>
      <c r="F2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t="s">
        <v>5235</v>
      </c>
      <c r="B2557" t="s">
        <v>5236</v>
      </c>
      <c r="C2557">
        <v>-35.018889000000001</v>
      </c>
      <c r="D2557">
        <v>137.61166700000001</v>
      </c>
      <c r="E2557" t="str">
        <f>RIGHT(Airports[[#This Row],[ICAO]],3)</f>
        <v>XYK</v>
      </c>
      <c r="F2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t="s">
        <v>5237</v>
      </c>
      <c r="B2558" t="s">
        <v>5238</v>
      </c>
      <c r="C2558">
        <v>-34.320833</v>
      </c>
      <c r="D2558">
        <v>148.28805600000001</v>
      </c>
      <c r="E2558" t="str">
        <f>RIGHT(Airports[[#This Row],[ICAO]],3)</f>
        <v>XYO</v>
      </c>
      <c r="F2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t="s">
        <v>5239</v>
      </c>
      <c r="B2559" t="s">
        <v>5240</v>
      </c>
      <c r="C2559">
        <v>-19.564722</v>
      </c>
      <c r="D2559">
        <v>147.409167</v>
      </c>
      <c r="E2559" t="str">
        <f>RIGHT(Airports[[#This Row],[ICAO]],3)</f>
        <v>XYR</v>
      </c>
      <c r="F2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t="s">
        <v>5241</v>
      </c>
      <c r="B2560" t="s">
        <v>5242</v>
      </c>
      <c r="C2560">
        <v>-27.566666999999999</v>
      </c>
      <c r="D2560">
        <v>120.55</v>
      </c>
      <c r="E2560" t="str">
        <f>RIGHT(Airports[[#This Row],[ICAO]],3)</f>
        <v>YAB</v>
      </c>
      <c r="F2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t="s">
        <v>5243</v>
      </c>
      <c r="B2561" t="s">
        <v>5244</v>
      </c>
      <c r="C2561">
        <v>-21.379722000000001</v>
      </c>
      <c r="D2561">
        <v>147.09638899999999</v>
      </c>
      <c r="E2561" t="str">
        <f>RIGHT(Airports[[#This Row],[ICAO]],3)</f>
        <v>YAC</v>
      </c>
      <c r="F2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t="s">
        <v>5245</v>
      </c>
      <c r="B2562" t="s">
        <v>5246</v>
      </c>
      <c r="C2562">
        <v>-28.353611000000001</v>
      </c>
      <c r="D2562">
        <v>116.678889</v>
      </c>
      <c r="E2562" t="str">
        <f>RIGHT(Airports[[#This Row],[ICAO]],3)</f>
        <v>YAL</v>
      </c>
      <c r="F2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t="s">
        <v>5247</v>
      </c>
      <c r="B2563" t="s">
        <v>5248</v>
      </c>
      <c r="C2563">
        <v>-16.904167000000001</v>
      </c>
      <c r="D2563">
        <v>145.84194400000001</v>
      </c>
      <c r="E2563" t="str">
        <f>RIGHT(Airports[[#This Row],[ICAO]],3)</f>
        <v>YAR</v>
      </c>
      <c r="F2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t="s">
        <v>5249</v>
      </c>
      <c r="B2564" t="s">
        <v>5250</v>
      </c>
      <c r="C2564">
        <v>-12.207777999999999</v>
      </c>
      <c r="D2564">
        <v>136.22416699999999</v>
      </c>
      <c r="E2564" t="str">
        <f>RIGHT(Airports[[#This Row],[ICAO]],3)</f>
        <v>YAY</v>
      </c>
      <c r="F2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t="s">
        <v>5251</v>
      </c>
      <c r="B2565" t="s">
        <v>5252</v>
      </c>
      <c r="C2565">
        <v>-16.909444000000001</v>
      </c>
      <c r="D2565">
        <v>145.87027800000001</v>
      </c>
      <c r="E2565" t="str">
        <f>RIGHT(Airports[[#This Row],[ICAO]],3)</f>
        <v>YBH</v>
      </c>
      <c r="F2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t="s">
        <v>5253</v>
      </c>
      <c r="B2566" t="s">
        <v>5254</v>
      </c>
      <c r="C2566">
        <v>-29.116667</v>
      </c>
      <c r="D2566">
        <v>122.033056</v>
      </c>
      <c r="E2566" t="str">
        <f>RIGHT(Airports[[#This Row],[ICAO]],3)</f>
        <v>YDM</v>
      </c>
      <c r="F2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t="s">
        <v>5255</v>
      </c>
      <c r="B2567" t="s">
        <v>5256</v>
      </c>
      <c r="C2567">
        <v>-14.316388999999999</v>
      </c>
      <c r="D2567">
        <v>143.31638899999999</v>
      </c>
      <c r="E2567" t="str">
        <f>RIGHT(Airports[[#This Row],[ICAO]],3)</f>
        <v>YDN</v>
      </c>
      <c r="F2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t="s">
        <v>5257</v>
      </c>
      <c r="B2568" t="s">
        <v>5258</v>
      </c>
      <c r="C2568">
        <v>-37.175556</v>
      </c>
      <c r="D2568">
        <v>145.32305600000001</v>
      </c>
      <c r="E2568" t="str">
        <f>RIGHT(Airports[[#This Row],[ICAO]],3)</f>
        <v>YEA</v>
      </c>
      <c r="F2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t="s">
        <v>5259</v>
      </c>
      <c r="B2569" t="s">
        <v>5260</v>
      </c>
      <c r="C2569">
        <v>-29.483332999999998</v>
      </c>
      <c r="D2569">
        <v>121.833333</v>
      </c>
      <c r="E2569" t="str">
        <f>RIGHT(Airports[[#This Row],[ICAO]],3)</f>
        <v>YER</v>
      </c>
      <c r="F2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t="s">
        <v>5261</v>
      </c>
      <c r="B2570" t="s">
        <v>5262</v>
      </c>
      <c r="C2570">
        <v>-24.649722000000001</v>
      </c>
      <c r="D2570">
        <v>116.166389</v>
      </c>
      <c r="E2570" t="str">
        <f>RIGHT(Airports[[#This Row],[ICAO]],3)</f>
        <v>YIN</v>
      </c>
      <c r="F2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t="s">
        <v>5263</v>
      </c>
      <c r="B2571" t="s">
        <v>5264</v>
      </c>
      <c r="C2571">
        <v>-24.899722000000001</v>
      </c>
      <c r="D2571">
        <v>144.05000000000001</v>
      </c>
      <c r="E2571" t="str">
        <f>RIGHT(Airports[[#This Row],[ICAO]],3)</f>
        <v>YKA</v>
      </c>
      <c r="F2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t="s">
        <v>5265</v>
      </c>
      <c r="B2572" t="s">
        <v>5266</v>
      </c>
      <c r="C2572">
        <v>-9.7533329999999996</v>
      </c>
      <c r="D2572">
        <v>143.405</v>
      </c>
      <c r="E2572" t="str">
        <f>RIGHT(Airports[[#This Row],[ICAO]],3)</f>
        <v>YKI</v>
      </c>
      <c r="F2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t="s">
        <v>5267</v>
      </c>
      <c r="B2573" t="s">
        <v>5268</v>
      </c>
      <c r="C2573">
        <v>-30.261389000000001</v>
      </c>
      <c r="D2573">
        <v>142.976944</v>
      </c>
      <c r="E2573" t="str">
        <f>RIGHT(Airports[[#This Row],[ICAO]],3)</f>
        <v>YLD</v>
      </c>
      <c r="F2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t="s">
        <v>5269</v>
      </c>
      <c r="B2574" t="s">
        <v>5270</v>
      </c>
      <c r="C2574">
        <v>-27.416388999999999</v>
      </c>
      <c r="D2574">
        <v>115.516667</v>
      </c>
      <c r="E2574" t="str">
        <f>RIGHT(Airports[[#This Row],[ICAO]],3)</f>
        <v>YLG</v>
      </c>
      <c r="F2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t="s">
        <v>5271</v>
      </c>
      <c r="B2575" t="s">
        <v>5272</v>
      </c>
      <c r="C2575">
        <v>-12.262222</v>
      </c>
      <c r="D2575">
        <v>136.012778</v>
      </c>
      <c r="E2575" t="str">
        <f>RIGHT(Airports[[#This Row],[ICAO]],3)</f>
        <v>YLK</v>
      </c>
      <c r="F2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t="s">
        <v>5273</v>
      </c>
      <c r="B2576" t="s">
        <v>5274</v>
      </c>
      <c r="C2576">
        <v>-25.446667000000001</v>
      </c>
      <c r="D2576">
        <v>148.44972200000001</v>
      </c>
      <c r="E2576" t="str">
        <f>RIGHT(Airports[[#This Row],[ICAO]],3)</f>
        <v>YLL</v>
      </c>
      <c r="F2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t="s">
        <v>5275</v>
      </c>
      <c r="B2577" t="s">
        <v>5276</v>
      </c>
      <c r="C2577">
        <v>-32.956389000000001</v>
      </c>
      <c r="D2577">
        <v>115.94833300000001</v>
      </c>
      <c r="E2577" t="str">
        <f>RIGHT(Airports[[#This Row],[ICAO]],3)</f>
        <v>YLP</v>
      </c>
      <c r="F2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t="s">
        <v>5277</v>
      </c>
      <c r="B2578" t="s">
        <v>5278</v>
      </c>
      <c r="C2578">
        <v>-21.463056000000002</v>
      </c>
      <c r="D2578">
        <v>145.85472200000001</v>
      </c>
      <c r="E2578" t="str">
        <f>RIGHT(Airports[[#This Row],[ICAO]],3)</f>
        <v>YME</v>
      </c>
      <c r="F2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t="s">
        <v>5279</v>
      </c>
      <c r="B2579" t="s">
        <v>5280</v>
      </c>
      <c r="C2579">
        <v>-9.8983329999999992</v>
      </c>
      <c r="D2579">
        <v>142.77166700000001</v>
      </c>
      <c r="E2579" t="str">
        <f>RIGHT(Airports[[#This Row],[ICAO]],3)</f>
        <v>YMI</v>
      </c>
      <c r="F2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t="s">
        <v>5281</v>
      </c>
      <c r="B2580" t="s">
        <v>5282</v>
      </c>
      <c r="C2580">
        <v>-22.254166999999999</v>
      </c>
      <c r="D2580">
        <v>131.78222199999999</v>
      </c>
      <c r="E2580" t="str">
        <f>RIGHT(Airports[[#This Row],[ICAO]],3)</f>
        <v>YND</v>
      </c>
      <c r="F2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t="s">
        <v>5283</v>
      </c>
      <c r="B2581" t="s">
        <v>5284</v>
      </c>
      <c r="C2581">
        <v>-34.255555999999999</v>
      </c>
      <c r="D2581">
        <v>148.24805599999999</v>
      </c>
      <c r="E2581" t="str">
        <f>RIGHT(Airports[[#This Row],[ICAO]],3)</f>
        <v>YNG</v>
      </c>
      <c r="F2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t="s">
        <v>5285</v>
      </c>
      <c r="B2582" t="s">
        <v>5286</v>
      </c>
      <c r="C2582">
        <v>-22.516389</v>
      </c>
      <c r="D2582">
        <v>114.8</v>
      </c>
      <c r="E2582" t="str">
        <f>RIGHT(Airports[[#This Row],[ICAO]],3)</f>
        <v>YNR</v>
      </c>
      <c r="F2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t="s">
        <v>5287</v>
      </c>
      <c r="B2583" t="s">
        <v>5288</v>
      </c>
      <c r="C2583">
        <v>-31.803056000000002</v>
      </c>
      <c r="D2583">
        <v>136.86000000000001</v>
      </c>
      <c r="E2583" t="str">
        <f>RIGHT(Airports[[#This Row],[ICAO]],3)</f>
        <v>YOO</v>
      </c>
      <c r="F2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t="s">
        <v>5289</v>
      </c>
      <c r="B2584" t="s">
        <v>5290</v>
      </c>
      <c r="C2584">
        <v>-35.003332999999998</v>
      </c>
      <c r="D2584">
        <v>137.619167</v>
      </c>
      <c r="E2584" t="str">
        <f>RIGHT(Airports[[#This Row],[ICAO]],3)</f>
        <v>YOR</v>
      </c>
      <c r="F2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t="s">
        <v>5291</v>
      </c>
      <c r="B2585" t="s">
        <v>5292</v>
      </c>
      <c r="C2585">
        <v>-38.567500000000003</v>
      </c>
      <c r="D2585">
        <v>146.75444400000001</v>
      </c>
      <c r="E2585" t="str">
        <f>RIGHT(Airports[[#This Row],[ICAO]],3)</f>
        <v>YRM</v>
      </c>
      <c r="F2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t="s">
        <v>5293</v>
      </c>
      <c r="B2586" t="s">
        <v>5294</v>
      </c>
      <c r="C2586">
        <v>-28.155000000000001</v>
      </c>
      <c r="D2586">
        <v>123.675</v>
      </c>
      <c r="E2586" t="str">
        <f>RIGHT(Airports[[#This Row],[ICAO]],3)</f>
        <v>YRN</v>
      </c>
      <c r="F2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t="s">
        <v>5295</v>
      </c>
      <c r="B2587" t="s">
        <v>5296</v>
      </c>
      <c r="C2587">
        <v>-25.458333</v>
      </c>
      <c r="D2587">
        <v>117.974722</v>
      </c>
      <c r="E2587" t="str">
        <f>RIGHT(Airports[[#This Row],[ICAO]],3)</f>
        <v>YRW</v>
      </c>
      <c r="F2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t="s">
        <v>5297</v>
      </c>
      <c r="B2588" t="s">
        <v>5298</v>
      </c>
      <c r="C2588">
        <v>-31.470555999999998</v>
      </c>
      <c r="D2588">
        <v>131.824444</v>
      </c>
      <c r="E2588" t="str">
        <f>RIGHT(Airports[[#This Row],[ICAO]],3)</f>
        <v>YTA</v>
      </c>
      <c r="F2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t="s">
        <v>5299</v>
      </c>
      <c r="B2589" t="s">
        <v>5300</v>
      </c>
      <c r="C2589">
        <v>-32.571666999999998</v>
      </c>
      <c r="D2589">
        <v>139.56388899999999</v>
      </c>
      <c r="E2589" t="str">
        <f>RIGHT(Airports[[#This Row],[ICAO]],3)</f>
        <v>YUN</v>
      </c>
      <c r="F2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t="s">
        <v>5301</v>
      </c>
      <c r="B2590" t="s">
        <v>5302</v>
      </c>
      <c r="C2590">
        <v>-27.95</v>
      </c>
      <c r="D2590">
        <v>144.625</v>
      </c>
      <c r="E2590" t="str">
        <f>RIGHT(Airports[[#This Row],[ICAO]],3)</f>
        <v>YWA</v>
      </c>
      <c r="F2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t="s">
        <v>5303</v>
      </c>
      <c r="B2591" t="s">
        <v>5304</v>
      </c>
      <c r="C2591">
        <v>-36.030555999999997</v>
      </c>
      <c r="D2591">
        <v>146.02777800000001</v>
      </c>
      <c r="E2591" t="str">
        <f>RIGHT(Airports[[#This Row],[ICAO]],3)</f>
        <v>YWG</v>
      </c>
      <c r="F2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t="s">
        <v>5305</v>
      </c>
      <c r="B2592" t="s">
        <v>5306</v>
      </c>
      <c r="C2592">
        <v>-21.299721999999999</v>
      </c>
      <c r="D2592">
        <v>118.36666700000001</v>
      </c>
      <c r="E2592" t="str">
        <f>RIGHT(Airports[[#This Row],[ICAO]],3)</f>
        <v>YYA</v>
      </c>
      <c r="F2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t="s">
        <v>5307</v>
      </c>
      <c r="B2593" t="s">
        <v>5308</v>
      </c>
      <c r="C2593">
        <v>-31.033332999999999</v>
      </c>
      <c r="D2593">
        <v>123.566667</v>
      </c>
      <c r="E2593" t="str">
        <f>RIGHT(Airports[[#This Row],[ICAO]],3)</f>
        <v>ZAN</v>
      </c>
      <c r="F2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t="s">
        <v>5309</v>
      </c>
      <c r="B2594" t="s">
        <v>5310</v>
      </c>
      <c r="C2594">
        <v>-33.666666999999997</v>
      </c>
      <c r="D2594">
        <v>115.902778</v>
      </c>
      <c r="E2594" t="str">
        <f>RIGHT(Airports[[#This Row],[ICAO]],3)</f>
        <v>ZON</v>
      </c>
      <c r="F2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DBF4A-9737-4D41-B609-1166B3640A3B}">
  <sheetPr codeName="Sheet16"/>
  <dimension ref="A1:Z50"/>
  <sheetViews>
    <sheetView workbookViewId="0">
      <selection activeCell="G13" sqref="G13"/>
    </sheetView>
  </sheetViews>
  <sheetFormatPr defaultColWidth="8.85546875" defaultRowHeight="15" x14ac:dyDescent="0.25"/>
  <cols>
    <col min="20" max="20" width="10.42578125" bestFit="1" customWidth="1"/>
  </cols>
  <sheetData>
    <row r="1" spans="1:26" ht="15" customHeight="1" x14ac:dyDescent="0.25">
      <c r="A1" t="s">
        <v>31</v>
      </c>
      <c r="B1">
        <v>1</v>
      </c>
      <c r="C1">
        <f t="shared" ref="C1:C48" ca="1" si="0">C2-1</f>
        <v>1977</v>
      </c>
      <c r="E1" t="s">
        <v>21</v>
      </c>
      <c r="F1" t="s">
        <v>47</v>
      </c>
      <c r="G1" t="s">
        <v>48</v>
      </c>
      <c r="I1" s="248" t="s">
        <v>50</v>
      </c>
      <c r="J1" s="247" t="s">
        <v>5</v>
      </c>
      <c r="K1" s="247"/>
      <c r="L1" s="247"/>
      <c r="M1" s="247"/>
      <c r="N1" s="247"/>
      <c r="O1" s="247"/>
      <c r="P1" s="247" t="s">
        <v>6</v>
      </c>
      <c r="Q1" s="247"/>
      <c r="R1" s="247"/>
      <c r="S1" s="247"/>
      <c r="T1" s="247"/>
      <c r="U1" s="247"/>
      <c r="V1" s="227" t="s">
        <v>13</v>
      </c>
      <c r="W1" s="228"/>
      <c r="X1" s="247" t="s">
        <v>7</v>
      </c>
      <c r="Y1" s="247"/>
      <c r="Z1" s="198" t="s">
        <v>45</v>
      </c>
    </row>
    <row r="2" spans="1:26" x14ac:dyDescent="0.25">
      <c r="A2" t="s">
        <v>32</v>
      </c>
      <c r="B2">
        <v>2</v>
      </c>
      <c r="C2">
        <f t="shared" ca="1" si="0"/>
        <v>1978</v>
      </c>
      <c r="E2" t="s">
        <v>22</v>
      </c>
      <c r="F2" t="s">
        <v>46</v>
      </c>
      <c r="G2" t="s">
        <v>48</v>
      </c>
      <c r="I2" s="249"/>
      <c r="J2" s="247" t="s">
        <v>10</v>
      </c>
      <c r="K2" s="247"/>
      <c r="L2" s="247" t="s">
        <v>11</v>
      </c>
      <c r="M2" s="247"/>
      <c r="N2" s="247" t="s">
        <v>12</v>
      </c>
      <c r="O2" s="247"/>
      <c r="P2" s="247" t="s">
        <v>10</v>
      </c>
      <c r="Q2" s="247"/>
      <c r="R2" s="247" t="s">
        <v>11</v>
      </c>
      <c r="S2" s="247"/>
      <c r="T2" s="247" t="s">
        <v>12</v>
      </c>
      <c r="U2" s="247"/>
      <c r="V2" s="251"/>
      <c r="W2" s="252"/>
      <c r="X2" s="247" t="s">
        <v>14</v>
      </c>
      <c r="Y2" s="247" t="s">
        <v>15</v>
      </c>
      <c r="Z2" s="199"/>
    </row>
    <row r="3" spans="1:26" x14ac:dyDescent="0.25">
      <c r="A3" t="s">
        <v>33</v>
      </c>
      <c r="B3">
        <v>3</v>
      </c>
      <c r="C3">
        <f t="shared" ca="1" si="0"/>
        <v>1979</v>
      </c>
      <c r="E3" t="s">
        <v>23</v>
      </c>
      <c r="F3" t="s">
        <v>46</v>
      </c>
      <c r="G3" t="s">
        <v>48</v>
      </c>
      <c r="I3" s="250"/>
      <c r="J3" s="25" t="s">
        <v>17</v>
      </c>
      <c r="K3" s="25" t="s">
        <v>20</v>
      </c>
      <c r="L3" s="25" t="s">
        <v>17</v>
      </c>
      <c r="M3" s="25" t="s">
        <v>20</v>
      </c>
      <c r="N3" s="25" t="s">
        <v>17</v>
      </c>
      <c r="O3" s="25" t="s">
        <v>20</v>
      </c>
      <c r="P3" s="25" t="s">
        <v>17</v>
      </c>
      <c r="Q3" s="25" t="s">
        <v>20</v>
      </c>
      <c r="R3" s="25" t="s">
        <v>17</v>
      </c>
      <c r="S3" s="25" t="s">
        <v>20</v>
      </c>
      <c r="T3" s="25" t="s">
        <v>17</v>
      </c>
      <c r="U3" s="25" t="s">
        <v>20</v>
      </c>
      <c r="V3" s="25" t="s">
        <v>17</v>
      </c>
      <c r="W3" s="25" t="s">
        <v>20</v>
      </c>
      <c r="X3" s="247"/>
      <c r="Y3" s="247"/>
      <c r="Z3" s="246"/>
    </row>
    <row r="4" spans="1:26" x14ac:dyDescent="0.25">
      <c r="A4" t="s">
        <v>34</v>
      </c>
      <c r="B4">
        <v>4</v>
      </c>
      <c r="C4">
        <f t="shared" ca="1" si="0"/>
        <v>1980</v>
      </c>
      <c r="E4" t="s">
        <v>24</v>
      </c>
      <c r="F4" t="s">
        <v>46</v>
      </c>
      <c r="G4" t="s">
        <v>49</v>
      </c>
      <c r="I4" s="15" cm="1">
        <f t="array" ref="I4">_xlfn.UNIQUE(Logbook[Type])</f>
        <v>0</v>
      </c>
      <c r="J4">
        <f>IF($I4="","",SUMIFS(Logbook[SeIcusDay],Logbook[[Type]:[Type]],Data!$I4))</f>
        <v>0</v>
      </c>
      <c r="K4">
        <f>IF($I4="","",SUMIFS(Logbook[SeIcusNight],Logbook[[Type]:[Type]],Data!$I4))</f>
        <v>0</v>
      </c>
      <c r="L4">
        <f>IF($I4="","",SUMIFS(Logbook[SeDualDay],Logbook[[Type]:[Type]],Data!$I4))</f>
        <v>0</v>
      </c>
      <c r="M4">
        <f>IF($I4="","",SUMIFS(Logbook[SeDualNight],Logbook[[Type]:[Type]],Data!$I4))</f>
        <v>0</v>
      </c>
      <c r="N4">
        <f>IF($I4="","",SUMIFS(Logbook[SeCommandDay],Logbook[[Type]:[Type]],Data!$I4))</f>
        <v>0</v>
      </c>
      <c r="O4">
        <f>IF($I4="","",SUMIFS(Logbook[SeCommandNight],Logbook[[Type]:[Type]],Data!$I4))</f>
        <v>0</v>
      </c>
      <c r="P4">
        <f>IF($I4="","",SUMIFS(Logbook[MeIcusDay],Logbook[[Type]:[Type]],Data!$I4))</f>
        <v>0</v>
      </c>
      <c r="Q4">
        <f>IF($I4="","",SUMIFS(Logbook[MeIcusNight],Logbook[[Type]:[Type]],Data!$I4))</f>
        <v>0</v>
      </c>
      <c r="R4">
        <f>IF($I4="","",SUMIFS(Logbook[MeDualDay],Logbook[[Type]:[Type]],Data!$I4))</f>
        <v>0</v>
      </c>
      <c r="S4">
        <f>IF($I4="","",SUMIFS(Logbook[MeDualNight],Logbook[[Type]:[Type]],Data!$I4))</f>
        <v>0</v>
      </c>
      <c r="T4">
        <f>IF($I4="","",SUMIFS(Logbook[MeCommandDay],Logbook[[Type]:[Type]],Data!$I4))</f>
        <v>0</v>
      </c>
      <c r="U4">
        <f>IF($I4="","",SUMIFS(Logbook[MeCommandNight],Logbook[[Type]:[Type]],Data!$I4))</f>
        <v>0</v>
      </c>
      <c r="V4">
        <f>IF($I4="","",SUMIFS(Logbook[CopilotDay],Logbook[[Type]:[Type]],Data!$I4))</f>
        <v>0</v>
      </c>
      <c r="W4">
        <f>IF($I4="","",SUMIFS(Logbook[CopilotNight],Logbook[[Type]:[Type]],Data!$I4))</f>
        <v>0</v>
      </c>
      <c r="X4">
        <f>IF($I4="","",SUMIFS(Logbook[IfrIf],Logbook[[Type]:[Type]],Data!$I4))</f>
        <v>0</v>
      </c>
      <c r="Y4">
        <f>IF($I4="","",SUMIFS(Logbook[IfrSim],Logbook[[Type]:[Type]],Data!$I4))</f>
        <v>0</v>
      </c>
      <c r="Z4" s="11">
        <f>IFERROR(SUM(J4:W4)+Y4,"")</f>
        <v>0</v>
      </c>
    </row>
    <row r="5" spans="1:26" x14ac:dyDescent="0.25">
      <c r="A5" t="s">
        <v>35</v>
      </c>
      <c r="B5">
        <v>5</v>
      </c>
      <c r="C5">
        <f t="shared" ca="1" si="0"/>
        <v>1981</v>
      </c>
      <c r="E5" t="s">
        <v>51</v>
      </c>
      <c r="F5" t="s">
        <v>46</v>
      </c>
      <c r="G5" t="s">
        <v>49</v>
      </c>
      <c r="J5" t="str">
        <f>IF($I5="","",SUMIFS(Logbook[SeIcusDay],Logbook[[Type]:[Type]],Data!$I5))</f>
        <v/>
      </c>
      <c r="K5" t="str">
        <f>IF($I5="","",SUMIFS(Logbook[SeIcusNight],Logbook[[Type]:[Type]],Data!$I5))</f>
        <v/>
      </c>
      <c r="L5" t="str">
        <f>IF($I5="","",SUMIFS(Logbook[SeDualDay],Logbook[[Type]:[Type]],Data!$I5))</f>
        <v/>
      </c>
      <c r="M5" t="str">
        <f>IF($I5="","",SUMIFS(Logbook[SeDualNight],Logbook[[Type]:[Type]],Data!$I5))</f>
        <v/>
      </c>
      <c r="N5" t="str">
        <f>IF($I5="","",SUMIFS(Logbook[SeCommandDay],Logbook[[Type]:[Type]],Data!$I5))</f>
        <v/>
      </c>
      <c r="O5" t="str">
        <f>IF($I5="","",SUMIFS(Logbook[SeCommandNight],Logbook[[Type]:[Type]],Data!$I5))</f>
        <v/>
      </c>
      <c r="P5" t="str">
        <f>IF($I5="","",SUMIFS(Logbook[MeIcusDay],Logbook[[Type]:[Type]],Data!$I5))</f>
        <v/>
      </c>
      <c r="Q5" t="str">
        <f>IF($I5="","",SUMIFS(Logbook[MeIcusNight],Logbook[[Type]:[Type]],Data!$I5))</f>
        <v/>
      </c>
      <c r="R5" t="str">
        <f>IF($I5="","",SUMIFS(Logbook[MeDualDay],Logbook[[Type]:[Type]],Data!$I5))</f>
        <v/>
      </c>
      <c r="S5" t="str">
        <f>IF($I5="","",SUMIFS(Logbook[MeDualNight],Logbook[[Type]:[Type]],Data!$I5))</f>
        <v/>
      </c>
      <c r="T5" t="str">
        <f>IF($I5="","",SUMIFS(Logbook[MeCommandDay],Logbook[[Type]:[Type]],Data!$I5))</f>
        <v/>
      </c>
      <c r="U5" t="str">
        <f>IF($I5="","",SUMIFS(Logbook[MeCommandNight],Logbook[[Type]:[Type]],Data!$I5))</f>
        <v/>
      </c>
      <c r="V5" t="str">
        <f>IF($I5="","",SUMIFS(Logbook[CopilotDay],Logbook[[Type]:[Type]],Data!$I5))</f>
        <v/>
      </c>
      <c r="W5" t="str">
        <f>IF($I5="","",SUMIFS(Logbook[CopilotNight],Logbook[[Type]:[Type]],Data!$I5))</f>
        <v/>
      </c>
      <c r="X5" t="str">
        <f>IF($I5="","",SUMIFS(Logbook[IfrIf],Logbook[[Type]:[Type]],Data!$I5))</f>
        <v/>
      </c>
      <c r="Y5" t="str">
        <f>IF($I5="","",SUMIFS(Logbook[IfrSim],Logbook[[Type]:[Type]],Data!$I5))</f>
        <v/>
      </c>
      <c r="Z5" s="11" t="str">
        <f t="shared" ref="Z5:Z30" si="1">IFERROR(SUM(J5:W5)+Y5,"")</f>
        <v/>
      </c>
    </row>
    <row r="6" spans="1:26" x14ac:dyDescent="0.25">
      <c r="A6" t="s">
        <v>36</v>
      </c>
      <c r="B6">
        <v>6</v>
      </c>
      <c r="C6">
        <f t="shared" ca="1" si="0"/>
        <v>1982</v>
      </c>
      <c r="J6" t="str">
        <f>IF($I6="","",SUMIFS(Logbook[SeIcusDay],Logbook[[Type]:[Type]],Data!$I6))</f>
        <v/>
      </c>
      <c r="K6" t="str">
        <f>IF($I6="","",SUMIFS(Logbook[SeIcusNight],Logbook[[Type]:[Type]],Data!$I6))</f>
        <v/>
      </c>
      <c r="L6" t="str">
        <f>IF($I6="","",SUMIFS(Logbook[SeDualDay],Logbook[[Type]:[Type]],Data!$I6))</f>
        <v/>
      </c>
      <c r="M6" t="str">
        <f>IF($I6="","",SUMIFS(Logbook[SeDualNight],Logbook[[Type]:[Type]],Data!$I6))</f>
        <v/>
      </c>
      <c r="N6" t="str">
        <f>IF($I6="","",SUMIFS(Logbook[SeCommandDay],Logbook[[Type]:[Type]],Data!$I6))</f>
        <v/>
      </c>
      <c r="O6" t="str">
        <f>IF($I6="","",SUMIFS(Logbook[SeCommandNight],Logbook[[Type]:[Type]],Data!$I6))</f>
        <v/>
      </c>
      <c r="P6" t="str">
        <f>IF($I6="","",SUMIFS(Logbook[MeIcusDay],Logbook[[Type]:[Type]],Data!$I6))</f>
        <v/>
      </c>
      <c r="Q6" t="str">
        <f>IF($I6="","",SUMIFS(Logbook[MeIcusNight],Logbook[[Type]:[Type]],Data!$I6))</f>
        <v/>
      </c>
      <c r="R6" t="str">
        <f>IF($I6="","",SUMIFS(Logbook[MeDualDay],Logbook[[Type]:[Type]],Data!$I6))</f>
        <v/>
      </c>
      <c r="S6" t="str">
        <f>IF($I6="","",SUMIFS(Logbook[MeDualNight],Logbook[[Type]:[Type]],Data!$I6))</f>
        <v/>
      </c>
      <c r="T6" t="str">
        <f>IF($I6="","",SUMIFS(Logbook[MeCommandDay],Logbook[[Type]:[Type]],Data!$I6))</f>
        <v/>
      </c>
      <c r="U6" t="str">
        <f>IF($I6="","",SUMIFS(Logbook[MeCommandNight],Logbook[[Type]:[Type]],Data!$I6))</f>
        <v/>
      </c>
      <c r="V6" t="str">
        <f>IF($I6="","",SUMIFS(Logbook[CopilotDay],Logbook[[Type]:[Type]],Data!$I6))</f>
        <v/>
      </c>
      <c r="W6" t="str">
        <f>IF($I6="","",SUMIFS(Logbook[CopilotNight],Logbook[[Type]:[Type]],Data!$I6))</f>
        <v/>
      </c>
      <c r="X6" t="str">
        <f>IF($I6="","",SUMIFS(Logbook[IfrIf],Logbook[[Type]:[Type]],Data!$I6))</f>
        <v/>
      </c>
      <c r="Y6" t="str">
        <f>IF($I6="","",SUMIFS(Logbook[IfrSim],Logbook[[Type]:[Type]],Data!$I6))</f>
        <v/>
      </c>
      <c r="Z6" s="11" t="str">
        <f t="shared" si="1"/>
        <v/>
      </c>
    </row>
    <row r="7" spans="1:26" x14ac:dyDescent="0.25">
      <c r="A7" t="s">
        <v>37</v>
      </c>
      <c r="B7">
        <v>7</v>
      </c>
      <c r="C7">
        <f t="shared" ca="1" si="0"/>
        <v>1983</v>
      </c>
      <c r="J7" t="str">
        <f>IF($I7="","",SUMIFS(Logbook[SeIcusDay],Logbook[[Type]:[Type]],Data!$I7))</f>
        <v/>
      </c>
      <c r="K7" t="str">
        <f>IF($I7="","",SUMIFS(Logbook[SeIcusNight],Logbook[[Type]:[Type]],Data!$I7))</f>
        <v/>
      </c>
      <c r="L7" t="str">
        <f>IF($I7="","",SUMIFS(Logbook[SeDualDay],Logbook[[Type]:[Type]],Data!$I7))</f>
        <v/>
      </c>
      <c r="M7" t="str">
        <f>IF($I7="","",SUMIFS(Logbook[SeDualNight],Logbook[[Type]:[Type]],Data!$I7))</f>
        <v/>
      </c>
      <c r="N7" t="str">
        <f>IF($I7="","",SUMIFS(Logbook[SeCommandDay],Logbook[[Type]:[Type]],Data!$I7))</f>
        <v/>
      </c>
      <c r="O7" t="str">
        <f>IF($I7="","",SUMIFS(Logbook[SeCommandNight],Logbook[[Type]:[Type]],Data!$I7))</f>
        <v/>
      </c>
      <c r="P7" t="str">
        <f>IF($I7="","",SUMIFS(Logbook[MeIcusDay],Logbook[[Type]:[Type]],Data!$I7))</f>
        <v/>
      </c>
      <c r="Q7" t="str">
        <f>IF($I7="","",SUMIFS(Logbook[MeIcusNight],Logbook[[Type]:[Type]],Data!$I7))</f>
        <v/>
      </c>
      <c r="R7" t="str">
        <f>IF($I7="","",SUMIFS(Logbook[MeDualDay],Logbook[[Type]:[Type]],Data!$I7))</f>
        <v/>
      </c>
      <c r="S7" t="str">
        <f>IF($I7="","",SUMIFS(Logbook[MeDualNight],Logbook[[Type]:[Type]],Data!$I7))</f>
        <v/>
      </c>
      <c r="T7" t="str">
        <f>IF($I7="","",SUMIFS(Logbook[MeCommandDay],Logbook[[Type]:[Type]],Data!$I7))</f>
        <v/>
      </c>
      <c r="U7" t="str">
        <f>IF($I7="","",SUMIFS(Logbook[MeCommandNight],Logbook[[Type]:[Type]],Data!$I7))</f>
        <v/>
      </c>
      <c r="V7" t="str">
        <f>IF($I7="","",SUMIFS(Logbook[CopilotDay],Logbook[[Type]:[Type]],Data!$I7))</f>
        <v/>
      </c>
      <c r="W7" t="str">
        <f>IF($I7="","",SUMIFS(Logbook[CopilotNight],Logbook[[Type]:[Type]],Data!$I7))</f>
        <v/>
      </c>
      <c r="X7" t="str">
        <f>IF($I7="","",SUMIFS(Logbook[IfrIf],Logbook[[Type]:[Type]],Data!$I7))</f>
        <v/>
      </c>
      <c r="Y7" t="str">
        <f>IF($I7="","",SUMIFS(Logbook[IfrSim],Logbook[[Type]:[Type]],Data!$I7))</f>
        <v/>
      </c>
      <c r="Z7" s="11" t="str">
        <f t="shared" si="1"/>
        <v/>
      </c>
    </row>
    <row r="8" spans="1:26" x14ac:dyDescent="0.25">
      <c r="A8" t="s">
        <v>38</v>
      </c>
      <c r="B8">
        <v>8</v>
      </c>
      <c r="C8">
        <f t="shared" ca="1" si="0"/>
        <v>1984</v>
      </c>
      <c r="J8" t="str">
        <f>IF($I8="","",SUMIFS(Logbook[SeIcusDay],Logbook[[Type]:[Type]],Data!$I8))</f>
        <v/>
      </c>
      <c r="K8" t="str">
        <f>IF($I8="","",SUMIFS(Logbook[SeIcusNight],Logbook[[Type]:[Type]],Data!$I8))</f>
        <v/>
      </c>
      <c r="L8" t="str">
        <f>IF($I8="","",SUMIFS(Logbook[SeDualDay],Logbook[[Type]:[Type]],Data!$I8))</f>
        <v/>
      </c>
      <c r="M8" t="str">
        <f>IF($I8="","",SUMIFS(Logbook[SeDualNight],Logbook[[Type]:[Type]],Data!$I8))</f>
        <v/>
      </c>
      <c r="N8" t="str">
        <f>IF($I8="","",SUMIFS(Logbook[SeCommandDay],Logbook[[Type]:[Type]],Data!$I8))</f>
        <v/>
      </c>
      <c r="O8" t="str">
        <f>IF($I8="","",SUMIFS(Logbook[SeCommandNight],Logbook[[Type]:[Type]],Data!$I8))</f>
        <v/>
      </c>
      <c r="P8" t="str">
        <f>IF($I8="","",SUMIFS(Logbook[MeIcusDay],Logbook[[Type]:[Type]],Data!$I8))</f>
        <v/>
      </c>
      <c r="Q8" t="str">
        <f>IF($I8="","",SUMIFS(Logbook[MeIcusNight],Logbook[[Type]:[Type]],Data!$I8))</f>
        <v/>
      </c>
      <c r="R8" t="str">
        <f>IF($I8="","",SUMIFS(Logbook[MeDualDay],Logbook[[Type]:[Type]],Data!$I8))</f>
        <v/>
      </c>
      <c r="S8" t="str">
        <f>IF($I8="","",SUMIFS(Logbook[MeDualNight],Logbook[[Type]:[Type]],Data!$I8))</f>
        <v/>
      </c>
      <c r="T8" t="str">
        <f>IF($I8="","",SUMIFS(Logbook[MeCommandDay],Logbook[[Type]:[Type]],Data!$I8))</f>
        <v/>
      </c>
      <c r="U8" t="str">
        <f>IF($I8="","",SUMIFS(Logbook[MeCommandNight],Logbook[[Type]:[Type]],Data!$I8))</f>
        <v/>
      </c>
      <c r="V8" t="str">
        <f>IF($I8="","",SUMIFS(Logbook[CopilotDay],Logbook[[Type]:[Type]],Data!$I8))</f>
        <v/>
      </c>
      <c r="W8" t="str">
        <f>IF($I8="","",SUMIFS(Logbook[CopilotNight],Logbook[[Type]:[Type]],Data!$I8))</f>
        <v/>
      </c>
      <c r="X8" t="str">
        <f>IF($I8="","",SUMIFS(Logbook[IfrIf],Logbook[[Type]:[Type]],Data!$I8))</f>
        <v/>
      </c>
      <c r="Y8" t="str">
        <f>IF($I8="","",SUMIFS(Logbook[IfrSim],Logbook[[Type]:[Type]],Data!$I8))</f>
        <v/>
      </c>
      <c r="Z8" s="11" t="str">
        <f t="shared" si="1"/>
        <v/>
      </c>
    </row>
    <row r="9" spans="1:26" x14ac:dyDescent="0.25">
      <c r="A9" t="s">
        <v>39</v>
      </c>
      <c r="B9">
        <v>9</v>
      </c>
      <c r="C9">
        <f t="shared" ca="1" si="0"/>
        <v>1985</v>
      </c>
      <c r="J9" t="str">
        <f>IF($I9="","",SUMIFS(Logbook[SeIcusDay],Logbook[[Type]:[Type]],Data!$I9))</f>
        <v/>
      </c>
      <c r="K9" t="str">
        <f>IF($I9="","",SUMIFS(Logbook[SeIcusNight],Logbook[[Type]:[Type]],Data!$I9))</f>
        <v/>
      </c>
      <c r="L9" t="str">
        <f>IF($I9="","",SUMIFS(Logbook[SeDualDay],Logbook[[Type]:[Type]],Data!$I9))</f>
        <v/>
      </c>
      <c r="M9" t="str">
        <f>IF($I9="","",SUMIFS(Logbook[SeDualNight],Logbook[[Type]:[Type]],Data!$I9))</f>
        <v/>
      </c>
      <c r="N9" t="str">
        <f>IF($I9="","",SUMIFS(Logbook[SeCommandDay],Logbook[[Type]:[Type]],Data!$I9))</f>
        <v/>
      </c>
      <c r="O9" t="str">
        <f>IF($I9="","",SUMIFS(Logbook[SeCommandNight],Logbook[[Type]:[Type]],Data!$I9))</f>
        <v/>
      </c>
      <c r="P9" t="str">
        <f>IF($I9="","",SUMIFS(Logbook[MeIcusDay],Logbook[[Type]:[Type]],Data!$I9))</f>
        <v/>
      </c>
      <c r="Q9" t="str">
        <f>IF($I9="","",SUMIFS(Logbook[MeIcusNight],Logbook[[Type]:[Type]],Data!$I9))</f>
        <v/>
      </c>
      <c r="R9" t="str">
        <f>IF($I9="","",SUMIFS(Logbook[MeDualDay],Logbook[[Type]:[Type]],Data!$I9))</f>
        <v/>
      </c>
      <c r="S9" t="str">
        <f>IF($I9="","",SUMIFS(Logbook[MeDualNight],Logbook[[Type]:[Type]],Data!$I9))</f>
        <v/>
      </c>
      <c r="T9" t="str">
        <f>IF($I9="","",SUMIFS(Logbook[MeCommandDay],Logbook[[Type]:[Type]],Data!$I9))</f>
        <v/>
      </c>
      <c r="U9" t="str">
        <f>IF($I9="","",SUMIFS(Logbook[MeCommandNight],Logbook[[Type]:[Type]],Data!$I9))</f>
        <v/>
      </c>
      <c r="V9" t="str">
        <f>IF($I9="","",SUMIFS(Logbook[CopilotDay],Logbook[[Type]:[Type]],Data!$I9))</f>
        <v/>
      </c>
      <c r="W9" t="str">
        <f>IF($I9="","",SUMIFS(Logbook[CopilotNight],Logbook[[Type]:[Type]],Data!$I9))</f>
        <v/>
      </c>
      <c r="X9" t="str">
        <f>IF($I9="","",SUMIFS(Logbook[IfrIf],Logbook[[Type]:[Type]],Data!$I9))</f>
        <v/>
      </c>
      <c r="Y9" t="str">
        <f>IF($I9="","",SUMIFS(Logbook[IfrSim],Logbook[[Type]:[Type]],Data!$I9))</f>
        <v/>
      </c>
      <c r="Z9" s="11" t="str">
        <f t="shared" si="1"/>
        <v/>
      </c>
    </row>
    <row r="10" spans="1:26" x14ac:dyDescent="0.25">
      <c r="A10" t="s">
        <v>40</v>
      </c>
      <c r="B10">
        <v>10</v>
      </c>
      <c r="C10">
        <f t="shared" ca="1" si="0"/>
        <v>1986</v>
      </c>
      <c r="J10" t="str">
        <f>IF($I10="","",SUMIFS(Logbook[SeIcusDay],Logbook[[Type]:[Type]],Data!$I10))</f>
        <v/>
      </c>
      <c r="K10" t="str">
        <f>IF($I10="","",SUMIFS(Logbook[SeIcusNight],Logbook[[Type]:[Type]],Data!$I10))</f>
        <v/>
      </c>
      <c r="L10" t="str">
        <f>IF($I10="","",SUMIFS(Logbook[SeDualDay],Logbook[[Type]:[Type]],Data!$I10))</f>
        <v/>
      </c>
      <c r="M10" t="str">
        <f>IF($I10="","",SUMIFS(Logbook[SeDualNight],Logbook[[Type]:[Type]],Data!$I10))</f>
        <v/>
      </c>
      <c r="N10" t="str">
        <f>IF($I10="","",SUMIFS(Logbook[SeCommandDay],Logbook[[Type]:[Type]],Data!$I10))</f>
        <v/>
      </c>
      <c r="O10" t="str">
        <f>IF($I10="","",SUMIFS(Logbook[SeCommandNight],Logbook[[Type]:[Type]],Data!$I10))</f>
        <v/>
      </c>
      <c r="P10" t="str">
        <f>IF($I10="","",SUMIFS(Logbook[MeIcusDay],Logbook[[Type]:[Type]],Data!$I10))</f>
        <v/>
      </c>
      <c r="Q10" t="str">
        <f>IF($I10="","",SUMIFS(Logbook[MeIcusNight],Logbook[[Type]:[Type]],Data!$I10))</f>
        <v/>
      </c>
      <c r="R10" t="str">
        <f>IF($I10="","",SUMIFS(Logbook[MeDualDay],Logbook[[Type]:[Type]],Data!$I10))</f>
        <v/>
      </c>
      <c r="S10" t="str">
        <f>IF($I10="","",SUMIFS(Logbook[MeDualNight],Logbook[[Type]:[Type]],Data!$I10))</f>
        <v/>
      </c>
      <c r="T10" t="str">
        <f>IF($I10="","",SUMIFS(Logbook[MeCommandDay],Logbook[[Type]:[Type]],Data!$I10))</f>
        <v/>
      </c>
      <c r="U10" t="str">
        <f>IF($I10="","",SUMIFS(Logbook[MeCommandNight],Logbook[[Type]:[Type]],Data!$I10))</f>
        <v/>
      </c>
      <c r="V10" t="str">
        <f>IF($I10="","",SUMIFS(Logbook[CopilotDay],Logbook[[Type]:[Type]],Data!$I10))</f>
        <v/>
      </c>
      <c r="W10" t="str">
        <f>IF($I10="","",SUMIFS(Logbook[CopilotNight],Logbook[[Type]:[Type]],Data!$I10))</f>
        <v/>
      </c>
      <c r="X10" t="str">
        <f>IF($I10="","",SUMIFS(Logbook[IfrIf],Logbook[[Type]:[Type]],Data!$I10))</f>
        <v/>
      </c>
      <c r="Y10" t="str">
        <f>IF($I10="","",SUMIFS(Logbook[IfrSim],Logbook[[Type]:[Type]],Data!$I10))</f>
        <v/>
      </c>
      <c r="Z10" s="11" t="str">
        <f t="shared" si="1"/>
        <v/>
      </c>
    </row>
    <row r="11" spans="1:26" x14ac:dyDescent="0.25">
      <c r="A11" t="s">
        <v>41</v>
      </c>
      <c r="B11">
        <v>11</v>
      </c>
      <c r="C11">
        <f t="shared" ca="1" si="0"/>
        <v>1987</v>
      </c>
      <c r="J11" t="str">
        <f>IF($I11="","",SUMIFS(Logbook[SeIcusDay],Logbook[[Type]:[Type]],Data!$I11))</f>
        <v/>
      </c>
      <c r="K11" t="str">
        <f>IF($I11="","",SUMIFS(Logbook[SeIcusNight],Logbook[[Type]:[Type]],Data!$I11))</f>
        <v/>
      </c>
      <c r="L11" t="str">
        <f>IF($I11="","",SUMIFS(Logbook[SeDualDay],Logbook[[Type]:[Type]],Data!$I11))</f>
        <v/>
      </c>
      <c r="M11" t="str">
        <f>IF($I11="","",SUMIFS(Logbook[SeDualNight],Logbook[[Type]:[Type]],Data!$I11))</f>
        <v/>
      </c>
      <c r="N11" t="str">
        <f>IF($I11="","",SUMIFS(Logbook[SeCommandDay],Logbook[[Type]:[Type]],Data!$I11))</f>
        <v/>
      </c>
      <c r="O11" t="str">
        <f>IF($I11="","",SUMIFS(Logbook[SeCommandNight],Logbook[[Type]:[Type]],Data!$I11))</f>
        <v/>
      </c>
      <c r="P11" t="str">
        <f>IF($I11="","",SUMIFS(Logbook[MeIcusDay],Logbook[[Type]:[Type]],Data!$I11))</f>
        <v/>
      </c>
      <c r="Q11" t="str">
        <f>IF($I11="","",SUMIFS(Logbook[MeIcusNight],Logbook[[Type]:[Type]],Data!$I11))</f>
        <v/>
      </c>
      <c r="R11" t="str">
        <f>IF($I11="","",SUMIFS(Logbook[MeDualDay],Logbook[[Type]:[Type]],Data!$I11))</f>
        <v/>
      </c>
      <c r="S11" t="str">
        <f>IF($I11="","",SUMIFS(Logbook[MeDualNight],Logbook[[Type]:[Type]],Data!$I11))</f>
        <v/>
      </c>
      <c r="T11" t="str">
        <f>IF($I11="","",SUMIFS(Logbook[MeCommandDay],Logbook[[Type]:[Type]],Data!$I11))</f>
        <v/>
      </c>
      <c r="U11" t="str">
        <f>IF($I11="","",SUMIFS(Logbook[MeCommandNight],Logbook[[Type]:[Type]],Data!$I11))</f>
        <v/>
      </c>
      <c r="V11" t="str">
        <f>IF($I11="","",SUMIFS(Logbook[CopilotDay],Logbook[[Type]:[Type]],Data!$I11))</f>
        <v/>
      </c>
      <c r="W11" t="str">
        <f>IF($I11="","",SUMIFS(Logbook[CopilotNight],Logbook[[Type]:[Type]],Data!$I11))</f>
        <v/>
      </c>
      <c r="X11" t="str">
        <f>IF($I11="","",SUMIFS(Logbook[IfrIf],Logbook[[Type]:[Type]],Data!$I11))</f>
        <v/>
      </c>
      <c r="Y11" t="str">
        <f>IF($I11="","",SUMIFS(Logbook[IfrSim],Logbook[[Type]:[Type]],Data!$I11))</f>
        <v/>
      </c>
      <c r="Z11" s="11" t="str">
        <f t="shared" si="1"/>
        <v/>
      </c>
    </row>
    <row r="12" spans="1:26" x14ac:dyDescent="0.25">
      <c r="A12" t="s">
        <v>42</v>
      </c>
      <c r="B12">
        <v>12</v>
      </c>
      <c r="C12">
        <f t="shared" ca="1" si="0"/>
        <v>1988</v>
      </c>
      <c r="J12" t="str">
        <f>IF($I12="","",SUMIFS(Logbook[SeIcusDay],Logbook[[Type]:[Type]],Data!$I12))</f>
        <v/>
      </c>
      <c r="K12" t="str">
        <f>IF($I12="","",SUMIFS(Logbook[SeIcusNight],Logbook[[Type]:[Type]],Data!$I12))</f>
        <v/>
      </c>
      <c r="L12" t="str">
        <f>IF($I12="","",SUMIFS(Logbook[SeDualDay],Logbook[[Type]:[Type]],Data!$I12))</f>
        <v/>
      </c>
      <c r="M12" t="str">
        <f>IF($I12="","",SUMIFS(Logbook[SeDualNight],Logbook[[Type]:[Type]],Data!$I12))</f>
        <v/>
      </c>
      <c r="N12" t="str">
        <f>IF($I12="","",SUMIFS(Logbook[SeCommandDay],Logbook[[Type]:[Type]],Data!$I12))</f>
        <v/>
      </c>
      <c r="O12" t="str">
        <f>IF($I12="","",SUMIFS(Logbook[SeCommandNight],Logbook[[Type]:[Type]],Data!$I12))</f>
        <v/>
      </c>
      <c r="P12" t="str">
        <f>IF($I12="","",SUMIFS(Logbook[MeIcusDay],Logbook[[Type]:[Type]],Data!$I12))</f>
        <v/>
      </c>
      <c r="Q12" t="str">
        <f>IF($I12="","",SUMIFS(Logbook[MeIcusNight],Logbook[[Type]:[Type]],Data!$I12))</f>
        <v/>
      </c>
      <c r="R12" t="str">
        <f>IF($I12="","",SUMIFS(Logbook[MeDualDay],Logbook[[Type]:[Type]],Data!$I12))</f>
        <v/>
      </c>
      <c r="S12" t="str">
        <f>IF($I12="","",SUMIFS(Logbook[MeDualNight],Logbook[[Type]:[Type]],Data!$I12))</f>
        <v/>
      </c>
      <c r="T12" t="str">
        <f>IF($I12="","",SUMIFS(Logbook[MeCommandDay],Logbook[[Type]:[Type]],Data!$I12))</f>
        <v/>
      </c>
      <c r="U12" t="str">
        <f>IF($I12="","",SUMIFS(Logbook[MeCommandNight],Logbook[[Type]:[Type]],Data!$I12))</f>
        <v/>
      </c>
      <c r="V12" t="str">
        <f>IF($I12="","",SUMIFS(Logbook[CopilotDay],Logbook[[Type]:[Type]],Data!$I12))</f>
        <v/>
      </c>
      <c r="W12" t="str">
        <f>IF($I12="","",SUMIFS(Logbook[CopilotNight],Logbook[[Type]:[Type]],Data!$I12))</f>
        <v/>
      </c>
      <c r="X12" t="str">
        <f>IF($I12="","",SUMIFS(Logbook[IfrIf],Logbook[[Type]:[Type]],Data!$I12))</f>
        <v/>
      </c>
      <c r="Y12" t="str">
        <f>IF($I12="","",SUMIFS(Logbook[IfrSim],Logbook[[Type]:[Type]],Data!$I12))</f>
        <v/>
      </c>
      <c r="Z12" s="11" t="str">
        <f t="shared" si="1"/>
        <v/>
      </c>
    </row>
    <row r="13" spans="1:26" x14ac:dyDescent="0.25">
      <c r="C13">
        <f t="shared" ca="1" si="0"/>
        <v>1989</v>
      </c>
      <c r="J13" t="str">
        <f>IF($I13="","",SUMIFS(Logbook[SeIcusDay],Logbook[[Type]:[Type]],Data!$I13))</f>
        <v/>
      </c>
      <c r="K13" t="str">
        <f>IF($I13="","",SUMIFS(Logbook[SeIcusNight],Logbook[[Type]:[Type]],Data!$I13))</f>
        <v/>
      </c>
      <c r="L13" t="str">
        <f>IF($I13="","",SUMIFS(Logbook[SeDualDay],Logbook[[Type]:[Type]],Data!$I13))</f>
        <v/>
      </c>
      <c r="M13" t="str">
        <f>IF($I13="","",SUMIFS(Logbook[SeDualNight],Logbook[[Type]:[Type]],Data!$I13))</f>
        <v/>
      </c>
      <c r="N13" t="str">
        <f>IF($I13="","",SUMIFS(Logbook[SeCommandDay],Logbook[[Type]:[Type]],Data!$I13))</f>
        <v/>
      </c>
      <c r="O13" t="str">
        <f>IF($I13="","",SUMIFS(Logbook[SeCommandNight],Logbook[[Type]:[Type]],Data!$I13))</f>
        <v/>
      </c>
      <c r="P13" t="str">
        <f>IF($I13="","",SUMIFS(Logbook[MeIcusDay],Logbook[[Type]:[Type]],Data!$I13))</f>
        <v/>
      </c>
      <c r="Q13" t="str">
        <f>IF($I13="","",SUMIFS(Logbook[MeIcusNight],Logbook[[Type]:[Type]],Data!$I13))</f>
        <v/>
      </c>
      <c r="R13" t="str">
        <f>IF($I13="","",SUMIFS(Logbook[MeDualDay],Logbook[[Type]:[Type]],Data!$I13))</f>
        <v/>
      </c>
      <c r="S13" t="str">
        <f>IF($I13="","",SUMIFS(Logbook[MeDualNight],Logbook[[Type]:[Type]],Data!$I13))</f>
        <v/>
      </c>
      <c r="T13" t="str">
        <f>IF($I13="","",SUMIFS(Logbook[MeCommandDay],Logbook[[Type]:[Type]],Data!$I13))</f>
        <v/>
      </c>
      <c r="U13" t="str">
        <f>IF($I13="","",SUMIFS(Logbook[MeCommandNight],Logbook[[Type]:[Type]],Data!$I13))</f>
        <v/>
      </c>
      <c r="V13" t="str">
        <f>IF($I13="","",SUMIFS(Logbook[CopilotDay],Logbook[[Type]:[Type]],Data!$I13))</f>
        <v/>
      </c>
      <c r="W13" t="str">
        <f>IF($I13="","",SUMIFS(Logbook[CopilotNight],Logbook[[Type]:[Type]],Data!$I13))</f>
        <v/>
      </c>
      <c r="X13" t="str">
        <f>IF($I13="","",SUMIFS(Logbook[IfrIf],Logbook[[Type]:[Type]],Data!$I13))</f>
        <v/>
      </c>
      <c r="Y13" t="str">
        <f>IF($I13="","",SUMIFS(Logbook[IfrSim],Logbook[[Type]:[Type]],Data!$I13))</f>
        <v/>
      </c>
      <c r="Z13" s="11" t="str">
        <f t="shared" si="1"/>
        <v/>
      </c>
    </row>
    <row r="14" spans="1:26" x14ac:dyDescent="0.25">
      <c r="C14">
        <f t="shared" ca="1" si="0"/>
        <v>1990</v>
      </c>
      <c r="J14" t="str">
        <f>IF($I14="","",SUMIFS(Logbook[SeIcusDay],Logbook[[Type]:[Type]],Data!$I14))</f>
        <v/>
      </c>
      <c r="K14" t="str">
        <f>IF($I14="","",SUMIFS(Logbook[SeIcusNight],Logbook[[Type]:[Type]],Data!$I14))</f>
        <v/>
      </c>
      <c r="L14" t="str">
        <f>IF($I14="","",SUMIFS(Logbook[SeDualDay],Logbook[[Type]:[Type]],Data!$I14))</f>
        <v/>
      </c>
      <c r="M14" t="str">
        <f>IF($I14="","",SUMIFS(Logbook[SeDualNight],Logbook[[Type]:[Type]],Data!$I14))</f>
        <v/>
      </c>
      <c r="N14" t="str">
        <f>IF($I14="","",SUMIFS(Logbook[SeCommandDay],Logbook[[Type]:[Type]],Data!$I14))</f>
        <v/>
      </c>
      <c r="O14" t="str">
        <f>IF($I14="","",SUMIFS(Logbook[SeCommandNight],Logbook[[Type]:[Type]],Data!$I14))</f>
        <v/>
      </c>
      <c r="P14" t="str">
        <f>IF($I14="","",SUMIFS(Logbook[MeIcusDay],Logbook[[Type]:[Type]],Data!$I14))</f>
        <v/>
      </c>
      <c r="Q14" t="str">
        <f>IF($I14="","",SUMIFS(Logbook[MeIcusNight],Logbook[[Type]:[Type]],Data!$I14))</f>
        <v/>
      </c>
      <c r="R14" t="str">
        <f>IF($I14="","",SUMIFS(Logbook[MeDualDay],Logbook[[Type]:[Type]],Data!$I14))</f>
        <v/>
      </c>
      <c r="S14" t="str">
        <f>IF($I14="","",SUMIFS(Logbook[MeDualNight],Logbook[[Type]:[Type]],Data!$I14))</f>
        <v/>
      </c>
      <c r="T14" t="str">
        <f>IF($I14="","",SUMIFS(Logbook[MeCommandDay],Logbook[[Type]:[Type]],Data!$I14))</f>
        <v/>
      </c>
      <c r="U14" t="str">
        <f>IF($I14="","",SUMIFS(Logbook[MeCommandNight],Logbook[[Type]:[Type]],Data!$I14))</f>
        <v/>
      </c>
      <c r="V14" t="str">
        <f>IF($I14="","",SUMIFS(Logbook[CopilotDay],Logbook[[Type]:[Type]],Data!$I14))</f>
        <v/>
      </c>
      <c r="W14" t="str">
        <f>IF($I14="","",SUMIFS(Logbook[CopilotNight],Logbook[[Type]:[Type]],Data!$I14))</f>
        <v/>
      </c>
      <c r="X14" t="str">
        <f>IF($I14="","",SUMIFS(Logbook[IfrIf],Logbook[[Type]:[Type]],Data!$I14))</f>
        <v/>
      </c>
      <c r="Y14" t="str">
        <f>IF($I14="","",SUMIFS(Logbook[IfrSim],Logbook[[Type]:[Type]],Data!$I14))</f>
        <v/>
      </c>
      <c r="Z14" s="11" t="str">
        <f t="shared" si="1"/>
        <v/>
      </c>
    </row>
    <row r="15" spans="1:26" x14ac:dyDescent="0.25">
      <c r="C15">
        <f t="shared" ca="1" si="0"/>
        <v>1991</v>
      </c>
      <c r="J15" t="str">
        <f>IF($I15="","",SUMIFS(Logbook[SeIcusDay],Logbook[[Type]:[Type]],Data!$I15))</f>
        <v/>
      </c>
      <c r="K15" t="str">
        <f>IF($I15="","",SUMIFS(Logbook[SeIcusNight],Logbook[[Type]:[Type]],Data!$I15))</f>
        <v/>
      </c>
      <c r="L15" t="str">
        <f>IF($I15="","",SUMIFS(Logbook[SeDualDay],Logbook[[Type]:[Type]],Data!$I15))</f>
        <v/>
      </c>
      <c r="M15" t="str">
        <f>IF($I15="","",SUMIFS(Logbook[SeDualNight],Logbook[[Type]:[Type]],Data!$I15))</f>
        <v/>
      </c>
      <c r="N15" t="str">
        <f>IF($I15="","",SUMIFS(Logbook[SeCommandDay],Logbook[[Type]:[Type]],Data!$I15))</f>
        <v/>
      </c>
      <c r="O15" t="str">
        <f>IF($I15="","",SUMIFS(Logbook[SeCommandNight],Logbook[[Type]:[Type]],Data!$I15))</f>
        <v/>
      </c>
      <c r="P15" t="str">
        <f>IF($I15="","",SUMIFS(Logbook[MeIcusDay],Logbook[[Type]:[Type]],Data!$I15))</f>
        <v/>
      </c>
      <c r="Q15" t="str">
        <f>IF($I15="","",SUMIFS(Logbook[MeIcusNight],Logbook[[Type]:[Type]],Data!$I15))</f>
        <v/>
      </c>
      <c r="R15" t="str">
        <f>IF($I15="","",SUMIFS(Logbook[MeDualDay],Logbook[[Type]:[Type]],Data!$I15))</f>
        <v/>
      </c>
      <c r="S15" t="str">
        <f>IF($I15="","",SUMIFS(Logbook[MeDualNight],Logbook[[Type]:[Type]],Data!$I15))</f>
        <v/>
      </c>
      <c r="T15" t="str">
        <f>IF($I15="","",SUMIFS(Logbook[MeCommandDay],Logbook[[Type]:[Type]],Data!$I15))</f>
        <v/>
      </c>
      <c r="U15" t="str">
        <f>IF($I15="","",SUMIFS(Logbook[MeCommandNight],Logbook[[Type]:[Type]],Data!$I15))</f>
        <v/>
      </c>
      <c r="V15" t="str">
        <f>IF($I15="","",SUMIFS(Logbook[CopilotDay],Logbook[[Type]:[Type]],Data!$I15))</f>
        <v/>
      </c>
      <c r="W15" t="str">
        <f>IF($I15="","",SUMIFS(Logbook[CopilotNight],Logbook[[Type]:[Type]],Data!$I15))</f>
        <v/>
      </c>
      <c r="X15" t="str">
        <f>IF($I15="","",SUMIFS(Logbook[IfrIf],Logbook[[Type]:[Type]],Data!$I15))</f>
        <v/>
      </c>
      <c r="Y15" t="str">
        <f>IF($I15="","",SUMIFS(Logbook[IfrSim],Logbook[[Type]:[Type]],Data!$I15))</f>
        <v/>
      </c>
      <c r="Z15" s="11" t="str">
        <f t="shared" si="1"/>
        <v/>
      </c>
    </row>
    <row r="16" spans="1:26" x14ac:dyDescent="0.25">
      <c r="C16">
        <f t="shared" ca="1" si="0"/>
        <v>1992</v>
      </c>
      <c r="J16" t="str">
        <f>IF($I16="","",SUMIFS(Logbook[SeIcusDay],Logbook[[Type]:[Type]],Data!$I16))</f>
        <v/>
      </c>
      <c r="K16" t="str">
        <f>IF($I16="","",SUMIFS(Logbook[SeIcusNight],Logbook[[Type]:[Type]],Data!$I16))</f>
        <v/>
      </c>
      <c r="L16" t="str">
        <f>IF($I16="","",SUMIFS(Logbook[SeDualDay],Logbook[[Type]:[Type]],Data!$I16))</f>
        <v/>
      </c>
      <c r="M16" t="str">
        <f>IF($I16="","",SUMIFS(Logbook[SeDualNight],Logbook[[Type]:[Type]],Data!$I16))</f>
        <v/>
      </c>
      <c r="N16" t="str">
        <f>IF($I16="","",SUMIFS(Logbook[SeCommandDay],Logbook[[Type]:[Type]],Data!$I16))</f>
        <v/>
      </c>
      <c r="O16" t="str">
        <f>IF($I16="","",SUMIFS(Logbook[SeCommandNight],Logbook[[Type]:[Type]],Data!$I16))</f>
        <v/>
      </c>
      <c r="P16" t="str">
        <f>IF($I16="","",SUMIFS(Logbook[MeIcusDay],Logbook[[Type]:[Type]],Data!$I16))</f>
        <v/>
      </c>
      <c r="Q16" t="str">
        <f>IF($I16="","",SUMIFS(Logbook[MeIcusNight],Logbook[[Type]:[Type]],Data!$I16))</f>
        <v/>
      </c>
      <c r="R16" t="str">
        <f>IF($I16="","",SUMIFS(Logbook[MeDualDay],Logbook[[Type]:[Type]],Data!$I16))</f>
        <v/>
      </c>
      <c r="S16" t="str">
        <f>IF($I16="","",SUMIFS(Logbook[MeDualNight],Logbook[[Type]:[Type]],Data!$I16))</f>
        <v/>
      </c>
      <c r="T16" t="str">
        <f>IF($I16="","",SUMIFS(Logbook[MeCommandDay],Logbook[[Type]:[Type]],Data!$I16))</f>
        <v/>
      </c>
      <c r="U16" t="str">
        <f>IF($I16="","",SUMIFS(Logbook[MeCommandNight],Logbook[[Type]:[Type]],Data!$I16))</f>
        <v/>
      </c>
      <c r="V16" t="str">
        <f>IF($I16="","",SUMIFS(Logbook[CopilotDay],Logbook[[Type]:[Type]],Data!$I16))</f>
        <v/>
      </c>
      <c r="W16" t="str">
        <f>IF($I16="","",SUMIFS(Logbook[CopilotNight],Logbook[[Type]:[Type]],Data!$I16))</f>
        <v/>
      </c>
      <c r="X16" t="str">
        <f>IF($I16="","",SUMIFS(Logbook[IfrIf],Logbook[[Type]:[Type]],Data!$I16))</f>
        <v/>
      </c>
      <c r="Y16" t="str">
        <f>IF($I16="","",SUMIFS(Logbook[IfrSim],Logbook[[Type]:[Type]],Data!$I16))</f>
        <v/>
      </c>
      <c r="Z16" s="11" t="str">
        <f t="shared" si="1"/>
        <v/>
      </c>
    </row>
    <row r="17" spans="3:26" x14ac:dyDescent="0.25">
      <c r="C17">
        <f t="shared" ca="1" si="0"/>
        <v>1993</v>
      </c>
      <c r="J17" t="str">
        <f>IF($I17="","",SUMIFS(Logbook[SeIcusDay],Logbook[[Type]:[Type]],Data!$I17))</f>
        <v/>
      </c>
      <c r="K17" t="str">
        <f>IF($I17="","",SUMIFS(Logbook[SeIcusNight],Logbook[[Type]:[Type]],Data!$I17))</f>
        <v/>
      </c>
      <c r="L17" t="str">
        <f>IF($I17="","",SUMIFS(Logbook[SeDualDay],Logbook[[Type]:[Type]],Data!$I17))</f>
        <v/>
      </c>
      <c r="M17" t="str">
        <f>IF($I17="","",SUMIFS(Logbook[SeDualNight],Logbook[[Type]:[Type]],Data!$I17))</f>
        <v/>
      </c>
      <c r="N17" t="str">
        <f>IF($I17="","",SUMIFS(Logbook[SeCommandDay],Logbook[[Type]:[Type]],Data!$I17))</f>
        <v/>
      </c>
      <c r="O17" t="str">
        <f>IF($I17="","",SUMIFS(Logbook[SeCommandNight],Logbook[[Type]:[Type]],Data!$I17))</f>
        <v/>
      </c>
      <c r="P17" t="str">
        <f>IF($I17="","",SUMIFS(Logbook[MeIcusDay],Logbook[[Type]:[Type]],Data!$I17))</f>
        <v/>
      </c>
      <c r="Q17" t="str">
        <f>IF($I17="","",SUMIFS(Logbook[MeIcusNight],Logbook[[Type]:[Type]],Data!$I17))</f>
        <v/>
      </c>
      <c r="R17" t="str">
        <f>IF($I17="","",SUMIFS(Logbook[MeDualDay],Logbook[[Type]:[Type]],Data!$I17))</f>
        <v/>
      </c>
      <c r="S17" t="str">
        <f>IF($I17="","",SUMIFS(Logbook[MeDualNight],Logbook[[Type]:[Type]],Data!$I17))</f>
        <v/>
      </c>
      <c r="T17" t="str">
        <f>IF($I17="","",SUMIFS(Logbook[MeCommandDay],Logbook[[Type]:[Type]],Data!$I17))</f>
        <v/>
      </c>
      <c r="U17" t="str">
        <f>IF($I17="","",SUMIFS(Logbook[MeCommandNight],Logbook[[Type]:[Type]],Data!$I17))</f>
        <v/>
      </c>
      <c r="V17" t="str">
        <f>IF($I17="","",SUMIFS(Logbook[CopilotDay],Logbook[[Type]:[Type]],Data!$I17))</f>
        <v/>
      </c>
      <c r="W17" t="str">
        <f>IF($I17="","",SUMIFS(Logbook[CopilotNight],Logbook[[Type]:[Type]],Data!$I17))</f>
        <v/>
      </c>
      <c r="X17" t="str">
        <f>IF($I17="","",SUMIFS(Logbook[IfrIf],Logbook[[Type]:[Type]],Data!$I17))</f>
        <v/>
      </c>
      <c r="Y17" t="str">
        <f>IF($I17="","",SUMIFS(Logbook[IfrSim],Logbook[[Type]:[Type]],Data!$I17))</f>
        <v/>
      </c>
      <c r="Z17" s="11" t="str">
        <f t="shared" si="1"/>
        <v/>
      </c>
    </row>
    <row r="18" spans="3:26" x14ac:dyDescent="0.25">
      <c r="C18">
        <f t="shared" ca="1" si="0"/>
        <v>1994</v>
      </c>
      <c r="J18" t="str">
        <f>IF($I18="","",SUMIFS(Logbook[SeIcusDay],Logbook[[Type]:[Type]],Data!$I18))</f>
        <v/>
      </c>
      <c r="K18" t="str">
        <f>IF($I18="","",SUMIFS(Logbook[SeIcusNight],Logbook[[Type]:[Type]],Data!$I18))</f>
        <v/>
      </c>
      <c r="L18" t="str">
        <f>IF($I18="","",SUMIFS(Logbook[SeDualDay],Logbook[[Type]:[Type]],Data!$I18))</f>
        <v/>
      </c>
      <c r="M18" t="str">
        <f>IF($I18="","",SUMIFS(Logbook[SeDualNight],Logbook[[Type]:[Type]],Data!$I18))</f>
        <v/>
      </c>
      <c r="N18" t="str">
        <f>IF($I18="","",SUMIFS(Logbook[SeCommandDay],Logbook[[Type]:[Type]],Data!$I18))</f>
        <v/>
      </c>
      <c r="O18" t="str">
        <f>IF($I18="","",SUMIFS(Logbook[SeCommandNight],Logbook[[Type]:[Type]],Data!$I18))</f>
        <v/>
      </c>
      <c r="P18" t="str">
        <f>IF($I18="","",SUMIFS(Logbook[MeIcusDay],Logbook[[Type]:[Type]],Data!$I18))</f>
        <v/>
      </c>
      <c r="Q18" t="str">
        <f>IF($I18="","",SUMIFS(Logbook[MeIcusNight],Logbook[[Type]:[Type]],Data!$I18))</f>
        <v/>
      </c>
      <c r="R18" t="str">
        <f>IF($I18="","",SUMIFS(Logbook[MeDualDay],Logbook[[Type]:[Type]],Data!$I18))</f>
        <v/>
      </c>
      <c r="S18" t="str">
        <f>IF($I18="","",SUMIFS(Logbook[MeDualNight],Logbook[[Type]:[Type]],Data!$I18))</f>
        <v/>
      </c>
      <c r="T18" t="str">
        <f>IF($I18="","",SUMIFS(Logbook[MeCommandDay],Logbook[[Type]:[Type]],Data!$I18))</f>
        <v/>
      </c>
      <c r="U18" t="str">
        <f>IF($I18="","",SUMIFS(Logbook[MeCommandNight],Logbook[[Type]:[Type]],Data!$I18))</f>
        <v/>
      </c>
      <c r="V18" t="str">
        <f>IF($I18="","",SUMIFS(Logbook[CopilotDay],Logbook[[Type]:[Type]],Data!$I18))</f>
        <v/>
      </c>
      <c r="W18" t="str">
        <f>IF($I18="","",SUMIFS(Logbook[CopilotNight],Logbook[[Type]:[Type]],Data!$I18))</f>
        <v/>
      </c>
      <c r="X18" t="str">
        <f>IF($I18="","",SUMIFS(Logbook[IfrIf],Logbook[[Type]:[Type]],Data!$I18))</f>
        <v/>
      </c>
      <c r="Y18" t="str">
        <f>IF($I18="","",SUMIFS(Logbook[IfrSim],Logbook[[Type]:[Type]],Data!$I18))</f>
        <v/>
      </c>
      <c r="Z18" s="11" t="str">
        <f t="shared" si="1"/>
        <v/>
      </c>
    </row>
    <row r="19" spans="3:26" x14ac:dyDescent="0.25">
      <c r="C19">
        <f t="shared" ca="1" si="0"/>
        <v>1995</v>
      </c>
      <c r="J19" t="str">
        <f>IF($I19="","",SUMIFS(Logbook[SeIcusDay],Logbook[[Type]:[Type]],Data!$I19))</f>
        <v/>
      </c>
      <c r="K19" t="str">
        <f>IF($I19="","",SUMIFS(Logbook[SeIcusNight],Logbook[[Type]:[Type]],Data!$I19))</f>
        <v/>
      </c>
      <c r="L19" t="str">
        <f>IF($I19="","",SUMIFS(Logbook[SeDualDay],Logbook[[Type]:[Type]],Data!$I19))</f>
        <v/>
      </c>
      <c r="M19" t="str">
        <f>IF($I19="","",SUMIFS(Logbook[SeDualNight],Logbook[[Type]:[Type]],Data!$I19))</f>
        <v/>
      </c>
      <c r="N19" t="str">
        <f>IF($I19="","",SUMIFS(Logbook[SeCommandDay],Logbook[[Type]:[Type]],Data!$I19))</f>
        <v/>
      </c>
      <c r="O19" t="str">
        <f>IF($I19="","",SUMIFS(Logbook[SeCommandNight],Logbook[[Type]:[Type]],Data!$I19))</f>
        <v/>
      </c>
      <c r="P19" t="str">
        <f>IF($I19="","",SUMIFS(Logbook[MeIcusDay],Logbook[[Type]:[Type]],Data!$I19))</f>
        <v/>
      </c>
      <c r="Q19" t="str">
        <f>IF($I19="","",SUMIFS(Logbook[MeIcusNight],Logbook[[Type]:[Type]],Data!$I19))</f>
        <v/>
      </c>
      <c r="R19" t="str">
        <f>IF($I19="","",SUMIFS(Logbook[MeDualDay],Logbook[[Type]:[Type]],Data!$I19))</f>
        <v/>
      </c>
      <c r="S19" t="str">
        <f>IF($I19="","",SUMIFS(Logbook[MeDualNight],Logbook[[Type]:[Type]],Data!$I19))</f>
        <v/>
      </c>
      <c r="T19" t="str">
        <f>IF($I19="","",SUMIFS(Logbook[MeCommandDay],Logbook[[Type]:[Type]],Data!$I19))</f>
        <v/>
      </c>
      <c r="U19" t="str">
        <f>IF($I19="","",SUMIFS(Logbook[MeCommandNight],Logbook[[Type]:[Type]],Data!$I19))</f>
        <v/>
      </c>
      <c r="V19" t="str">
        <f>IF($I19="","",SUMIFS(Logbook[CopilotDay],Logbook[[Type]:[Type]],Data!$I19))</f>
        <v/>
      </c>
      <c r="W19" t="str">
        <f>IF($I19="","",SUMIFS(Logbook[CopilotNight],Logbook[[Type]:[Type]],Data!$I19))</f>
        <v/>
      </c>
      <c r="X19" t="str">
        <f>IF($I19="","",SUMIFS(Logbook[IfrIf],Logbook[[Type]:[Type]],Data!$I19))</f>
        <v/>
      </c>
      <c r="Y19" t="str">
        <f>IF($I19="","",SUMIFS(Logbook[IfrSim],Logbook[[Type]:[Type]],Data!$I19))</f>
        <v/>
      </c>
      <c r="Z19" s="11" t="str">
        <f t="shared" si="1"/>
        <v/>
      </c>
    </row>
    <row r="20" spans="3:26" x14ac:dyDescent="0.25">
      <c r="C20">
        <f t="shared" ca="1" si="0"/>
        <v>1996</v>
      </c>
      <c r="J20" t="str">
        <f>IF($I20="","",SUMIFS(Logbook[SeIcusDay],Logbook[[Type]:[Type]],Data!$I20))</f>
        <v/>
      </c>
      <c r="K20" t="str">
        <f>IF($I20="","",SUMIFS(Logbook[SeIcusNight],Logbook[[Type]:[Type]],Data!$I20))</f>
        <v/>
      </c>
      <c r="L20" t="str">
        <f>IF($I20="","",SUMIFS(Logbook[SeDualDay],Logbook[[Type]:[Type]],Data!$I20))</f>
        <v/>
      </c>
      <c r="M20" t="str">
        <f>IF($I20="","",SUMIFS(Logbook[SeDualNight],Logbook[[Type]:[Type]],Data!$I20))</f>
        <v/>
      </c>
      <c r="N20" t="str">
        <f>IF($I20="","",SUMIFS(Logbook[SeCommandDay],Logbook[[Type]:[Type]],Data!$I20))</f>
        <v/>
      </c>
      <c r="O20" t="str">
        <f>IF($I20="","",SUMIFS(Logbook[SeCommandNight],Logbook[[Type]:[Type]],Data!$I20))</f>
        <v/>
      </c>
      <c r="P20" t="str">
        <f>IF($I20="","",SUMIFS(Logbook[MeIcusDay],Logbook[[Type]:[Type]],Data!$I20))</f>
        <v/>
      </c>
      <c r="Q20" t="str">
        <f>IF($I20="","",SUMIFS(Logbook[MeIcusNight],Logbook[[Type]:[Type]],Data!$I20))</f>
        <v/>
      </c>
      <c r="R20" t="str">
        <f>IF($I20="","",SUMIFS(Logbook[MeDualDay],Logbook[[Type]:[Type]],Data!$I20))</f>
        <v/>
      </c>
      <c r="S20" t="str">
        <f>IF($I20="","",SUMIFS(Logbook[MeDualNight],Logbook[[Type]:[Type]],Data!$I20))</f>
        <v/>
      </c>
      <c r="T20" t="str">
        <f>IF($I20="","",SUMIFS(Logbook[MeCommandDay],Logbook[[Type]:[Type]],Data!$I20))</f>
        <v/>
      </c>
      <c r="U20" t="str">
        <f>IF($I20="","",SUMIFS(Logbook[MeCommandNight],Logbook[[Type]:[Type]],Data!$I20))</f>
        <v/>
      </c>
      <c r="V20" t="str">
        <f>IF($I20="","",SUMIFS(Logbook[CopilotDay],Logbook[[Type]:[Type]],Data!$I20))</f>
        <v/>
      </c>
      <c r="W20" t="str">
        <f>IF($I20="","",SUMIFS(Logbook[CopilotNight],Logbook[[Type]:[Type]],Data!$I20))</f>
        <v/>
      </c>
      <c r="X20" t="str">
        <f>IF($I20="","",SUMIFS(Logbook[IfrIf],Logbook[[Type]:[Type]],Data!$I20))</f>
        <v/>
      </c>
      <c r="Y20" t="str">
        <f>IF($I20="","",SUMIFS(Logbook[IfrSim],Logbook[[Type]:[Type]],Data!$I20))</f>
        <v/>
      </c>
      <c r="Z20" s="11" t="str">
        <f t="shared" si="1"/>
        <v/>
      </c>
    </row>
    <row r="21" spans="3:26" x14ac:dyDescent="0.25">
      <c r="C21">
        <f t="shared" ca="1" si="0"/>
        <v>1997</v>
      </c>
      <c r="J21" t="str">
        <f>IF($I21="","",SUMIFS(Logbook[SeIcusDay],Logbook[[Type]:[Type]],Data!$I21))</f>
        <v/>
      </c>
      <c r="K21" t="str">
        <f>IF($I21="","",SUMIFS(Logbook[SeIcusNight],Logbook[[Type]:[Type]],Data!$I21))</f>
        <v/>
      </c>
      <c r="L21" t="str">
        <f>IF($I21="","",SUMIFS(Logbook[SeDualDay],Logbook[[Type]:[Type]],Data!$I21))</f>
        <v/>
      </c>
      <c r="M21" t="str">
        <f>IF($I21="","",SUMIFS(Logbook[SeDualNight],Logbook[[Type]:[Type]],Data!$I21))</f>
        <v/>
      </c>
      <c r="N21" t="str">
        <f>IF($I21="","",SUMIFS(Logbook[SeCommandDay],Logbook[[Type]:[Type]],Data!$I21))</f>
        <v/>
      </c>
      <c r="O21" t="str">
        <f>IF($I21="","",SUMIFS(Logbook[SeCommandNight],Logbook[[Type]:[Type]],Data!$I21))</f>
        <v/>
      </c>
      <c r="P21" t="str">
        <f>IF($I21="","",SUMIFS(Logbook[MeIcusDay],Logbook[[Type]:[Type]],Data!$I21))</f>
        <v/>
      </c>
      <c r="Q21" t="str">
        <f>IF($I21="","",SUMIFS(Logbook[MeIcusNight],Logbook[[Type]:[Type]],Data!$I21))</f>
        <v/>
      </c>
      <c r="R21" t="str">
        <f>IF($I21="","",SUMIFS(Logbook[MeDualDay],Logbook[[Type]:[Type]],Data!$I21))</f>
        <v/>
      </c>
      <c r="S21" t="str">
        <f>IF($I21="","",SUMIFS(Logbook[MeDualNight],Logbook[[Type]:[Type]],Data!$I21))</f>
        <v/>
      </c>
      <c r="T21" t="str">
        <f>IF($I21="","",SUMIFS(Logbook[MeCommandDay],Logbook[[Type]:[Type]],Data!$I21))</f>
        <v/>
      </c>
      <c r="U21" t="str">
        <f>IF($I21="","",SUMIFS(Logbook[MeCommandNight],Logbook[[Type]:[Type]],Data!$I21))</f>
        <v/>
      </c>
      <c r="V21" t="str">
        <f>IF($I21="","",SUMIFS(Logbook[CopilotDay],Logbook[[Type]:[Type]],Data!$I21))</f>
        <v/>
      </c>
      <c r="W21" t="str">
        <f>IF($I21="","",SUMIFS(Logbook[CopilotNight],Logbook[[Type]:[Type]],Data!$I21))</f>
        <v/>
      </c>
      <c r="X21" t="str">
        <f>IF($I21="","",SUMIFS(Logbook[IfrIf],Logbook[[Type]:[Type]],Data!$I21))</f>
        <v/>
      </c>
      <c r="Y21" t="str">
        <f>IF($I21="","",SUMIFS(Logbook[IfrSim],Logbook[[Type]:[Type]],Data!$I21))</f>
        <v/>
      </c>
      <c r="Z21" s="11" t="str">
        <f t="shared" si="1"/>
        <v/>
      </c>
    </row>
    <row r="22" spans="3:26" x14ac:dyDescent="0.25">
      <c r="C22">
        <f t="shared" ca="1" si="0"/>
        <v>1998</v>
      </c>
      <c r="J22" t="str">
        <f>IF($I22="","",SUMIFS(Logbook[SeIcusDay],Logbook[[Type]:[Type]],Data!$I22))</f>
        <v/>
      </c>
      <c r="K22" t="str">
        <f>IF($I22="","",SUMIFS(Logbook[SeIcusNight],Logbook[[Type]:[Type]],Data!$I22))</f>
        <v/>
      </c>
      <c r="L22" t="str">
        <f>IF($I22="","",SUMIFS(Logbook[SeDualDay],Logbook[[Type]:[Type]],Data!$I22))</f>
        <v/>
      </c>
      <c r="M22" t="str">
        <f>IF($I22="","",SUMIFS(Logbook[SeDualNight],Logbook[[Type]:[Type]],Data!$I22))</f>
        <v/>
      </c>
      <c r="N22" t="str">
        <f>IF($I22="","",SUMIFS(Logbook[SeCommandDay],Logbook[[Type]:[Type]],Data!$I22))</f>
        <v/>
      </c>
      <c r="O22" t="str">
        <f>IF($I22="","",SUMIFS(Logbook[SeCommandNight],Logbook[[Type]:[Type]],Data!$I22))</f>
        <v/>
      </c>
      <c r="P22" t="str">
        <f>IF($I22="","",SUMIFS(Logbook[MeIcusDay],Logbook[[Type]:[Type]],Data!$I22))</f>
        <v/>
      </c>
      <c r="Q22" t="str">
        <f>IF($I22="","",SUMIFS(Logbook[MeIcusNight],Logbook[[Type]:[Type]],Data!$I22))</f>
        <v/>
      </c>
      <c r="R22" t="str">
        <f>IF($I22="","",SUMIFS(Logbook[MeDualDay],Logbook[[Type]:[Type]],Data!$I22))</f>
        <v/>
      </c>
      <c r="S22" t="str">
        <f>IF($I22="","",SUMIFS(Logbook[MeDualNight],Logbook[[Type]:[Type]],Data!$I22))</f>
        <v/>
      </c>
      <c r="T22" t="str">
        <f>IF($I22="","",SUMIFS(Logbook[MeCommandDay],Logbook[[Type]:[Type]],Data!$I22))</f>
        <v/>
      </c>
      <c r="U22" t="str">
        <f>IF($I22="","",SUMIFS(Logbook[MeCommandNight],Logbook[[Type]:[Type]],Data!$I22))</f>
        <v/>
      </c>
      <c r="V22" t="str">
        <f>IF($I22="","",SUMIFS(Logbook[CopilotDay],Logbook[[Type]:[Type]],Data!$I22))</f>
        <v/>
      </c>
      <c r="W22" t="str">
        <f>IF($I22="","",SUMIFS(Logbook[CopilotNight],Logbook[[Type]:[Type]],Data!$I22))</f>
        <v/>
      </c>
      <c r="X22" t="str">
        <f>IF($I22="","",SUMIFS(Logbook[IfrIf],Logbook[[Type]:[Type]],Data!$I22))</f>
        <v/>
      </c>
      <c r="Y22" t="str">
        <f>IF($I22="","",SUMIFS(Logbook[IfrSim],Logbook[[Type]:[Type]],Data!$I22))</f>
        <v/>
      </c>
      <c r="Z22" s="11" t="str">
        <f t="shared" si="1"/>
        <v/>
      </c>
    </row>
    <row r="23" spans="3:26" x14ac:dyDescent="0.25">
      <c r="C23">
        <f t="shared" ca="1" si="0"/>
        <v>1999</v>
      </c>
      <c r="J23" t="str">
        <f>IF($I23="","",SUMIFS(Logbook[SeIcusDay],Logbook[[Type]:[Type]],Data!$I23))</f>
        <v/>
      </c>
      <c r="K23" t="str">
        <f>IF($I23="","",SUMIFS(Logbook[SeIcusNight],Logbook[[Type]:[Type]],Data!$I23))</f>
        <v/>
      </c>
      <c r="L23" t="str">
        <f>IF($I23="","",SUMIFS(Logbook[SeDualDay],Logbook[[Type]:[Type]],Data!$I23))</f>
        <v/>
      </c>
      <c r="M23" t="str">
        <f>IF($I23="","",SUMIFS(Logbook[SeDualNight],Logbook[[Type]:[Type]],Data!$I23))</f>
        <v/>
      </c>
      <c r="N23" t="str">
        <f>IF($I23="","",SUMIFS(Logbook[SeCommandDay],Logbook[[Type]:[Type]],Data!$I23))</f>
        <v/>
      </c>
      <c r="O23" t="str">
        <f>IF($I23="","",SUMIFS(Logbook[SeCommandNight],Logbook[[Type]:[Type]],Data!$I23))</f>
        <v/>
      </c>
      <c r="P23" t="str">
        <f>IF($I23="","",SUMIFS(Logbook[MeIcusDay],Logbook[[Type]:[Type]],Data!$I23))</f>
        <v/>
      </c>
      <c r="Q23" t="str">
        <f>IF($I23="","",SUMIFS(Logbook[MeIcusNight],Logbook[[Type]:[Type]],Data!$I23))</f>
        <v/>
      </c>
      <c r="R23" t="str">
        <f>IF($I23="","",SUMIFS(Logbook[MeDualDay],Logbook[[Type]:[Type]],Data!$I23))</f>
        <v/>
      </c>
      <c r="S23" t="str">
        <f>IF($I23="","",SUMIFS(Logbook[MeDualNight],Logbook[[Type]:[Type]],Data!$I23))</f>
        <v/>
      </c>
      <c r="T23" t="str">
        <f>IF($I23="","",SUMIFS(Logbook[MeCommandDay],Logbook[[Type]:[Type]],Data!$I23))</f>
        <v/>
      </c>
      <c r="U23" t="str">
        <f>IF($I23="","",SUMIFS(Logbook[MeCommandNight],Logbook[[Type]:[Type]],Data!$I23))</f>
        <v/>
      </c>
      <c r="V23" t="str">
        <f>IF($I23="","",SUMIFS(Logbook[CopilotDay],Logbook[[Type]:[Type]],Data!$I23))</f>
        <v/>
      </c>
      <c r="W23" t="str">
        <f>IF($I23="","",SUMIFS(Logbook[CopilotNight],Logbook[[Type]:[Type]],Data!$I23))</f>
        <v/>
      </c>
      <c r="X23" t="str">
        <f>IF($I23="","",SUMIFS(Logbook[IfrIf],Logbook[[Type]:[Type]],Data!$I23))</f>
        <v/>
      </c>
      <c r="Y23" t="str">
        <f>IF($I23="","",SUMIFS(Logbook[IfrSim],Logbook[[Type]:[Type]],Data!$I23))</f>
        <v/>
      </c>
      <c r="Z23" s="11" t="str">
        <f t="shared" si="1"/>
        <v/>
      </c>
    </row>
    <row r="24" spans="3:26" x14ac:dyDescent="0.25">
      <c r="C24">
        <f t="shared" ca="1" si="0"/>
        <v>2000</v>
      </c>
      <c r="J24" t="str">
        <f>IF($I24="","",SUMIFS(Logbook[SeIcusDay],Logbook[[Type]:[Type]],Data!$I24))</f>
        <v/>
      </c>
      <c r="K24" t="str">
        <f>IF($I24="","",SUMIFS(Logbook[SeIcusNight],Logbook[[Type]:[Type]],Data!$I24))</f>
        <v/>
      </c>
      <c r="L24" t="str">
        <f>IF($I24="","",SUMIFS(Logbook[SeDualDay],Logbook[[Type]:[Type]],Data!$I24))</f>
        <v/>
      </c>
      <c r="M24" t="str">
        <f>IF($I24="","",SUMIFS(Logbook[SeDualNight],Logbook[[Type]:[Type]],Data!$I24))</f>
        <v/>
      </c>
      <c r="N24" t="str">
        <f>IF($I24="","",SUMIFS(Logbook[SeCommandDay],Logbook[[Type]:[Type]],Data!$I24))</f>
        <v/>
      </c>
      <c r="O24" t="str">
        <f>IF($I24="","",SUMIFS(Logbook[SeCommandNight],Logbook[[Type]:[Type]],Data!$I24))</f>
        <v/>
      </c>
      <c r="P24" t="str">
        <f>IF($I24="","",SUMIFS(Logbook[MeIcusDay],Logbook[[Type]:[Type]],Data!$I24))</f>
        <v/>
      </c>
      <c r="Q24" t="str">
        <f>IF($I24="","",SUMIFS(Logbook[MeIcusNight],Logbook[[Type]:[Type]],Data!$I24))</f>
        <v/>
      </c>
      <c r="R24" t="str">
        <f>IF($I24="","",SUMIFS(Logbook[MeDualDay],Logbook[[Type]:[Type]],Data!$I24))</f>
        <v/>
      </c>
      <c r="S24" t="str">
        <f>IF($I24="","",SUMIFS(Logbook[MeDualNight],Logbook[[Type]:[Type]],Data!$I24))</f>
        <v/>
      </c>
      <c r="T24" t="str">
        <f>IF($I24="","",SUMIFS(Logbook[MeCommandDay],Logbook[[Type]:[Type]],Data!$I24))</f>
        <v/>
      </c>
      <c r="U24" t="str">
        <f>IF($I24="","",SUMIFS(Logbook[MeCommandNight],Logbook[[Type]:[Type]],Data!$I24))</f>
        <v/>
      </c>
      <c r="V24" t="str">
        <f>IF($I24="","",SUMIFS(Logbook[CopilotDay],Logbook[[Type]:[Type]],Data!$I24))</f>
        <v/>
      </c>
      <c r="W24" t="str">
        <f>IF($I24="","",SUMIFS(Logbook[CopilotNight],Logbook[[Type]:[Type]],Data!$I24))</f>
        <v/>
      </c>
      <c r="X24" t="str">
        <f>IF($I24="","",SUMIFS(Logbook[IfrIf],Logbook[[Type]:[Type]],Data!$I24))</f>
        <v/>
      </c>
      <c r="Y24" t="str">
        <f>IF($I24="","",SUMIFS(Logbook[IfrSim],Logbook[[Type]:[Type]],Data!$I24))</f>
        <v/>
      </c>
      <c r="Z24" s="11" t="str">
        <f t="shared" si="1"/>
        <v/>
      </c>
    </row>
    <row r="25" spans="3:26" x14ac:dyDescent="0.25">
      <c r="C25">
        <f t="shared" ca="1" si="0"/>
        <v>2001</v>
      </c>
      <c r="J25" t="str">
        <f>IF($I25="","",SUMIFS(Logbook[SeIcusDay],Logbook[[Type]:[Type]],Data!$I25))</f>
        <v/>
      </c>
      <c r="K25" t="str">
        <f>IF($I25="","",SUMIFS(Logbook[SeIcusNight],Logbook[[Type]:[Type]],Data!$I25))</f>
        <v/>
      </c>
      <c r="L25" t="str">
        <f>IF($I25="","",SUMIFS(Logbook[SeDualDay],Logbook[[Type]:[Type]],Data!$I25))</f>
        <v/>
      </c>
      <c r="M25" t="str">
        <f>IF($I25="","",SUMIFS(Logbook[SeDualNight],Logbook[[Type]:[Type]],Data!$I25))</f>
        <v/>
      </c>
      <c r="N25" t="str">
        <f>IF($I25="","",SUMIFS(Logbook[SeCommandDay],Logbook[[Type]:[Type]],Data!$I25))</f>
        <v/>
      </c>
      <c r="O25" t="str">
        <f>IF($I25="","",SUMIFS(Logbook[SeCommandNight],Logbook[[Type]:[Type]],Data!$I25))</f>
        <v/>
      </c>
      <c r="P25" t="str">
        <f>IF($I25="","",SUMIFS(Logbook[MeIcusDay],Logbook[[Type]:[Type]],Data!$I25))</f>
        <v/>
      </c>
      <c r="Q25" t="str">
        <f>IF($I25="","",SUMIFS(Logbook[MeIcusNight],Logbook[[Type]:[Type]],Data!$I25))</f>
        <v/>
      </c>
      <c r="R25" t="str">
        <f>IF($I25="","",SUMIFS(Logbook[MeDualDay],Logbook[[Type]:[Type]],Data!$I25))</f>
        <v/>
      </c>
      <c r="S25" t="str">
        <f>IF($I25="","",SUMIFS(Logbook[MeDualNight],Logbook[[Type]:[Type]],Data!$I25))</f>
        <v/>
      </c>
      <c r="T25" t="str">
        <f>IF($I25="","",SUMIFS(Logbook[MeCommandDay],Logbook[[Type]:[Type]],Data!$I25))</f>
        <v/>
      </c>
      <c r="U25" t="str">
        <f>IF($I25="","",SUMIFS(Logbook[MeCommandNight],Logbook[[Type]:[Type]],Data!$I25))</f>
        <v/>
      </c>
      <c r="V25" t="str">
        <f>IF($I25="","",SUMIFS(Logbook[CopilotDay],Logbook[[Type]:[Type]],Data!$I25))</f>
        <v/>
      </c>
      <c r="W25" t="str">
        <f>IF($I25="","",SUMIFS(Logbook[CopilotNight],Logbook[[Type]:[Type]],Data!$I25))</f>
        <v/>
      </c>
      <c r="X25" t="str">
        <f>IF($I25="","",SUMIFS(Logbook[IfrIf],Logbook[[Type]:[Type]],Data!$I25))</f>
        <v/>
      </c>
      <c r="Y25" t="str">
        <f>IF($I25="","",SUMIFS(Logbook[IfrSim],Logbook[[Type]:[Type]],Data!$I25))</f>
        <v/>
      </c>
      <c r="Z25" s="11" t="str">
        <f t="shared" si="1"/>
        <v/>
      </c>
    </row>
    <row r="26" spans="3:26" x14ac:dyDescent="0.25">
      <c r="C26">
        <f t="shared" ca="1" si="0"/>
        <v>2002</v>
      </c>
      <c r="J26" t="str">
        <f>IF($I26="","",SUMIFS(Logbook[SeIcusDay],Logbook[[Type]:[Type]],Data!$I26))</f>
        <v/>
      </c>
      <c r="K26" t="str">
        <f>IF($I26="","",SUMIFS(Logbook[SeIcusNight],Logbook[[Type]:[Type]],Data!$I26))</f>
        <v/>
      </c>
      <c r="L26" t="str">
        <f>IF($I26="","",SUMIFS(Logbook[SeDualDay],Logbook[[Type]:[Type]],Data!$I26))</f>
        <v/>
      </c>
      <c r="M26" t="str">
        <f>IF($I26="","",SUMIFS(Logbook[SeDualNight],Logbook[[Type]:[Type]],Data!$I26))</f>
        <v/>
      </c>
      <c r="N26" t="str">
        <f>IF($I26="","",SUMIFS(Logbook[SeCommandDay],Logbook[[Type]:[Type]],Data!$I26))</f>
        <v/>
      </c>
      <c r="O26" t="str">
        <f>IF($I26="","",SUMIFS(Logbook[SeCommandNight],Logbook[[Type]:[Type]],Data!$I26))</f>
        <v/>
      </c>
      <c r="P26" t="str">
        <f>IF($I26="","",SUMIFS(Logbook[MeIcusDay],Logbook[[Type]:[Type]],Data!$I26))</f>
        <v/>
      </c>
      <c r="Q26" t="str">
        <f>IF($I26="","",SUMIFS(Logbook[MeIcusNight],Logbook[[Type]:[Type]],Data!$I26))</f>
        <v/>
      </c>
      <c r="R26" t="str">
        <f>IF($I26="","",SUMIFS(Logbook[MeDualDay],Logbook[[Type]:[Type]],Data!$I26))</f>
        <v/>
      </c>
      <c r="S26" t="str">
        <f>IF($I26="","",SUMIFS(Logbook[MeDualNight],Logbook[[Type]:[Type]],Data!$I26))</f>
        <v/>
      </c>
      <c r="T26" t="str">
        <f>IF($I26="","",SUMIFS(Logbook[MeCommandDay],Logbook[[Type]:[Type]],Data!$I26))</f>
        <v/>
      </c>
      <c r="U26" t="str">
        <f>IF($I26="","",SUMIFS(Logbook[MeCommandNight],Logbook[[Type]:[Type]],Data!$I26))</f>
        <v/>
      </c>
      <c r="V26" t="str">
        <f>IF($I26="","",SUMIFS(Logbook[CopilotDay],Logbook[[Type]:[Type]],Data!$I26))</f>
        <v/>
      </c>
      <c r="W26" t="str">
        <f>IF($I26="","",SUMIFS(Logbook[CopilotNight],Logbook[[Type]:[Type]],Data!$I26))</f>
        <v/>
      </c>
      <c r="X26" t="str">
        <f>IF($I26="","",SUMIFS(Logbook[IfrIf],Logbook[[Type]:[Type]],Data!$I26))</f>
        <v/>
      </c>
      <c r="Y26" t="str">
        <f>IF($I26="","",SUMIFS(Logbook[IfrSim],Logbook[[Type]:[Type]],Data!$I26))</f>
        <v/>
      </c>
      <c r="Z26" s="11" t="str">
        <f t="shared" si="1"/>
        <v/>
      </c>
    </row>
    <row r="27" spans="3:26" x14ac:dyDescent="0.25">
      <c r="C27">
        <f t="shared" ca="1" si="0"/>
        <v>2003</v>
      </c>
      <c r="J27" t="str">
        <f>IF($I27="","",SUMIFS(Logbook[SeIcusDay],Logbook[[Type]:[Type]],Data!$I27))</f>
        <v/>
      </c>
      <c r="K27" t="str">
        <f>IF($I27="","",SUMIFS(Logbook[SeIcusNight],Logbook[[Type]:[Type]],Data!$I27))</f>
        <v/>
      </c>
      <c r="L27" t="str">
        <f>IF($I27="","",SUMIFS(Logbook[SeDualDay],Logbook[[Type]:[Type]],Data!$I27))</f>
        <v/>
      </c>
      <c r="M27" t="str">
        <f>IF($I27="","",SUMIFS(Logbook[SeDualNight],Logbook[[Type]:[Type]],Data!$I27))</f>
        <v/>
      </c>
      <c r="N27" t="str">
        <f>IF($I27="","",SUMIFS(Logbook[SeCommandDay],Logbook[[Type]:[Type]],Data!$I27))</f>
        <v/>
      </c>
      <c r="O27" t="str">
        <f>IF($I27="","",SUMIFS(Logbook[SeCommandNight],Logbook[[Type]:[Type]],Data!$I27))</f>
        <v/>
      </c>
      <c r="P27" t="str">
        <f>IF($I27="","",SUMIFS(Logbook[MeIcusDay],Logbook[[Type]:[Type]],Data!$I27))</f>
        <v/>
      </c>
      <c r="Q27" t="str">
        <f>IF($I27="","",SUMIFS(Logbook[MeIcusNight],Logbook[[Type]:[Type]],Data!$I27))</f>
        <v/>
      </c>
      <c r="R27" t="str">
        <f>IF($I27="","",SUMIFS(Logbook[MeDualDay],Logbook[[Type]:[Type]],Data!$I27))</f>
        <v/>
      </c>
      <c r="S27" t="str">
        <f>IF($I27="","",SUMIFS(Logbook[MeDualNight],Logbook[[Type]:[Type]],Data!$I27))</f>
        <v/>
      </c>
      <c r="T27" t="str">
        <f>IF($I27="","",SUMIFS(Logbook[MeCommandDay],Logbook[[Type]:[Type]],Data!$I27))</f>
        <v/>
      </c>
      <c r="U27" t="str">
        <f>IF($I27="","",SUMIFS(Logbook[MeCommandNight],Logbook[[Type]:[Type]],Data!$I27))</f>
        <v/>
      </c>
      <c r="V27" t="str">
        <f>IF($I27="","",SUMIFS(Logbook[CopilotDay],Logbook[[Type]:[Type]],Data!$I27))</f>
        <v/>
      </c>
      <c r="W27" t="str">
        <f>IF($I27="","",SUMIFS(Logbook[CopilotNight],Logbook[[Type]:[Type]],Data!$I27))</f>
        <v/>
      </c>
      <c r="X27" t="str">
        <f>IF($I27="","",SUMIFS(Logbook[IfrIf],Logbook[[Type]:[Type]],Data!$I27))</f>
        <v/>
      </c>
      <c r="Y27" t="str">
        <f>IF($I27="","",SUMIFS(Logbook[IfrSim],Logbook[[Type]:[Type]],Data!$I27))</f>
        <v/>
      </c>
      <c r="Z27" s="11" t="str">
        <f t="shared" si="1"/>
        <v/>
      </c>
    </row>
    <row r="28" spans="3:26" x14ac:dyDescent="0.25">
      <c r="C28">
        <f t="shared" ca="1" si="0"/>
        <v>2004</v>
      </c>
      <c r="J28" t="str">
        <f>IF($I28="","",SUMIFS(Logbook[SeIcusDay],Logbook[[Type]:[Type]],Data!$I28))</f>
        <v/>
      </c>
      <c r="K28" t="str">
        <f>IF($I28="","",SUMIFS(Logbook[SeIcusNight],Logbook[[Type]:[Type]],Data!$I28))</f>
        <v/>
      </c>
      <c r="L28" t="str">
        <f>IF($I28="","",SUMIFS(Logbook[SeDualDay],Logbook[[Type]:[Type]],Data!$I28))</f>
        <v/>
      </c>
      <c r="M28" t="str">
        <f>IF($I28="","",SUMIFS(Logbook[SeDualNight],Logbook[[Type]:[Type]],Data!$I28))</f>
        <v/>
      </c>
      <c r="N28" t="str">
        <f>IF($I28="","",SUMIFS(Logbook[SeCommandDay],Logbook[[Type]:[Type]],Data!$I28))</f>
        <v/>
      </c>
      <c r="O28" t="str">
        <f>IF($I28="","",SUMIFS(Logbook[SeCommandNight],Logbook[[Type]:[Type]],Data!$I28))</f>
        <v/>
      </c>
      <c r="P28" t="str">
        <f>IF($I28="","",SUMIFS(Logbook[MeIcusDay],Logbook[[Type]:[Type]],Data!$I28))</f>
        <v/>
      </c>
      <c r="Q28" t="str">
        <f>IF($I28="","",SUMIFS(Logbook[MeIcusNight],Logbook[[Type]:[Type]],Data!$I28))</f>
        <v/>
      </c>
      <c r="R28" t="str">
        <f>IF($I28="","",SUMIFS(Logbook[MeDualDay],Logbook[[Type]:[Type]],Data!$I28))</f>
        <v/>
      </c>
      <c r="S28" t="str">
        <f>IF($I28="","",SUMIFS(Logbook[MeDualNight],Logbook[[Type]:[Type]],Data!$I28))</f>
        <v/>
      </c>
      <c r="T28" t="str">
        <f>IF($I28="","",SUMIFS(Logbook[MeCommandDay],Logbook[[Type]:[Type]],Data!$I28))</f>
        <v/>
      </c>
      <c r="U28" t="str">
        <f>IF($I28="","",SUMIFS(Logbook[MeCommandNight],Logbook[[Type]:[Type]],Data!$I28))</f>
        <v/>
      </c>
      <c r="V28" t="str">
        <f>IF($I28="","",SUMIFS(Logbook[CopilotDay],Logbook[[Type]:[Type]],Data!$I28))</f>
        <v/>
      </c>
      <c r="W28" t="str">
        <f>IF($I28="","",SUMIFS(Logbook[CopilotNight],Logbook[[Type]:[Type]],Data!$I28))</f>
        <v/>
      </c>
      <c r="X28" t="str">
        <f>IF($I28="","",SUMIFS(Logbook[IfrIf],Logbook[[Type]:[Type]],Data!$I28))</f>
        <v/>
      </c>
      <c r="Y28" t="str">
        <f>IF($I28="","",SUMIFS(Logbook[IfrSim],Logbook[[Type]:[Type]],Data!$I28))</f>
        <v/>
      </c>
      <c r="Z28" s="11" t="str">
        <f t="shared" si="1"/>
        <v/>
      </c>
    </row>
    <row r="29" spans="3:26" x14ac:dyDescent="0.25">
      <c r="C29">
        <f t="shared" ca="1" si="0"/>
        <v>2005</v>
      </c>
      <c r="J29" t="str">
        <f>IF($I29="","",SUMIFS(Logbook[SeIcusDay],Logbook[[Type]:[Type]],Data!$I29))</f>
        <v/>
      </c>
      <c r="K29" t="str">
        <f>IF($I29="","",SUMIFS(Logbook[SeIcusNight],Logbook[[Type]:[Type]],Data!$I29))</f>
        <v/>
      </c>
      <c r="L29" t="str">
        <f>IF($I29="","",SUMIFS(Logbook[SeDualDay],Logbook[[Type]:[Type]],Data!$I29))</f>
        <v/>
      </c>
      <c r="M29" t="str">
        <f>IF($I29="","",SUMIFS(Logbook[SeDualNight],Logbook[[Type]:[Type]],Data!$I29))</f>
        <v/>
      </c>
      <c r="N29" t="str">
        <f>IF($I29="","",SUMIFS(Logbook[SeCommandDay],Logbook[[Type]:[Type]],Data!$I29))</f>
        <v/>
      </c>
      <c r="O29" t="str">
        <f>IF($I29="","",SUMIFS(Logbook[SeCommandNight],Logbook[[Type]:[Type]],Data!$I29))</f>
        <v/>
      </c>
      <c r="P29" t="str">
        <f>IF($I29="","",SUMIFS(Logbook[MeIcusDay],Logbook[[Type]:[Type]],Data!$I29))</f>
        <v/>
      </c>
      <c r="Q29" t="str">
        <f>IF($I29="","",SUMIFS(Logbook[MeIcusNight],Logbook[[Type]:[Type]],Data!$I29))</f>
        <v/>
      </c>
      <c r="R29" t="str">
        <f>IF($I29="","",SUMIFS(Logbook[MeDualDay],Logbook[[Type]:[Type]],Data!$I29))</f>
        <v/>
      </c>
      <c r="S29" t="str">
        <f>IF($I29="","",SUMIFS(Logbook[MeDualNight],Logbook[[Type]:[Type]],Data!$I29))</f>
        <v/>
      </c>
      <c r="T29" t="str">
        <f>IF($I29="","",SUMIFS(Logbook[MeCommandDay],Logbook[[Type]:[Type]],Data!$I29))</f>
        <v/>
      </c>
      <c r="U29" t="str">
        <f>IF($I29="","",SUMIFS(Logbook[MeCommandNight],Logbook[[Type]:[Type]],Data!$I29))</f>
        <v/>
      </c>
      <c r="V29" t="str">
        <f>IF($I29="","",SUMIFS(Logbook[CopilotDay],Logbook[[Type]:[Type]],Data!$I29))</f>
        <v/>
      </c>
      <c r="W29" t="str">
        <f>IF($I29="","",SUMIFS(Logbook[CopilotNight],Logbook[[Type]:[Type]],Data!$I29))</f>
        <v/>
      </c>
      <c r="X29" t="str">
        <f>IF($I29="","",SUMIFS(Logbook[IfrIf],Logbook[[Type]:[Type]],Data!$I29))</f>
        <v/>
      </c>
      <c r="Y29" t="str">
        <f>IF($I29="","",SUMIFS(Logbook[IfrSim],Logbook[[Type]:[Type]],Data!$I29))</f>
        <v/>
      </c>
      <c r="Z29" s="11" t="str">
        <f t="shared" si="1"/>
        <v/>
      </c>
    </row>
    <row r="30" spans="3:26" x14ac:dyDescent="0.25">
      <c r="C30">
        <f t="shared" ca="1" si="0"/>
        <v>2006</v>
      </c>
      <c r="J30" t="str">
        <f>IF($I30="","",SUMIFS(Logbook[SeIcusDay],Logbook[[Type]:[Type]],Data!$I30))</f>
        <v/>
      </c>
      <c r="K30" t="str">
        <f>IF($I30="","",SUMIFS(Logbook[SeIcusNight],Logbook[[Type]:[Type]],Data!$I30))</f>
        <v/>
      </c>
      <c r="L30" t="str">
        <f>IF($I30="","",SUMIFS(Logbook[SeDualDay],Logbook[[Type]:[Type]],Data!$I30))</f>
        <v/>
      </c>
      <c r="M30" t="str">
        <f>IF($I30="","",SUMIFS(Logbook[SeDualNight],Logbook[[Type]:[Type]],Data!$I30))</f>
        <v/>
      </c>
      <c r="N30" t="str">
        <f>IF($I30="","",SUMIFS(Logbook[SeCommandDay],Logbook[[Type]:[Type]],Data!$I30))</f>
        <v/>
      </c>
      <c r="O30" t="str">
        <f>IF($I30="","",SUMIFS(Logbook[SeCommandNight],Logbook[[Type]:[Type]],Data!$I30))</f>
        <v/>
      </c>
      <c r="P30" t="str">
        <f>IF($I30="","",SUMIFS(Logbook[MeIcusDay],Logbook[[Type]:[Type]],Data!$I30))</f>
        <v/>
      </c>
      <c r="Q30" t="str">
        <f>IF($I30="","",SUMIFS(Logbook[MeIcusNight],Logbook[[Type]:[Type]],Data!$I30))</f>
        <v/>
      </c>
      <c r="R30" t="str">
        <f>IF($I30="","",SUMIFS(Logbook[MeDualDay],Logbook[[Type]:[Type]],Data!$I30))</f>
        <v/>
      </c>
      <c r="S30" t="str">
        <f>IF($I30="","",SUMIFS(Logbook[MeDualNight],Logbook[[Type]:[Type]],Data!$I30))</f>
        <v/>
      </c>
      <c r="T30" t="str">
        <f>IF($I30="","",SUMIFS(Logbook[MeCommandDay],Logbook[[Type]:[Type]],Data!$I30))</f>
        <v/>
      </c>
      <c r="U30" t="str">
        <f>IF($I30="","",SUMIFS(Logbook[MeCommandNight],Logbook[[Type]:[Type]],Data!$I30))</f>
        <v/>
      </c>
      <c r="V30" t="str">
        <f>IF($I30="","",SUMIFS(Logbook[CopilotDay],Logbook[[Type]:[Type]],Data!$I30))</f>
        <v/>
      </c>
      <c r="W30" t="str">
        <f>IF($I30="","",SUMIFS(Logbook[CopilotNight],Logbook[[Type]:[Type]],Data!$I30))</f>
        <v/>
      </c>
      <c r="X30" t="str">
        <f>IF($I30="","",SUMIFS(Logbook[IfrIf],Logbook[[Type]:[Type]],Data!$I30))</f>
        <v/>
      </c>
      <c r="Y30" t="str">
        <f>IF($I30="","",SUMIFS(Logbook[IfrSim],Logbook[[Type]:[Type]],Data!$I30))</f>
        <v/>
      </c>
      <c r="Z30" s="11" t="str">
        <f t="shared" si="1"/>
        <v/>
      </c>
    </row>
    <row r="31" spans="3:26" x14ac:dyDescent="0.25">
      <c r="C31">
        <f t="shared" ca="1" si="0"/>
        <v>2007</v>
      </c>
    </row>
    <row r="32" spans="3:26" x14ac:dyDescent="0.25">
      <c r="C32">
        <f t="shared" ca="1" si="0"/>
        <v>2008</v>
      </c>
    </row>
    <row r="33" spans="3:20" x14ac:dyDescent="0.25">
      <c r="C33">
        <f t="shared" ca="1" si="0"/>
        <v>2009</v>
      </c>
    </row>
    <row r="34" spans="3:20" x14ac:dyDescent="0.25">
      <c r="C34">
        <f t="shared" ca="1" si="0"/>
        <v>2010</v>
      </c>
    </row>
    <row r="35" spans="3:20" x14ac:dyDescent="0.25">
      <c r="C35">
        <f t="shared" ca="1" si="0"/>
        <v>2011</v>
      </c>
    </row>
    <row r="36" spans="3:20" x14ac:dyDescent="0.25">
      <c r="C36">
        <f t="shared" ca="1" si="0"/>
        <v>2012</v>
      </c>
    </row>
    <row r="37" spans="3:20" x14ac:dyDescent="0.25">
      <c r="C37">
        <f t="shared" ca="1" si="0"/>
        <v>2013</v>
      </c>
      <c r="T37" s="6"/>
    </row>
    <row r="38" spans="3:20" x14ac:dyDescent="0.25">
      <c r="C38">
        <f t="shared" ca="1" si="0"/>
        <v>2014</v>
      </c>
    </row>
    <row r="39" spans="3:20" x14ac:dyDescent="0.25">
      <c r="C39">
        <f t="shared" ca="1" si="0"/>
        <v>2015</v>
      </c>
    </row>
    <row r="40" spans="3:20" x14ac:dyDescent="0.25">
      <c r="C40">
        <f t="shared" ca="1" si="0"/>
        <v>2016</v>
      </c>
    </row>
    <row r="41" spans="3:20" x14ac:dyDescent="0.25">
      <c r="C41">
        <f t="shared" ca="1" si="0"/>
        <v>2017</v>
      </c>
    </row>
    <row r="42" spans="3:20" x14ac:dyDescent="0.25">
      <c r="C42">
        <f t="shared" ca="1" si="0"/>
        <v>2018</v>
      </c>
    </row>
    <row r="43" spans="3:20" x14ac:dyDescent="0.25">
      <c r="C43">
        <f t="shared" ca="1" si="0"/>
        <v>2019</v>
      </c>
    </row>
    <row r="44" spans="3:20" x14ac:dyDescent="0.25">
      <c r="C44">
        <f t="shared" ca="1" si="0"/>
        <v>2020</v>
      </c>
    </row>
    <row r="45" spans="3:20" x14ac:dyDescent="0.25">
      <c r="C45">
        <f t="shared" ca="1" si="0"/>
        <v>2021</v>
      </c>
    </row>
    <row r="46" spans="3:20" x14ac:dyDescent="0.25">
      <c r="C46">
        <f t="shared" ca="1" si="0"/>
        <v>2022</v>
      </c>
    </row>
    <row r="47" spans="3:20" x14ac:dyDescent="0.25">
      <c r="C47">
        <f t="shared" ca="1" si="0"/>
        <v>2023</v>
      </c>
    </row>
    <row r="48" spans="3:20" x14ac:dyDescent="0.25">
      <c r="C48">
        <f t="shared" ca="1" si="0"/>
        <v>2024</v>
      </c>
    </row>
    <row r="49" spans="3:3" x14ac:dyDescent="0.25">
      <c r="C49">
        <f ca="1">C50-1</f>
        <v>2025</v>
      </c>
    </row>
    <row r="50" spans="3:3" x14ac:dyDescent="0.25">
      <c r="C50">
        <f ca="1">YEAR(today)</f>
        <v>2026</v>
      </c>
    </row>
  </sheetData>
  <mergeCells count="14">
    <mergeCell ref="I1:I3"/>
    <mergeCell ref="J1:O1"/>
    <mergeCell ref="P1:U1"/>
    <mergeCell ref="X1:Y1"/>
    <mergeCell ref="V1:W2"/>
    <mergeCell ref="Z1:Z3"/>
    <mergeCell ref="J2:K2"/>
    <mergeCell ref="L2:M2"/>
    <mergeCell ref="N2:O2"/>
    <mergeCell ref="P2:Q2"/>
    <mergeCell ref="R2:S2"/>
    <mergeCell ref="T2:U2"/>
    <mergeCell ref="X2:X3"/>
    <mergeCell ref="Y2:Y3"/>
  </mergeCells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N2577"/>
  <sheetViews>
    <sheetView zoomScale="130" zoomScaleNormal="130" workbookViewId="0">
      <selection activeCell="G36" sqref="G36"/>
    </sheetView>
  </sheetViews>
  <sheetFormatPr defaultColWidth="11.42578125" defaultRowHeight="15" x14ac:dyDescent="0.25"/>
  <cols>
    <col min="1" max="2" width="11.28515625" bestFit="1" customWidth="1"/>
    <col min="3" max="3" width="12.85546875" bestFit="1" customWidth="1"/>
    <col min="4" max="4" width="11.140625" bestFit="1" customWidth="1"/>
    <col min="5" max="5" width="12.7109375" bestFit="1" customWidth="1"/>
    <col min="6" max="6" width="16.28515625" bestFit="1" customWidth="1"/>
    <col min="7" max="7" width="18" bestFit="1" customWidth="1"/>
    <col min="8" max="8" width="12.140625" bestFit="1" customWidth="1"/>
    <col min="9" max="9" width="13.85546875" bestFit="1" customWidth="1"/>
    <col min="10" max="10" width="12" bestFit="1" customWidth="1"/>
    <col min="11" max="11" width="13.7109375" bestFit="1" customWidth="1"/>
    <col min="12" max="12" width="17.28515625" bestFit="1" customWidth="1"/>
    <col min="13" max="13" width="18.85546875" bestFit="1" customWidth="1"/>
    <col min="14" max="14" width="11.140625" bestFit="1" customWidth="1"/>
    <col min="15" max="15" width="12.7109375" bestFit="1" customWidth="1"/>
    <col min="16" max="16" width="14.7109375" bestFit="1" customWidth="1"/>
    <col min="17" max="17" width="7.28515625" bestFit="1" customWidth="1"/>
    <col min="18" max="18" width="6.140625" bestFit="1" customWidth="1"/>
    <col min="19" max="19" width="4.42578125" bestFit="1" customWidth="1"/>
    <col min="20" max="20" width="7.5703125" bestFit="1" customWidth="1"/>
    <col min="21" max="21" width="6.140625" bestFit="1" customWidth="1"/>
    <col min="22" max="22" width="5.42578125" bestFit="1" customWidth="1"/>
    <col min="23" max="23" width="11.42578125" style="51"/>
    <col min="26" max="26" width="18.7109375" bestFit="1" customWidth="1"/>
    <col min="27" max="27" width="7.140625" bestFit="1" customWidth="1"/>
    <col min="28" max="28" width="17.28515625" bestFit="1" customWidth="1"/>
    <col min="29" max="29" width="41" bestFit="1" customWidth="1"/>
    <col min="30" max="30" width="10.7109375" bestFit="1" customWidth="1"/>
    <col min="31" max="31" width="10.7109375" customWidth="1"/>
    <col min="32" max="32" width="20.85546875" bestFit="1" customWidth="1"/>
    <col min="34" max="34" width="12" bestFit="1" customWidth="1"/>
    <col min="35" max="35" width="12" customWidth="1"/>
    <col min="36" max="36" width="10.85546875" bestFit="1" customWidth="1"/>
    <col min="37" max="37" width="22.7109375" bestFit="1" customWidth="1"/>
    <col min="38" max="38" width="12" bestFit="1" customWidth="1"/>
    <col min="39" max="39" width="11.5703125" bestFit="1" customWidth="1"/>
    <col min="40" max="40" width="5.85546875" bestFit="1" customWidth="1"/>
    <col min="41" max="41" width="12" bestFit="1" customWidth="1"/>
    <col min="42" max="42" width="12" customWidth="1"/>
    <col min="43" max="43" width="6.5703125" customWidth="1"/>
    <col min="44" max="44" width="7.5703125" customWidth="1"/>
    <col min="45" max="46" width="12" customWidth="1"/>
    <col min="47" max="55" width="12" bestFit="1" customWidth="1"/>
    <col min="56" max="56" width="9.85546875" bestFit="1" customWidth="1"/>
    <col min="57" max="57" width="12" bestFit="1" customWidth="1"/>
    <col min="58" max="58" width="6.5703125" bestFit="1" customWidth="1"/>
    <col min="59" max="60" width="12" bestFit="1" customWidth="1"/>
    <col min="61" max="61" width="4.28515625" bestFit="1" customWidth="1"/>
    <col min="62" max="63" width="12" bestFit="1" customWidth="1"/>
    <col min="64" max="64" width="8.7109375" bestFit="1" customWidth="1"/>
    <col min="65" max="65" width="7.5703125" bestFit="1" customWidth="1"/>
    <col min="66" max="68" width="12" bestFit="1" customWidth="1"/>
    <col min="69" max="69" width="6.5703125" bestFit="1" customWidth="1"/>
    <col min="70" max="72" width="12" bestFit="1" customWidth="1"/>
    <col min="73" max="73" width="7.5703125" bestFit="1" customWidth="1"/>
    <col min="74" max="78" width="12" bestFit="1" customWidth="1"/>
    <col min="79" max="79" width="7.5703125" bestFit="1" customWidth="1"/>
    <col min="80" max="86" width="12" bestFit="1" customWidth="1"/>
    <col min="87" max="87" width="9.85546875" bestFit="1" customWidth="1"/>
    <col min="88" max="97" width="12" bestFit="1" customWidth="1"/>
    <col min="98" max="98" width="6.5703125" bestFit="1" customWidth="1"/>
    <col min="99" max="111" width="12" bestFit="1" customWidth="1"/>
    <col min="112" max="112" width="8.7109375" bestFit="1" customWidth="1"/>
    <col min="113" max="122" width="12" bestFit="1" customWidth="1"/>
    <col min="123" max="123" width="8.7109375" bestFit="1" customWidth="1"/>
    <col min="124" max="124" width="12" bestFit="1" customWidth="1"/>
    <col min="125" max="125" width="7.5703125" bestFit="1" customWidth="1"/>
    <col min="126" max="126" width="9.85546875" bestFit="1" customWidth="1"/>
    <col min="127" max="129" width="12" bestFit="1" customWidth="1"/>
    <col min="130" max="130" width="7.5703125" bestFit="1" customWidth="1"/>
    <col min="131" max="138" width="12" bestFit="1" customWidth="1"/>
    <col min="139" max="139" width="9.85546875" bestFit="1" customWidth="1"/>
    <col min="140" max="140" width="8.7109375" bestFit="1" customWidth="1"/>
    <col min="141" max="144" width="12" bestFit="1" customWidth="1"/>
    <col min="145" max="145" width="6.5703125" bestFit="1" customWidth="1"/>
    <col min="146" max="146" width="7.5703125" bestFit="1" customWidth="1"/>
    <col min="147" max="151" width="12" bestFit="1" customWidth="1"/>
    <col min="152" max="152" width="8.7109375" bestFit="1" customWidth="1"/>
    <col min="153" max="153" width="7.5703125" bestFit="1" customWidth="1"/>
    <col min="154" max="154" width="12" bestFit="1" customWidth="1"/>
    <col min="155" max="155" width="7.5703125" bestFit="1" customWidth="1"/>
    <col min="156" max="166" width="12" bestFit="1" customWidth="1"/>
    <col min="167" max="167" width="7.5703125" bestFit="1" customWidth="1"/>
    <col min="168" max="168" width="8.7109375" bestFit="1" customWidth="1"/>
    <col min="169" max="172" width="12" bestFit="1" customWidth="1"/>
    <col min="173" max="173" width="6.5703125" bestFit="1" customWidth="1"/>
    <col min="174" max="178" width="12" bestFit="1" customWidth="1"/>
    <col min="179" max="179" width="7.5703125" bestFit="1" customWidth="1"/>
    <col min="180" max="183" width="12" bestFit="1" customWidth="1"/>
    <col min="184" max="184" width="7.5703125" bestFit="1" customWidth="1"/>
    <col min="185" max="186" width="12" bestFit="1" customWidth="1"/>
    <col min="187" max="187" width="7.5703125" bestFit="1" customWidth="1"/>
    <col min="188" max="205" width="12" bestFit="1" customWidth="1"/>
    <col min="206" max="206" width="8.7109375" bestFit="1" customWidth="1"/>
    <col min="207" max="208" width="12" bestFit="1" customWidth="1"/>
    <col min="209" max="209" width="7.5703125" bestFit="1" customWidth="1"/>
    <col min="210" max="218" width="12" bestFit="1" customWidth="1"/>
    <col min="219" max="219" width="6.5703125" bestFit="1" customWidth="1"/>
    <col min="220" max="225" width="12" bestFit="1" customWidth="1"/>
    <col min="226" max="226" width="7.5703125" bestFit="1" customWidth="1"/>
    <col min="227" max="233" width="12" bestFit="1" customWidth="1"/>
    <col min="234" max="234" width="8.7109375" bestFit="1" customWidth="1"/>
    <col min="235" max="235" width="12" bestFit="1" customWidth="1"/>
    <col min="236" max="236" width="8.7109375" bestFit="1" customWidth="1"/>
    <col min="237" max="238" width="12" bestFit="1" customWidth="1"/>
    <col min="239" max="239" width="7.5703125" bestFit="1" customWidth="1"/>
    <col min="240" max="256" width="12" bestFit="1" customWidth="1"/>
    <col min="257" max="257" width="7.5703125" bestFit="1" customWidth="1"/>
    <col min="258" max="261" width="12" bestFit="1" customWidth="1"/>
    <col min="262" max="262" width="4.28515625" bestFit="1" customWidth="1"/>
    <col min="263" max="268" width="12" bestFit="1" customWidth="1"/>
    <col min="269" max="269" width="9.85546875" bestFit="1" customWidth="1"/>
    <col min="270" max="272" width="12" bestFit="1" customWidth="1"/>
    <col min="273" max="273" width="7.5703125" bestFit="1" customWidth="1"/>
    <col min="274" max="283" width="12" bestFit="1" customWidth="1"/>
    <col min="284" max="284" width="9.85546875" bestFit="1" customWidth="1"/>
    <col min="285" max="287" width="12" bestFit="1" customWidth="1"/>
    <col min="288" max="288" width="7.5703125" bestFit="1" customWidth="1"/>
    <col min="289" max="291" width="12" bestFit="1" customWidth="1"/>
    <col min="292" max="292" width="6.5703125" bestFit="1" customWidth="1"/>
    <col min="293" max="297" width="12" bestFit="1" customWidth="1"/>
    <col min="298" max="298" width="8.7109375" bestFit="1" customWidth="1"/>
    <col min="299" max="299" width="7.5703125" bestFit="1" customWidth="1"/>
    <col min="300" max="307" width="12" bestFit="1" customWidth="1"/>
    <col min="308" max="310" width="7.5703125" bestFit="1" customWidth="1"/>
    <col min="311" max="311" width="12" bestFit="1" customWidth="1"/>
    <col min="312" max="312" width="9.85546875" bestFit="1" customWidth="1"/>
    <col min="313" max="325" width="12" bestFit="1" customWidth="1"/>
    <col min="326" max="326" width="8.7109375" bestFit="1" customWidth="1"/>
    <col min="327" max="328" width="12" bestFit="1" customWidth="1"/>
    <col min="329" max="329" width="7.5703125" bestFit="1" customWidth="1"/>
    <col min="330" max="339" width="12" bestFit="1" customWidth="1"/>
    <col min="340" max="340" width="7.5703125" bestFit="1" customWidth="1"/>
    <col min="341" max="346" width="12" bestFit="1" customWidth="1"/>
    <col min="347" max="347" width="6.5703125" bestFit="1" customWidth="1"/>
    <col min="348" max="359" width="12" bestFit="1" customWidth="1"/>
    <col min="360" max="360" width="9.85546875" bestFit="1" customWidth="1"/>
    <col min="361" max="370" width="12" bestFit="1" customWidth="1"/>
    <col min="371" max="371" width="7.5703125" bestFit="1" customWidth="1"/>
    <col min="372" max="372" width="8.7109375" bestFit="1" customWidth="1"/>
    <col min="373" max="380" width="12" bestFit="1" customWidth="1"/>
    <col min="381" max="381" width="7.5703125" bestFit="1" customWidth="1"/>
    <col min="382" max="387" width="12" bestFit="1" customWidth="1"/>
    <col min="388" max="388" width="6.5703125" bestFit="1" customWidth="1"/>
    <col min="389" max="390" width="12" bestFit="1" customWidth="1"/>
    <col min="391" max="391" width="8.7109375" bestFit="1" customWidth="1"/>
    <col min="392" max="393" width="12" bestFit="1" customWidth="1"/>
    <col min="394" max="394" width="8.7109375" bestFit="1" customWidth="1"/>
    <col min="395" max="413" width="12" bestFit="1" customWidth="1"/>
    <col min="414" max="414" width="8.7109375" bestFit="1" customWidth="1"/>
    <col min="415" max="416" width="12" bestFit="1" customWidth="1"/>
    <col min="417" max="417" width="9.85546875" bestFit="1" customWidth="1"/>
    <col min="418" max="418" width="8.7109375" bestFit="1" customWidth="1"/>
    <col min="419" max="423" width="12" bestFit="1" customWidth="1"/>
    <col min="424" max="424" width="8.7109375" bestFit="1" customWidth="1"/>
    <col min="425" max="429" width="12" bestFit="1" customWidth="1"/>
    <col min="430" max="430" width="7.5703125" bestFit="1" customWidth="1"/>
    <col min="431" max="434" width="12" bestFit="1" customWidth="1"/>
    <col min="435" max="435" width="6.5703125" bestFit="1" customWidth="1"/>
    <col min="436" max="445" width="12" bestFit="1" customWidth="1"/>
    <col min="446" max="446" width="8.7109375" bestFit="1" customWidth="1"/>
    <col min="447" max="461" width="12" bestFit="1" customWidth="1"/>
    <col min="462" max="462" width="6.5703125" bestFit="1" customWidth="1"/>
    <col min="463" max="463" width="8.7109375" bestFit="1" customWidth="1"/>
    <col min="464" max="464" width="7.5703125" bestFit="1" customWidth="1"/>
    <col min="465" max="467" width="12" bestFit="1" customWidth="1"/>
    <col min="468" max="468" width="8.7109375" bestFit="1" customWidth="1"/>
    <col min="469" max="470" width="12" bestFit="1" customWidth="1"/>
    <col min="471" max="471" width="6.5703125" bestFit="1" customWidth="1"/>
    <col min="472" max="472" width="12" bestFit="1" customWidth="1"/>
    <col min="473" max="473" width="7.5703125" bestFit="1" customWidth="1"/>
    <col min="474" max="478" width="12" bestFit="1" customWidth="1"/>
    <col min="479" max="479" width="7.5703125" bestFit="1" customWidth="1"/>
    <col min="480" max="483" width="12" bestFit="1" customWidth="1"/>
    <col min="484" max="484" width="8.7109375" bestFit="1" customWidth="1"/>
    <col min="485" max="487" width="12" bestFit="1" customWidth="1"/>
    <col min="488" max="488" width="6.5703125" bestFit="1" customWidth="1"/>
    <col min="489" max="489" width="8.7109375" bestFit="1" customWidth="1"/>
    <col min="490" max="493" width="12" bestFit="1" customWidth="1"/>
    <col min="494" max="494" width="8.7109375" bestFit="1" customWidth="1"/>
    <col min="495" max="498" width="12" bestFit="1" customWidth="1"/>
    <col min="499" max="499" width="9.85546875" bestFit="1" customWidth="1"/>
    <col min="500" max="500" width="12" bestFit="1" customWidth="1"/>
    <col min="501" max="501" width="9.85546875" bestFit="1" customWidth="1"/>
    <col min="502" max="507" width="12" bestFit="1" customWidth="1"/>
    <col min="508" max="508" width="7.5703125" bestFit="1" customWidth="1"/>
    <col min="509" max="510" width="12" bestFit="1" customWidth="1"/>
    <col min="511" max="511" width="7.5703125" bestFit="1" customWidth="1"/>
    <col min="512" max="515" width="12" bestFit="1" customWidth="1"/>
    <col min="516" max="516" width="8.7109375" bestFit="1" customWidth="1"/>
    <col min="517" max="517" width="12" bestFit="1" customWidth="1"/>
    <col min="518" max="518" width="8.7109375" bestFit="1" customWidth="1"/>
    <col min="519" max="522" width="12" bestFit="1" customWidth="1"/>
    <col min="523" max="523" width="7.5703125" bestFit="1" customWidth="1"/>
    <col min="524" max="526" width="12" bestFit="1" customWidth="1"/>
    <col min="527" max="527" width="8.7109375" bestFit="1" customWidth="1"/>
    <col min="528" max="530" width="12" bestFit="1" customWidth="1"/>
    <col min="531" max="531" width="4.28515625" bestFit="1" customWidth="1"/>
    <col min="532" max="543" width="12" bestFit="1" customWidth="1"/>
    <col min="544" max="544" width="7.5703125" bestFit="1" customWidth="1"/>
    <col min="545" max="545" width="12" bestFit="1" customWidth="1"/>
    <col min="546" max="546" width="6.5703125" bestFit="1" customWidth="1"/>
    <col min="547" max="550" width="12" bestFit="1" customWidth="1"/>
    <col min="551" max="552" width="8.7109375" bestFit="1" customWidth="1"/>
    <col min="553" max="553" width="12" bestFit="1" customWidth="1"/>
    <col min="554" max="556" width="8.7109375" bestFit="1" customWidth="1"/>
    <col min="557" max="575" width="12" bestFit="1" customWidth="1"/>
    <col min="576" max="576" width="9.85546875" bestFit="1" customWidth="1"/>
    <col min="577" max="585" width="12" bestFit="1" customWidth="1"/>
    <col min="586" max="586" width="7.5703125" bestFit="1" customWidth="1"/>
    <col min="587" max="589" width="12" bestFit="1" customWidth="1"/>
    <col min="590" max="590" width="7.5703125" bestFit="1" customWidth="1"/>
    <col min="591" max="591" width="12" bestFit="1" customWidth="1"/>
    <col min="592" max="592" width="7.5703125" bestFit="1" customWidth="1"/>
    <col min="593" max="593" width="12" bestFit="1" customWidth="1"/>
    <col min="594" max="594" width="6.5703125" bestFit="1" customWidth="1"/>
    <col min="595" max="596" width="12" bestFit="1" customWidth="1"/>
    <col min="597" max="597" width="8.7109375" bestFit="1" customWidth="1"/>
    <col min="598" max="602" width="12" bestFit="1" customWidth="1"/>
    <col min="603" max="603" width="7.5703125" bestFit="1" customWidth="1"/>
    <col min="604" max="615" width="12" bestFit="1" customWidth="1"/>
    <col min="616" max="616" width="9.85546875" bestFit="1" customWidth="1"/>
    <col min="617" max="617" width="7.5703125" bestFit="1" customWidth="1"/>
    <col min="618" max="624" width="12" bestFit="1" customWidth="1"/>
    <col min="625" max="625" width="9.85546875" bestFit="1" customWidth="1"/>
    <col min="626" max="638" width="12" bestFit="1" customWidth="1"/>
    <col min="639" max="639" width="8.7109375" bestFit="1" customWidth="1"/>
    <col min="640" max="644" width="12" bestFit="1" customWidth="1"/>
    <col min="645" max="645" width="6.5703125" bestFit="1" customWidth="1"/>
    <col min="646" max="646" width="9.85546875" bestFit="1" customWidth="1"/>
    <col min="647" max="647" width="12" bestFit="1" customWidth="1"/>
    <col min="648" max="648" width="7.5703125" bestFit="1" customWidth="1"/>
    <col min="649" max="651" width="12" bestFit="1" customWidth="1"/>
    <col min="652" max="652" width="6.5703125" bestFit="1" customWidth="1"/>
    <col min="653" max="659" width="12" bestFit="1" customWidth="1"/>
    <col min="660" max="660" width="8.7109375" bestFit="1" customWidth="1"/>
    <col min="661" max="662" width="12" bestFit="1" customWidth="1"/>
    <col min="663" max="663" width="7.5703125" bestFit="1" customWidth="1"/>
    <col min="664" max="665" width="12" bestFit="1" customWidth="1"/>
    <col min="666" max="666" width="9.85546875" bestFit="1" customWidth="1"/>
    <col min="667" max="667" width="8.7109375" bestFit="1" customWidth="1"/>
    <col min="668" max="668" width="12" bestFit="1" customWidth="1"/>
    <col min="669" max="669" width="7.5703125" bestFit="1" customWidth="1"/>
    <col min="670" max="673" width="12" bestFit="1" customWidth="1"/>
    <col min="674" max="674" width="6.5703125" bestFit="1" customWidth="1"/>
    <col min="675" max="681" width="12" bestFit="1" customWidth="1"/>
    <col min="682" max="682" width="6.5703125" bestFit="1" customWidth="1"/>
    <col min="683" max="696" width="12" bestFit="1" customWidth="1"/>
    <col min="697" max="697" width="4.28515625" bestFit="1" customWidth="1"/>
    <col min="698" max="700" width="12" bestFit="1" customWidth="1"/>
    <col min="701" max="701" width="7.5703125" bestFit="1" customWidth="1"/>
    <col min="702" max="714" width="12" bestFit="1" customWidth="1"/>
    <col min="715" max="715" width="7.5703125" bestFit="1" customWidth="1"/>
    <col min="716" max="719" width="12" bestFit="1" customWidth="1"/>
    <col min="720" max="720" width="9.85546875" bestFit="1" customWidth="1"/>
    <col min="721" max="732" width="12" bestFit="1" customWidth="1"/>
    <col min="733" max="733" width="7.5703125" bestFit="1" customWidth="1"/>
    <col min="734" max="740" width="12" bestFit="1" customWidth="1"/>
    <col min="741" max="741" width="7.5703125" bestFit="1" customWidth="1"/>
    <col min="742" max="750" width="12" bestFit="1" customWidth="1"/>
    <col min="751" max="751" width="9.85546875" bestFit="1" customWidth="1"/>
    <col min="752" max="761" width="12" bestFit="1" customWidth="1"/>
    <col min="762" max="762" width="9.85546875" bestFit="1" customWidth="1"/>
    <col min="763" max="763" width="6.5703125" bestFit="1" customWidth="1"/>
    <col min="764" max="791" width="12" bestFit="1" customWidth="1"/>
    <col min="792" max="793" width="7.5703125" bestFit="1" customWidth="1"/>
    <col min="794" max="794" width="12" bestFit="1" customWidth="1"/>
    <col min="795" max="795" width="8.7109375" bestFit="1" customWidth="1"/>
    <col min="796" max="798" width="12" bestFit="1" customWidth="1"/>
    <col min="799" max="799" width="7.5703125" bestFit="1" customWidth="1"/>
    <col min="800" max="800" width="6.5703125" bestFit="1" customWidth="1"/>
    <col min="801" max="801" width="8.7109375" bestFit="1" customWidth="1"/>
    <col min="802" max="804" width="12" bestFit="1" customWidth="1"/>
    <col min="805" max="805" width="9.85546875" bestFit="1" customWidth="1"/>
    <col min="806" max="815" width="12" bestFit="1" customWidth="1"/>
    <col min="816" max="816" width="8.7109375" bestFit="1" customWidth="1"/>
    <col min="817" max="823" width="12" bestFit="1" customWidth="1"/>
    <col min="824" max="824" width="7.5703125" bestFit="1" customWidth="1"/>
    <col min="825" max="828" width="12" bestFit="1" customWidth="1"/>
    <col min="829" max="829" width="6.5703125" bestFit="1" customWidth="1"/>
    <col min="830" max="831" width="12" bestFit="1" customWidth="1"/>
    <col min="832" max="832" width="7.5703125" bestFit="1" customWidth="1"/>
    <col min="833" max="840" width="12" bestFit="1" customWidth="1"/>
    <col min="841" max="841" width="8.7109375" bestFit="1" customWidth="1"/>
    <col min="842" max="845" width="12" bestFit="1" customWidth="1"/>
    <col min="846" max="846" width="8.7109375" bestFit="1" customWidth="1"/>
    <col min="847" max="856" width="12" bestFit="1" customWidth="1"/>
    <col min="857" max="857" width="9.85546875" bestFit="1" customWidth="1"/>
    <col min="858" max="859" width="12" bestFit="1" customWidth="1"/>
    <col min="860" max="860" width="7.5703125" bestFit="1" customWidth="1"/>
    <col min="861" max="872" width="12" bestFit="1" customWidth="1"/>
    <col min="873" max="873" width="8.7109375" bestFit="1" customWidth="1"/>
    <col min="874" max="886" width="12" bestFit="1" customWidth="1"/>
    <col min="887" max="887" width="6.5703125" bestFit="1" customWidth="1"/>
    <col min="888" max="890" width="12" bestFit="1" customWidth="1"/>
    <col min="891" max="891" width="7.5703125" bestFit="1" customWidth="1"/>
    <col min="892" max="895" width="12" bestFit="1" customWidth="1"/>
    <col min="896" max="896" width="8.7109375" bestFit="1" customWidth="1"/>
    <col min="897" max="900" width="12" bestFit="1" customWidth="1"/>
    <col min="901" max="901" width="8.7109375" bestFit="1" customWidth="1"/>
    <col min="902" max="906" width="12" bestFit="1" customWidth="1"/>
    <col min="907" max="907" width="7.5703125" bestFit="1" customWidth="1"/>
    <col min="908" max="919" width="12" bestFit="1" customWidth="1"/>
    <col min="920" max="920" width="7.5703125" bestFit="1" customWidth="1"/>
    <col min="921" max="926" width="12" bestFit="1" customWidth="1"/>
    <col min="927" max="927" width="8.7109375" bestFit="1" customWidth="1"/>
    <col min="928" max="928" width="12" bestFit="1" customWidth="1"/>
    <col min="929" max="929" width="10.85546875" bestFit="1" customWidth="1"/>
    <col min="930" max="930" width="12" bestFit="1" customWidth="1"/>
    <col min="931" max="931" width="7.5703125" bestFit="1" customWidth="1"/>
    <col min="932" max="933" width="12" bestFit="1" customWidth="1"/>
    <col min="934" max="934" width="9.85546875" bestFit="1" customWidth="1"/>
    <col min="935" max="938" width="12" bestFit="1" customWidth="1"/>
    <col min="939" max="939" width="8.7109375" bestFit="1" customWidth="1"/>
    <col min="940" max="945" width="12" bestFit="1" customWidth="1"/>
    <col min="946" max="946" width="8.7109375" bestFit="1" customWidth="1"/>
    <col min="947" max="950" width="12" bestFit="1" customWidth="1"/>
    <col min="951" max="951" width="7.5703125" bestFit="1" customWidth="1"/>
    <col min="952" max="952" width="12" bestFit="1" customWidth="1"/>
    <col min="953" max="953" width="8.7109375" bestFit="1" customWidth="1"/>
    <col min="954" max="955" width="12" bestFit="1" customWidth="1"/>
    <col min="956" max="956" width="7.5703125" bestFit="1" customWidth="1"/>
    <col min="957" max="958" width="12" bestFit="1" customWidth="1"/>
    <col min="959" max="959" width="7.5703125" bestFit="1" customWidth="1"/>
    <col min="960" max="985" width="12" bestFit="1" customWidth="1"/>
    <col min="986" max="986" width="8.7109375" bestFit="1" customWidth="1"/>
    <col min="987" max="998" width="12" bestFit="1" customWidth="1"/>
    <col min="999" max="999" width="8.7109375" bestFit="1" customWidth="1"/>
    <col min="1000" max="1014" width="12" bestFit="1" customWidth="1"/>
    <col min="1015" max="1015" width="7.5703125" bestFit="1" customWidth="1"/>
    <col min="1016" max="1018" width="12" bestFit="1" customWidth="1"/>
    <col min="1019" max="1019" width="7.5703125" bestFit="1" customWidth="1"/>
    <col min="1020" max="1020" width="12" bestFit="1" customWidth="1"/>
    <col min="1021" max="1021" width="9.85546875" bestFit="1" customWidth="1"/>
    <col min="1022" max="1028" width="12" bestFit="1" customWidth="1"/>
    <col min="1029" max="1029" width="8.7109375" bestFit="1" customWidth="1"/>
    <col min="1030" max="1046" width="12" bestFit="1" customWidth="1"/>
    <col min="1047" max="1047" width="8.7109375" bestFit="1" customWidth="1"/>
    <col min="1048" max="1051" width="12" bestFit="1" customWidth="1"/>
    <col min="1052" max="1052" width="9.85546875" bestFit="1" customWidth="1"/>
    <col min="1053" max="1053" width="7.5703125" bestFit="1" customWidth="1"/>
    <col min="1054" max="1059" width="12" bestFit="1" customWidth="1"/>
    <col min="1060" max="1060" width="8.7109375" bestFit="1" customWidth="1"/>
    <col min="1061" max="1066" width="12" bestFit="1" customWidth="1"/>
    <col min="1067" max="1067" width="7.5703125" bestFit="1" customWidth="1"/>
    <col min="1068" max="1074" width="12" bestFit="1" customWidth="1"/>
    <col min="1075" max="1075" width="7.5703125" bestFit="1" customWidth="1"/>
    <col min="1076" max="1079" width="12" bestFit="1" customWidth="1"/>
    <col min="1080" max="1080" width="7.5703125" bestFit="1" customWidth="1"/>
    <col min="1081" max="1083" width="12" bestFit="1" customWidth="1"/>
    <col min="1084" max="1084" width="8.7109375" bestFit="1" customWidth="1"/>
    <col min="1085" max="1085" width="7.5703125" bestFit="1" customWidth="1"/>
    <col min="1086" max="1094" width="12" bestFit="1" customWidth="1"/>
    <col min="1095" max="1095" width="7.5703125" bestFit="1" customWidth="1"/>
    <col min="1096" max="1105" width="12" bestFit="1" customWidth="1"/>
    <col min="1106" max="1106" width="7.5703125" bestFit="1" customWidth="1"/>
    <col min="1107" max="1111" width="12" bestFit="1" customWidth="1"/>
    <col min="1112" max="1112" width="9.85546875" bestFit="1" customWidth="1"/>
    <col min="1113" max="1118" width="12" bestFit="1" customWidth="1"/>
    <col min="1119" max="1119" width="8.7109375" bestFit="1" customWidth="1"/>
    <col min="1120" max="1131" width="12" bestFit="1" customWidth="1"/>
    <col min="1132" max="1132" width="9.85546875" bestFit="1" customWidth="1"/>
    <col min="1133" max="1134" width="12" bestFit="1" customWidth="1"/>
    <col min="1135" max="1135" width="8.7109375" bestFit="1" customWidth="1"/>
    <col min="1136" max="1138" width="12" bestFit="1" customWidth="1"/>
    <col min="1139" max="1139" width="8.7109375" bestFit="1" customWidth="1"/>
    <col min="1140" max="1142" width="12" bestFit="1" customWidth="1"/>
    <col min="1143" max="1143" width="8.7109375" bestFit="1" customWidth="1"/>
    <col min="1144" max="1175" width="12" bestFit="1" customWidth="1"/>
    <col min="1176" max="1176" width="6.5703125" bestFit="1" customWidth="1"/>
    <col min="1177" max="1178" width="12" bestFit="1" customWidth="1"/>
    <col min="1179" max="1179" width="7.5703125" bestFit="1" customWidth="1"/>
    <col min="1180" max="1192" width="12" bestFit="1" customWidth="1"/>
    <col min="1193" max="1193" width="7.5703125" bestFit="1" customWidth="1"/>
    <col min="1194" max="1200" width="12" bestFit="1" customWidth="1"/>
    <col min="1201" max="1201" width="9.85546875" bestFit="1" customWidth="1"/>
    <col min="1202" max="1202" width="12" bestFit="1" customWidth="1"/>
    <col min="1203" max="1203" width="6.5703125" bestFit="1" customWidth="1"/>
    <col min="1204" max="1210" width="12" bestFit="1" customWidth="1"/>
    <col min="1211" max="1211" width="6.5703125" bestFit="1" customWidth="1"/>
    <col min="1212" max="1215" width="12" bestFit="1" customWidth="1"/>
    <col min="1216" max="1216" width="9.85546875" bestFit="1" customWidth="1"/>
    <col min="1217" max="1223" width="12" bestFit="1" customWidth="1"/>
    <col min="1224" max="1224" width="7.5703125" bestFit="1" customWidth="1"/>
    <col min="1225" max="1231" width="12" bestFit="1" customWidth="1"/>
    <col min="1232" max="1232" width="8.7109375" bestFit="1" customWidth="1"/>
    <col min="1233" max="1242" width="12" bestFit="1" customWidth="1"/>
    <col min="1243" max="1243" width="7.5703125" bestFit="1" customWidth="1"/>
    <col min="1244" max="1249" width="12" bestFit="1" customWidth="1"/>
    <col min="1250" max="1250" width="6.5703125" bestFit="1" customWidth="1"/>
    <col min="1251" max="1251" width="12" bestFit="1" customWidth="1"/>
    <col min="1252" max="1252" width="8.7109375" bestFit="1" customWidth="1"/>
    <col min="1253" max="1255" width="12" bestFit="1" customWidth="1"/>
    <col min="1256" max="1256" width="7.5703125" bestFit="1" customWidth="1"/>
    <col min="1257" max="1266" width="12" bestFit="1" customWidth="1"/>
    <col min="1267" max="1268" width="8.7109375" bestFit="1" customWidth="1"/>
    <col min="1269" max="1269" width="12" bestFit="1" customWidth="1"/>
    <col min="1270" max="1270" width="8.7109375" bestFit="1" customWidth="1"/>
    <col min="1271" max="1286" width="12" bestFit="1" customWidth="1"/>
    <col min="1287" max="1287" width="8.7109375" bestFit="1" customWidth="1"/>
    <col min="1288" max="1295" width="12" bestFit="1" customWidth="1"/>
    <col min="1296" max="1296" width="9.85546875" bestFit="1" customWidth="1"/>
    <col min="1297" max="1303" width="12" bestFit="1" customWidth="1"/>
    <col min="1304" max="1304" width="4.28515625" bestFit="1" customWidth="1"/>
    <col min="1305" max="1306" width="12" bestFit="1" customWidth="1"/>
    <col min="1307" max="1307" width="9.85546875" bestFit="1" customWidth="1"/>
    <col min="1308" max="1311" width="12" bestFit="1" customWidth="1"/>
    <col min="1312" max="1312" width="7.5703125" bestFit="1" customWidth="1"/>
    <col min="1313" max="1324" width="12" bestFit="1" customWidth="1"/>
    <col min="1325" max="1325" width="9.85546875" bestFit="1" customWidth="1"/>
    <col min="1326" max="1336" width="12" bestFit="1" customWidth="1"/>
    <col min="1337" max="1337" width="6.5703125" bestFit="1" customWidth="1"/>
    <col min="1338" max="1341" width="12" bestFit="1" customWidth="1"/>
    <col min="1342" max="1342" width="8.7109375" bestFit="1" customWidth="1"/>
    <col min="1343" max="1343" width="7.5703125" bestFit="1" customWidth="1"/>
    <col min="1344" max="1347" width="12" bestFit="1" customWidth="1"/>
    <col min="1348" max="1348" width="8.7109375" bestFit="1" customWidth="1"/>
    <col min="1349" max="1350" width="7.5703125" bestFit="1" customWidth="1"/>
    <col min="1351" max="1351" width="9.85546875" bestFit="1" customWidth="1"/>
    <col min="1352" max="1352" width="7.5703125" bestFit="1" customWidth="1"/>
    <col min="1353" max="1360" width="12" bestFit="1" customWidth="1"/>
    <col min="1361" max="1361" width="7.5703125" bestFit="1" customWidth="1"/>
    <col min="1362" max="1372" width="12" bestFit="1" customWidth="1"/>
    <col min="1373" max="1373" width="9.85546875" bestFit="1" customWidth="1"/>
    <col min="1374" max="1374" width="7.5703125" bestFit="1" customWidth="1"/>
    <col min="1375" max="1381" width="12" bestFit="1" customWidth="1"/>
    <col min="1382" max="1382" width="9.85546875" bestFit="1" customWidth="1"/>
    <col min="1383" max="1383" width="7.5703125" bestFit="1" customWidth="1"/>
    <col min="1384" max="1388" width="12" bestFit="1" customWidth="1"/>
    <col min="1389" max="1389" width="6.5703125" bestFit="1" customWidth="1"/>
    <col min="1390" max="1392" width="12" bestFit="1" customWidth="1"/>
    <col min="1393" max="1393" width="7.5703125" bestFit="1" customWidth="1"/>
    <col min="1394" max="1397" width="12" bestFit="1" customWidth="1"/>
    <col min="1398" max="1398" width="7.5703125" bestFit="1" customWidth="1"/>
    <col min="1399" max="1403" width="12" bestFit="1" customWidth="1"/>
    <col min="1404" max="1404" width="7.5703125" bestFit="1" customWidth="1"/>
    <col min="1405" max="1410" width="12" bestFit="1" customWidth="1"/>
    <col min="1411" max="1411" width="6.5703125" bestFit="1" customWidth="1"/>
    <col min="1412" max="1412" width="12" bestFit="1" customWidth="1"/>
    <col min="1413" max="1413" width="9.85546875" bestFit="1" customWidth="1"/>
    <col min="1414" max="1420" width="12" bestFit="1" customWidth="1"/>
    <col min="1421" max="1421" width="9.85546875" bestFit="1" customWidth="1"/>
    <col min="1422" max="1442" width="12" bestFit="1" customWidth="1"/>
    <col min="1443" max="1443" width="7.5703125" bestFit="1" customWidth="1"/>
    <col min="1444" max="1444" width="12" bestFit="1" customWidth="1"/>
    <col min="1445" max="1445" width="8.7109375" bestFit="1" customWidth="1"/>
    <col min="1446" max="1452" width="12" bestFit="1" customWidth="1"/>
    <col min="1453" max="1453" width="7.5703125" bestFit="1" customWidth="1"/>
    <col min="1454" max="1455" width="12" bestFit="1" customWidth="1"/>
    <col min="1456" max="1456" width="9.85546875" bestFit="1" customWidth="1"/>
    <col min="1457" max="1474" width="12" bestFit="1" customWidth="1"/>
    <col min="1475" max="1475" width="6.5703125" bestFit="1" customWidth="1"/>
    <col min="1476" max="1476" width="12" bestFit="1" customWidth="1"/>
    <col min="1477" max="1477" width="8.7109375" bestFit="1" customWidth="1"/>
    <col min="1478" max="1478" width="12" bestFit="1" customWidth="1"/>
    <col min="1479" max="1479" width="8.7109375" bestFit="1" customWidth="1"/>
    <col min="1480" max="1498" width="12" bestFit="1" customWidth="1"/>
    <col min="1499" max="1500" width="9.85546875" bestFit="1" customWidth="1"/>
    <col min="1501" max="1513" width="12" bestFit="1" customWidth="1"/>
    <col min="1514" max="1514" width="4.28515625" bestFit="1" customWidth="1"/>
    <col min="1515" max="1523" width="12" bestFit="1" customWidth="1"/>
    <col min="1524" max="1524" width="8.7109375" bestFit="1" customWidth="1"/>
    <col min="1525" max="1532" width="12" bestFit="1" customWidth="1"/>
    <col min="1533" max="1534" width="7.5703125" bestFit="1" customWidth="1"/>
    <col min="1535" max="1535" width="12" bestFit="1" customWidth="1"/>
    <col min="1536" max="1536" width="8.7109375" bestFit="1" customWidth="1"/>
    <col min="1537" max="1543" width="12" bestFit="1" customWidth="1"/>
    <col min="1544" max="1544" width="7.5703125" bestFit="1" customWidth="1"/>
    <col min="1545" max="1545" width="9.85546875" bestFit="1" customWidth="1"/>
    <col min="1546" max="1560" width="12" bestFit="1" customWidth="1"/>
    <col min="1561" max="1561" width="9.85546875" bestFit="1" customWidth="1"/>
    <col min="1562" max="1595" width="12" bestFit="1" customWidth="1"/>
    <col min="1596" max="1596" width="8.7109375" bestFit="1" customWidth="1"/>
    <col min="1597" max="1620" width="12" bestFit="1" customWidth="1"/>
    <col min="1621" max="1621" width="7.5703125" bestFit="1" customWidth="1"/>
    <col min="1622" max="1623" width="12" bestFit="1" customWidth="1"/>
    <col min="1624" max="1624" width="8.7109375" bestFit="1" customWidth="1"/>
    <col min="1625" max="1628" width="12" bestFit="1" customWidth="1"/>
    <col min="1629" max="1629" width="7.5703125" bestFit="1" customWidth="1"/>
    <col min="1630" max="1633" width="12" bestFit="1" customWidth="1"/>
    <col min="1634" max="1634" width="8.7109375" bestFit="1" customWidth="1"/>
    <col min="1635" max="1635" width="12" bestFit="1" customWidth="1"/>
    <col min="1636" max="1636" width="7.5703125" bestFit="1" customWidth="1"/>
    <col min="1637" max="1637" width="4.28515625" bestFit="1" customWidth="1"/>
    <col min="1638" max="1641" width="12" bestFit="1" customWidth="1"/>
    <col min="1642" max="1642" width="7.5703125" bestFit="1" customWidth="1"/>
    <col min="1643" max="1644" width="12" bestFit="1" customWidth="1"/>
    <col min="1645" max="1645" width="9.85546875" bestFit="1" customWidth="1"/>
    <col min="1646" max="1659" width="12" bestFit="1" customWidth="1"/>
    <col min="1660" max="1660" width="7.5703125" bestFit="1" customWidth="1"/>
    <col min="1661" max="1661" width="8.7109375" bestFit="1" customWidth="1"/>
    <col min="1662" max="1664" width="12" bestFit="1" customWidth="1"/>
    <col min="1665" max="1665" width="9.85546875" bestFit="1" customWidth="1"/>
    <col min="1666" max="1672" width="12" bestFit="1" customWidth="1"/>
    <col min="1673" max="1673" width="6.5703125" bestFit="1" customWidth="1"/>
    <col min="1674" max="1680" width="12" bestFit="1" customWidth="1"/>
    <col min="1681" max="1681" width="8.7109375" bestFit="1" customWidth="1"/>
    <col min="1682" max="1718" width="12" bestFit="1" customWidth="1"/>
    <col min="1719" max="1719" width="9.85546875" bestFit="1" customWidth="1"/>
    <col min="1720" max="1721" width="12" bestFit="1" customWidth="1"/>
    <col min="1722" max="1722" width="7.5703125" bestFit="1" customWidth="1"/>
    <col min="1723" max="1724" width="12" bestFit="1" customWidth="1"/>
    <col min="1725" max="1725" width="7.5703125" bestFit="1" customWidth="1"/>
    <col min="1726" max="1726" width="8.7109375" bestFit="1" customWidth="1"/>
    <col min="1727" max="1727" width="12" bestFit="1" customWidth="1"/>
    <col min="1728" max="1728" width="6.5703125" bestFit="1" customWidth="1"/>
    <col min="1729" max="1737" width="12" bestFit="1" customWidth="1"/>
    <col min="1738" max="1738" width="4.28515625" bestFit="1" customWidth="1"/>
    <col min="1739" max="1769" width="12" bestFit="1" customWidth="1"/>
    <col min="1770" max="1770" width="8.7109375" bestFit="1" customWidth="1"/>
    <col min="1771" max="1771" width="7.5703125" bestFit="1" customWidth="1"/>
    <col min="1772" max="1774" width="12" bestFit="1" customWidth="1"/>
    <col min="1775" max="1775" width="6.5703125" bestFit="1" customWidth="1"/>
    <col min="1776" max="1777" width="12" bestFit="1" customWidth="1"/>
    <col min="1778" max="1778" width="9.85546875" bestFit="1" customWidth="1"/>
    <col min="1779" max="1786" width="12" bestFit="1" customWidth="1"/>
    <col min="1787" max="1787" width="8.7109375" bestFit="1" customWidth="1"/>
    <col min="1788" max="1791" width="12" bestFit="1" customWidth="1"/>
    <col min="1792" max="1792" width="9.85546875" bestFit="1" customWidth="1"/>
    <col min="1793" max="1796" width="12" bestFit="1" customWidth="1"/>
    <col min="1797" max="1797" width="9.85546875" bestFit="1" customWidth="1"/>
    <col min="1798" max="1810" width="12" bestFit="1" customWidth="1"/>
    <col min="1811" max="1811" width="9.85546875" bestFit="1" customWidth="1"/>
    <col min="1812" max="1815" width="12" bestFit="1" customWidth="1"/>
    <col min="1816" max="1816" width="8.7109375" bestFit="1" customWidth="1"/>
    <col min="1817" max="1825" width="12" bestFit="1" customWidth="1"/>
    <col min="1826" max="1826" width="7.5703125" bestFit="1" customWidth="1"/>
    <col min="1827" max="1827" width="12" bestFit="1" customWidth="1"/>
    <col min="1828" max="1828" width="7.5703125" bestFit="1" customWidth="1"/>
    <col min="1829" max="1831" width="12" bestFit="1" customWidth="1"/>
    <col min="1832" max="1832" width="9.85546875" bestFit="1" customWidth="1"/>
    <col min="1833" max="1838" width="12" bestFit="1" customWidth="1"/>
    <col min="1839" max="1839" width="7.5703125" bestFit="1" customWidth="1"/>
    <col min="1840" max="1850" width="12" bestFit="1" customWidth="1"/>
    <col min="1851" max="1851" width="8.7109375" bestFit="1" customWidth="1"/>
    <col min="1852" max="1868" width="12" bestFit="1" customWidth="1"/>
    <col min="1869" max="1869" width="9.85546875" bestFit="1" customWidth="1"/>
    <col min="1870" max="1871" width="12" bestFit="1" customWidth="1"/>
    <col min="1872" max="1872" width="6.5703125" bestFit="1" customWidth="1"/>
    <col min="1873" max="1898" width="12" bestFit="1" customWidth="1"/>
    <col min="1899" max="1899" width="7.5703125" bestFit="1" customWidth="1"/>
    <col min="1900" max="1918" width="12" bestFit="1" customWidth="1"/>
    <col min="1919" max="1919" width="8.7109375" bestFit="1" customWidth="1"/>
    <col min="1920" max="1936" width="12" bestFit="1" customWidth="1"/>
    <col min="1937" max="1937" width="8.7109375" bestFit="1" customWidth="1"/>
    <col min="1938" max="1939" width="12" bestFit="1" customWidth="1"/>
    <col min="1940" max="1940" width="6.5703125" bestFit="1" customWidth="1"/>
    <col min="1941" max="1942" width="12" bestFit="1" customWidth="1"/>
    <col min="1943" max="1943" width="7.5703125" bestFit="1" customWidth="1"/>
    <col min="1944" max="1946" width="12" bestFit="1" customWidth="1"/>
    <col min="1947" max="1947" width="9.85546875" bestFit="1" customWidth="1"/>
    <col min="1948" max="1955" width="12" bestFit="1" customWidth="1"/>
    <col min="1956" max="1956" width="8.7109375" bestFit="1" customWidth="1"/>
    <col min="1957" max="1963" width="12" bestFit="1" customWidth="1"/>
    <col min="1964" max="1964" width="7.5703125" bestFit="1" customWidth="1"/>
    <col min="1965" max="1969" width="12" bestFit="1" customWidth="1"/>
    <col min="1970" max="1970" width="8.7109375" bestFit="1" customWidth="1"/>
    <col min="1971" max="1976" width="12" bestFit="1" customWidth="1"/>
    <col min="1977" max="1977" width="9.85546875" bestFit="1" customWidth="1"/>
    <col min="1978" max="1982" width="12" bestFit="1" customWidth="1"/>
    <col min="1983" max="1983" width="6.5703125" bestFit="1" customWidth="1"/>
    <col min="1984" max="1984" width="12" bestFit="1" customWidth="1"/>
    <col min="1985" max="1985" width="7.5703125" bestFit="1" customWidth="1"/>
    <col min="1986" max="2002" width="12" bestFit="1" customWidth="1"/>
    <col min="2003" max="2003" width="9.85546875" bestFit="1" customWidth="1"/>
    <col min="2004" max="2007" width="12" bestFit="1" customWidth="1"/>
    <col min="2008" max="2008" width="7.5703125" bestFit="1" customWidth="1"/>
    <col min="2009" max="2022" width="12" bestFit="1" customWidth="1"/>
    <col min="2023" max="2023" width="8.7109375" bestFit="1" customWidth="1"/>
    <col min="2024" max="2030" width="12" bestFit="1" customWidth="1"/>
    <col min="2031" max="2031" width="7.5703125" bestFit="1" customWidth="1"/>
    <col min="2032" max="2033" width="12" bestFit="1" customWidth="1"/>
    <col min="2034" max="2034" width="7.5703125" bestFit="1" customWidth="1"/>
    <col min="2035" max="2040" width="12" bestFit="1" customWidth="1"/>
    <col min="2041" max="2041" width="7.5703125" bestFit="1" customWidth="1"/>
    <col min="2042" max="2045" width="12" bestFit="1" customWidth="1"/>
    <col min="2046" max="2046" width="7.5703125" bestFit="1" customWidth="1"/>
    <col min="2047" max="2048" width="12" bestFit="1" customWidth="1"/>
    <col min="2049" max="2049" width="7.5703125" bestFit="1" customWidth="1"/>
    <col min="2050" max="2057" width="12" bestFit="1" customWidth="1"/>
    <col min="2058" max="2058" width="7.5703125" bestFit="1" customWidth="1"/>
    <col min="2059" max="2072" width="12" bestFit="1" customWidth="1"/>
    <col min="2073" max="2073" width="9.85546875" bestFit="1" customWidth="1"/>
    <col min="2074" max="2074" width="7.5703125" bestFit="1" customWidth="1"/>
    <col min="2075" max="2086" width="12" bestFit="1" customWidth="1"/>
    <col min="2087" max="2087" width="8.7109375" bestFit="1" customWidth="1"/>
    <col min="2088" max="2109" width="12" bestFit="1" customWidth="1"/>
    <col min="2110" max="2110" width="4.28515625" bestFit="1" customWidth="1"/>
    <col min="2111" max="2111" width="12" bestFit="1" customWidth="1"/>
    <col min="2112" max="2112" width="7.5703125" bestFit="1" customWidth="1"/>
    <col min="2113" max="2164" width="12" bestFit="1" customWidth="1"/>
    <col min="2165" max="2165" width="7.5703125" bestFit="1" customWidth="1"/>
    <col min="2166" max="2183" width="12" bestFit="1" customWidth="1"/>
    <col min="2184" max="2184" width="9.85546875" bestFit="1" customWidth="1"/>
    <col min="2185" max="2192" width="12" bestFit="1" customWidth="1"/>
    <col min="2193" max="2193" width="8.7109375" bestFit="1" customWidth="1"/>
    <col min="2194" max="2207" width="12" bestFit="1" customWidth="1"/>
    <col min="2208" max="2208" width="7.5703125" bestFit="1" customWidth="1"/>
    <col min="2209" max="2209" width="9.85546875" bestFit="1" customWidth="1"/>
    <col min="2210" max="2210" width="12" bestFit="1" customWidth="1"/>
    <col min="2211" max="2211" width="9.85546875" bestFit="1" customWidth="1"/>
    <col min="2212" max="2222" width="12" bestFit="1" customWidth="1"/>
    <col min="2223" max="2223" width="9.85546875" bestFit="1" customWidth="1"/>
    <col min="2224" max="2226" width="12" bestFit="1" customWidth="1"/>
    <col min="2227" max="2227" width="7.5703125" bestFit="1" customWidth="1"/>
    <col min="2228" max="2228" width="12" bestFit="1" customWidth="1"/>
    <col min="2229" max="2229" width="4.28515625" bestFit="1" customWidth="1"/>
    <col min="2230" max="2236" width="12" bestFit="1" customWidth="1"/>
    <col min="2237" max="2237" width="8.7109375" bestFit="1" customWidth="1"/>
    <col min="2238" max="2238" width="6.5703125" bestFit="1" customWidth="1"/>
    <col min="2239" max="2249" width="12" bestFit="1" customWidth="1"/>
    <col min="2250" max="2250" width="9.85546875" bestFit="1" customWidth="1"/>
    <col min="2251" max="2251" width="12" bestFit="1" customWidth="1"/>
    <col min="2252" max="2252" width="7.5703125" bestFit="1" customWidth="1"/>
    <col min="2253" max="2260" width="12" bestFit="1" customWidth="1"/>
    <col min="2261" max="2261" width="6.5703125" bestFit="1" customWidth="1"/>
    <col min="2262" max="2269" width="12" bestFit="1" customWidth="1"/>
    <col min="2270" max="2270" width="7.5703125" bestFit="1" customWidth="1"/>
    <col min="2271" max="2276" width="12" bestFit="1" customWidth="1"/>
    <col min="2277" max="2277" width="8.7109375" bestFit="1" customWidth="1"/>
    <col min="2278" max="2283" width="12" bestFit="1" customWidth="1"/>
    <col min="2284" max="2284" width="9.85546875" bestFit="1" customWidth="1"/>
    <col min="2285" max="2297" width="12" bestFit="1" customWidth="1"/>
    <col min="2298" max="2298" width="10.85546875" bestFit="1" customWidth="1"/>
    <col min="2299" max="2316" width="12" bestFit="1" customWidth="1"/>
    <col min="2317" max="2317" width="10.85546875" bestFit="1" customWidth="1"/>
    <col min="2318" max="2323" width="12" bestFit="1" customWidth="1"/>
    <col min="2324" max="2324" width="7.5703125" bestFit="1" customWidth="1"/>
    <col min="2325" max="2334" width="12" bestFit="1" customWidth="1"/>
    <col min="2335" max="2335" width="9.85546875" bestFit="1" customWidth="1"/>
    <col min="2336" max="2342" width="12" bestFit="1" customWidth="1"/>
    <col min="2343" max="2343" width="9.85546875" bestFit="1" customWidth="1"/>
    <col min="2344" max="2344" width="12" bestFit="1" customWidth="1"/>
    <col min="2345" max="2345" width="8.7109375" bestFit="1" customWidth="1"/>
    <col min="2346" max="2347" width="12" bestFit="1" customWidth="1"/>
    <col min="2348" max="2348" width="7.5703125" bestFit="1" customWidth="1"/>
    <col min="2349" max="2359" width="12" bestFit="1" customWidth="1"/>
    <col min="2360" max="2360" width="9.85546875" bestFit="1" customWidth="1"/>
    <col min="2361" max="2376" width="12" bestFit="1" customWidth="1"/>
    <col min="2377" max="2377" width="6.5703125" bestFit="1" customWidth="1"/>
    <col min="2378" max="2395" width="12" bestFit="1" customWidth="1"/>
    <col min="2396" max="2396" width="7.5703125" bestFit="1" customWidth="1"/>
    <col min="2397" max="2397" width="12" bestFit="1" customWidth="1"/>
    <col min="2398" max="2398" width="8.7109375" bestFit="1" customWidth="1"/>
    <col min="2399" max="2404" width="12" bestFit="1" customWidth="1"/>
    <col min="2405" max="2405" width="8.7109375" bestFit="1" customWidth="1"/>
    <col min="2406" max="2429" width="12" bestFit="1" customWidth="1"/>
    <col min="2430" max="2430" width="7.5703125" bestFit="1" customWidth="1"/>
    <col min="2431" max="2434" width="12" bestFit="1" customWidth="1"/>
    <col min="2435" max="2435" width="4.28515625" bestFit="1" customWidth="1"/>
    <col min="2436" max="2440" width="12" bestFit="1" customWidth="1"/>
    <col min="2441" max="2441" width="9.85546875" bestFit="1" customWidth="1"/>
    <col min="2442" max="2443" width="12" bestFit="1" customWidth="1"/>
    <col min="2444" max="2444" width="7.5703125" bestFit="1" customWidth="1"/>
    <col min="2445" max="2446" width="12" bestFit="1" customWidth="1"/>
    <col min="2447" max="2447" width="7.5703125" bestFit="1" customWidth="1"/>
    <col min="2448" max="2455" width="12" bestFit="1" customWidth="1"/>
    <col min="2456" max="2456" width="9.85546875" bestFit="1" customWidth="1"/>
    <col min="2457" max="2459" width="12" bestFit="1" customWidth="1"/>
    <col min="2460" max="2460" width="9.85546875" bestFit="1" customWidth="1"/>
    <col min="2461" max="2461" width="10.85546875" bestFit="1" customWidth="1"/>
    <col min="2462" max="2467" width="12" bestFit="1" customWidth="1"/>
    <col min="2468" max="2468" width="9.85546875" bestFit="1" customWidth="1"/>
    <col min="2469" max="2470" width="12" bestFit="1" customWidth="1"/>
    <col min="2471" max="2471" width="6.5703125" bestFit="1" customWidth="1"/>
    <col min="2472" max="2477" width="12" bestFit="1" customWidth="1"/>
    <col min="2478" max="2478" width="9.85546875" bestFit="1" customWidth="1"/>
    <col min="2479" max="2489" width="12" bestFit="1" customWidth="1"/>
    <col min="2490" max="2490" width="8.7109375" bestFit="1" customWidth="1"/>
    <col min="2491" max="2497" width="12" bestFit="1" customWidth="1"/>
    <col min="2498" max="2498" width="9.85546875" bestFit="1" customWidth="1"/>
    <col min="2499" max="2503" width="12" bestFit="1" customWidth="1"/>
    <col min="2504" max="2504" width="11.28515625" bestFit="1" customWidth="1"/>
  </cols>
  <sheetData>
    <row r="1" spans="1:40" x14ac:dyDescent="0.25">
      <c r="A1" s="31" t="s">
        <v>18</v>
      </c>
      <c r="B1" t="s">
        <v>101</v>
      </c>
      <c r="Q1" s="31" t="s">
        <v>19</v>
      </c>
      <c r="R1" t="s">
        <v>118</v>
      </c>
      <c r="T1" s="31" t="s">
        <v>18</v>
      </c>
      <c r="U1" t="s">
        <v>118</v>
      </c>
      <c r="W1" s="54" t="s">
        <v>61</v>
      </c>
      <c r="X1" s="18" t="s">
        <v>120</v>
      </c>
      <c r="Z1" s="31" t="s">
        <v>18</v>
      </c>
      <c r="AA1" t="s">
        <v>101</v>
      </c>
      <c r="AC1" s="31" t="s">
        <v>5312</v>
      </c>
      <c r="AD1" t="s">
        <v>5333</v>
      </c>
      <c r="AF1" s="18" t="s">
        <v>5312</v>
      </c>
      <c r="AG1" s="18" t="s">
        <v>144</v>
      </c>
      <c r="AH1" s="18" t="s">
        <v>143</v>
      </c>
      <c r="AI1" s="18" t="s">
        <v>5313</v>
      </c>
      <c r="AK1" s="54" t="s">
        <v>5312</v>
      </c>
      <c r="AL1" s="18" t="s">
        <v>144</v>
      </c>
      <c r="AM1" s="54" t="s">
        <v>143</v>
      </c>
      <c r="AN1" s="18" t="s">
        <v>5313</v>
      </c>
    </row>
    <row r="2" spans="1:40" x14ac:dyDescent="0.25">
      <c r="A2" s="31" t="s">
        <v>19</v>
      </c>
      <c r="B2" t="s">
        <v>101</v>
      </c>
      <c r="Q2" s="23" t="s">
        <v>5346</v>
      </c>
      <c r="R2">
        <v>0</v>
      </c>
      <c r="T2" s="23" t="s">
        <v>5346</v>
      </c>
      <c r="U2">
        <v>0</v>
      </c>
      <c r="W2" s="51" cm="1">
        <f t="array" ref="W2:W3">Logbook[Date]</f>
        <v>36526</v>
      </c>
      <c r="X2" s="11" cm="1">
        <f t="array" ref="X2:X3">Logbook[CumTotalHours]</f>
        <v>0</v>
      </c>
      <c r="Z2" s="31" t="s">
        <v>19</v>
      </c>
      <c r="AA2" t="s">
        <v>101</v>
      </c>
      <c r="AC2" s="23" t="s">
        <v>4522</v>
      </c>
      <c r="AD2">
        <v>0</v>
      </c>
      <c r="AF2" t="str" cm="1">
        <f t="array" ref="AF2">IFERROR(INDEX(Airports[Airport], MATCH(ROW()-ROW(Top10Airports[#Headers]), Airports[Rank], 0)),"")</f>
        <v/>
      </c>
      <c r="AG2" t="str" cm="1">
        <f t="array" ref="AG2">IFERROR(INDEX(Airports[Longitude], MATCH(ROW()-ROW(Top10Airports[#Headers]), Airports[Rank], 0)),"")</f>
        <v/>
      </c>
      <c r="AH2" t="str" cm="1">
        <f t="array" ref="AH2">IFERROR(INDEX(Airports[Latitude], MATCH(ROW()-ROW(Top10Airports[#Headers]), Airports[Rank], 0)),"")</f>
        <v/>
      </c>
      <c r="AI2" t="str" cm="1">
        <f t="array" ref="AI2">IFERROR(INDEX(Airports[Visits], MATCH(ROW()-ROW(Top10Airports[#Headers]), Airports[Rank], 0)),"")</f>
        <v/>
      </c>
      <c r="AK2" t="str" cm="1">
        <f t="array" ref="AK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0" x14ac:dyDescent="0.25">
      <c r="W3" s="51">
        <v>40180</v>
      </c>
      <c r="X3">
        <v>0</v>
      </c>
      <c r="AC3" s="23" t="s">
        <v>4616</v>
      </c>
      <c r="AD3">
        <v>0</v>
      </c>
      <c r="AF3" t="str" cm="1">
        <f t="array" ref="AF3">IFERROR(INDEX(Airports[Airport], MATCH(ROW()-ROW(Top10Airports[#Headers]), Airports[Rank], 0)),"")</f>
        <v/>
      </c>
      <c r="AG3" t="str" cm="1">
        <f t="array" ref="AG3">IFERROR(INDEX(Airports[Longitude], MATCH(ROW()-ROW(Top10Airports[#Headers]), Airports[Rank], 0)),"")</f>
        <v/>
      </c>
      <c r="AH3" t="str" cm="1">
        <f t="array" ref="AH3">IFERROR(INDEX(Airports[Latitude], MATCH(ROW()-ROW(Top10Airports[#Headers]), Airports[Rank], 0)),"")</f>
        <v/>
      </c>
      <c r="AI3" t="str" cm="1">
        <f t="array" ref="AI3">IFERROR(INDEX(Airports[Visits], MATCH(ROW()-ROW(Top10Airports[#Headers]), Airports[Rank], 0)),"")</f>
        <v/>
      </c>
    </row>
    <row r="4" spans="1:40" x14ac:dyDescent="0.25">
      <c r="A4" s="31" t="s">
        <v>0</v>
      </c>
      <c r="B4" t="s">
        <v>105</v>
      </c>
      <c r="C4" t="s">
        <v>106</v>
      </c>
      <c r="D4" t="s">
        <v>107</v>
      </c>
      <c r="E4" t="s">
        <v>104</v>
      </c>
      <c r="F4" t="s">
        <v>108</v>
      </c>
      <c r="G4" t="s">
        <v>109</v>
      </c>
      <c r="H4" t="s">
        <v>110</v>
      </c>
      <c r="I4" t="s">
        <v>111</v>
      </c>
      <c r="J4" t="s">
        <v>112</v>
      </c>
      <c r="K4" t="s">
        <v>113</v>
      </c>
      <c r="L4" t="s">
        <v>114</v>
      </c>
      <c r="M4" t="s">
        <v>115</v>
      </c>
      <c r="N4" t="s">
        <v>116</v>
      </c>
      <c r="O4" t="s">
        <v>117</v>
      </c>
      <c r="Z4" s="31" t="s">
        <v>121</v>
      </c>
      <c r="AC4" s="23" t="s">
        <v>4518</v>
      </c>
      <c r="AD4">
        <v>0</v>
      </c>
      <c r="AF4" t="str" cm="1">
        <f t="array" ref="AF4">IFERROR(INDEX(Airports[Airport], MATCH(ROW()-ROW(Top10Airports[#Headers]), Airports[Rank], 0)),"")</f>
        <v/>
      </c>
      <c r="AG4" t="str" cm="1">
        <f t="array" ref="AG4">IFERROR(INDEX(Airports[Longitude], MATCH(ROW()-ROW(Top10Airports[#Headers]), Airports[Rank], 0)),"")</f>
        <v/>
      </c>
      <c r="AH4" t="str" cm="1">
        <f t="array" ref="AH4">IFERROR(INDEX(Airports[Latitude], MATCH(ROW()-ROW(Top10Airports[#Headers]), Airports[Rank], 0)),"")</f>
        <v/>
      </c>
      <c r="AI4" t="str" cm="1">
        <f t="array" ref="AI4">IFERROR(INDEX(Airports[Visits], MATCH(ROW()-ROW(Top10Airports[#Headers]), Airports[Rank], 0)),"")</f>
        <v/>
      </c>
    </row>
    <row r="5" spans="1:40" x14ac:dyDescent="0.25">
      <c r="A5" s="23" t="s">
        <v>5372</v>
      </c>
      <c r="Z5" s="23" t="s">
        <v>105</v>
      </c>
      <c r="AC5" s="23" t="s">
        <v>4280</v>
      </c>
      <c r="AD5">
        <v>0</v>
      </c>
      <c r="AF5" t="str" cm="1">
        <f t="array" ref="AF5">IFERROR(INDEX(Airports[Airport], MATCH(ROW()-ROW(Top10Airports[#Headers]), Airports[Rank], 0)),"")</f>
        <v/>
      </c>
      <c r="AG5" t="str" cm="1">
        <f t="array" ref="AG5">IFERROR(INDEX(Airports[Longitude], MATCH(ROW()-ROW(Top10Airports[#Headers]), Airports[Rank], 0)),"")</f>
        <v/>
      </c>
      <c r="AH5" t="str" cm="1">
        <f t="array" ref="AH5">IFERROR(INDEX(Airports[Latitude], MATCH(ROW()-ROW(Top10Airports[#Headers]), Airports[Rank], 0)),"")</f>
        <v/>
      </c>
      <c r="AI5" t="str" cm="1">
        <f t="array" ref="AI5">IFERROR(INDEX(Airports[Visits], MATCH(ROW()-ROW(Top10Airports[#Headers]), Airports[Rank], 0)),"")</f>
        <v/>
      </c>
    </row>
    <row r="6" spans="1:40" x14ac:dyDescent="0.25">
      <c r="A6" s="23" t="s">
        <v>5373</v>
      </c>
      <c r="Z6" s="23" t="s">
        <v>106</v>
      </c>
      <c r="AC6" s="23" t="s">
        <v>5286</v>
      </c>
      <c r="AD6">
        <v>0</v>
      </c>
      <c r="AF6" t="str" cm="1">
        <f t="array" ref="AF6">IFERROR(INDEX(Airports[Airport], MATCH(ROW()-ROW(Top10Airports[#Headers]), Airports[Rank], 0)),"")</f>
        <v/>
      </c>
      <c r="AG6" t="str" cm="1">
        <f t="array" ref="AG6">IFERROR(INDEX(Airports[Longitude], MATCH(ROW()-ROW(Top10Airports[#Headers]), Airports[Rank], 0)),"")</f>
        <v/>
      </c>
      <c r="AH6" t="str" cm="1">
        <f t="array" ref="AH6">IFERROR(INDEX(Airports[Latitude], MATCH(ROW()-ROW(Top10Airports[#Headers]), Airports[Rank], 0)),"")</f>
        <v/>
      </c>
      <c r="AI6" t="str" cm="1">
        <f t="array" ref="AI6">IFERROR(INDEX(Airports[Visits], MATCH(ROW()-ROW(Top10Airports[#Headers]), Airports[Rank], 0)),"")</f>
        <v/>
      </c>
    </row>
    <row r="7" spans="1:40" x14ac:dyDescent="0.25">
      <c r="A7" s="23" t="s">
        <v>60</v>
      </c>
      <c r="Z7" s="23" t="s">
        <v>107</v>
      </c>
      <c r="AC7" s="23" t="s">
        <v>4292</v>
      </c>
      <c r="AD7">
        <v>0</v>
      </c>
      <c r="AF7" t="str" cm="1">
        <f t="array" ref="AF7">IFERROR(INDEX(Airports[Airport], MATCH(ROW()-ROW(Top10Airports[#Headers]), Airports[Rank], 0)),"")</f>
        <v/>
      </c>
      <c r="AG7" t="str" cm="1">
        <f t="array" ref="AG7">IFERROR(INDEX(Airports[Longitude], MATCH(ROW()-ROW(Top10Airports[#Headers]), Airports[Rank], 0)),"")</f>
        <v/>
      </c>
      <c r="AH7" t="str" cm="1">
        <f t="array" ref="AH7">IFERROR(INDEX(Airports[Latitude], MATCH(ROW()-ROW(Top10Airports[#Headers]), Airports[Rank], 0)),"")</f>
        <v/>
      </c>
      <c r="AI7" t="str" cm="1">
        <f t="array" ref="AI7">IFERROR(INDEX(Airports[Visits], MATCH(ROW()-ROW(Top10Airports[#Headers]), Airports[Rank], 0)),"")</f>
        <v/>
      </c>
    </row>
    <row r="8" spans="1:40" x14ac:dyDescent="0.25">
      <c r="Z8" s="23" t="s">
        <v>104</v>
      </c>
      <c r="AC8" s="23" t="s">
        <v>4444</v>
      </c>
      <c r="AD8">
        <v>0</v>
      </c>
      <c r="AF8" t="str" cm="1">
        <f t="array" ref="AF8">IFERROR(INDEX(Airports[Airport], MATCH(ROW()-ROW(Top10Airports[#Headers]), Airports[Rank], 0)),"")</f>
        <v/>
      </c>
      <c r="AG8" t="str" cm="1">
        <f t="array" ref="AG8">IFERROR(INDEX(Airports[Longitude], MATCH(ROW()-ROW(Top10Airports[#Headers]), Airports[Rank], 0)),"")</f>
        <v/>
      </c>
      <c r="AH8" t="str" cm="1">
        <f t="array" ref="AH8">IFERROR(INDEX(Airports[Latitude], MATCH(ROW()-ROW(Top10Airports[#Headers]), Airports[Rank], 0)),"")</f>
        <v/>
      </c>
      <c r="AI8" t="str" cm="1">
        <f t="array" ref="AI8">IFERROR(INDEX(Airports[Visits], MATCH(ROW()-ROW(Top10Airports[#Headers]), Airports[Rank], 0)),"")</f>
        <v/>
      </c>
    </row>
    <row r="9" spans="1:40" x14ac:dyDescent="0.25">
      <c r="Z9" s="23" t="s">
        <v>108</v>
      </c>
      <c r="AC9" s="23" t="s">
        <v>4310</v>
      </c>
      <c r="AD9">
        <v>0</v>
      </c>
      <c r="AF9" t="str" cm="1">
        <f t="array" ref="AF9">IFERROR(INDEX(Airports[Airport], MATCH(ROW()-ROW(Top10Airports[#Headers]), Airports[Rank], 0)),"")</f>
        <v/>
      </c>
      <c r="AG9" t="str" cm="1">
        <f t="array" ref="AG9">IFERROR(INDEX(Airports[Longitude], MATCH(ROW()-ROW(Top10Airports[#Headers]), Airports[Rank], 0)),"")</f>
        <v/>
      </c>
      <c r="AH9" t="str" cm="1">
        <f t="array" ref="AH9">IFERROR(INDEX(Airports[Latitude], MATCH(ROW()-ROW(Top10Airports[#Headers]), Airports[Rank], 0)),"")</f>
        <v/>
      </c>
      <c r="AI9" t="str" cm="1">
        <f t="array" ref="AI9">IFERROR(INDEX(Airports[Visits], MATCH(ROW()-ROW(Top10Airports[#Headers]), Airports[Rank], 0)),"")</f>
        <v/>
      </c>
    </row>
    <row r="10" spans="1:40" x14ac:dyDescent="0.25">
      <c r="Z10" s="23" t="s">
        <v>109</v>
      </c>
      <c r="AC10" s="23" t="s">
        <v>4586</v>
      </c>
      <c r="AD10">
        <v>0</v>
      </c>
      <c r="AF10" t="str" cm="1">
        <f t="array" ref="AF10">IFERROR(INDEX(Airports[Airport], MATCH(ROW()-ROW(Top10Airports[#Headers]), Airports[Rank], 0)),"")</f>
        <v/>
      </c>
      <c r="AG10" t="str" cm="1">
        <f t="array" ref="AG10">IFERROR(INDEX(Airports[Longitude], MATCH(ROW()-ROW(Top10Airports[#Headers]), Airports[Rank], 0)),"")</f>
        <v/>
      </c>
      <c r="AH10" t="str" cm="1">
        <f t="array" ref="AH10">IFERROR(INDEX(Airports[Latitude], MATCH(ROW()-ROW(Top10Airports[#Headers]), Airports[Rank], 0)),"")</f>
        <v/>
      </c>
      <c r="AI10" t="str" cm="1">
        <f t="array" ref="AI10">IFERROR(INDEX(Airports[Visits], MATCH(ROW()-ROW(Top10Airports[#Headers]), Airports[Rank], 0)),"")</f>
        <v/>
      </c>
    </row>
    <row r="11" spans="1:40" x14ac:dyDescent="0.25">
      <c r="Z11" s="23" t="s">
        <v>110</v>
      </c>
      <c r="AC11" s="23" t="s">
        <v>4308</v>
      </c>
      <c r="AD11">
        <v>0</v>
      </c>
      <c r="AF11" t="str" cm="1">
        <f t="array" ref="AF11">IFERROR(INDEX(Airports[Airport], MATCH(ROW()-ROW(Top10Airports[#Headers]), Airports[Rank], 0)),"")</f>
        <v/>
      </c>
      <c r="AG11" t="str" cm="1">
        <f t="array" ref="AG11">IFERROR(INDEX(Airports[Longitude], MATCH(ROW()-ROW(Top10Airports[#Headers]), Airports[Rank], 0)),"")</f>
        <v/>
      </c>
      <c r="AH11" t="str" cm="1">
        <f t="array" ref="AH11">IFERROR(INDEX(Airports[Latitude], MATCH(ROW()-ROW(Top10Airports[#Headers]), Airports[Rank], 0)),"")</f>
        <v/>
      </c>
      <c r="AI11" t="str" cm="1">
        <f t="array" ref="AI11">IFERROR(INDEX(Airports[Visits], MATCH(ROW()-ROW(Top10Airports[#Headers]), Airports[Rank], 0)),"")</f>
        <v/>
      </c>
    </row>
    <row r="12" spans="1:40" x14ac:dyDescent="0.25">
      <c r="Z12" s="23" t="s">
        <v>111</v>
      </c>
      <c r="AC12" s="23" t="s">
        <v>4699</v>
      </c>
      <c r="AD12">
        <v>0</v>
      </c>
      <c r="AF12" t="str" cm="1">
        <f t="array" ref="AF12">IFERROR(INDEX(Airports[Airport], MATCH(ROW()-ROW(Top10Airports[#Headers]), Airports[Rank], 0)),"")</f>
        <v/>
      </c>
      <c r="AG12" t="str" cm="1">
        <f t="array" ref="AG12">IFERROR(INDEX(Airports[Longitude], MATCH(ROW()-ROW(Top10Airports[#Headers]), Airports[Rank], 0)),"")</f>
        <v/>
      </c>
      <c r="AH12" t="str" cm="1">
        <f t="array" ref="AH12">IFERROR(INDEX(Airports[Latitude], MATCH(ROW()-ROW(Top10Airports[#Headers]), Airports[Rank], 0)),"")</f>
        <v/>
      </c>
      <c r="AI12" t="str" cm="1">
        <f t="array" ref="AI12">IFERROR(INDEX(Airports[Visits], MATCH(ROW()-ROW(Top10Airports[#Headers]), Airports[Rank], 0)),"")</f>
        <v/>
      </c>
    </row>
    <row r="13" spans="1:40" x14ac:dyDescent="0.25">
      <c r="Z13" s="23" t="s">
        <v>112</v>
      </c>
      <c r="AC13" s="23" t="s">
        <v>4288</v>
      </c>
      <c r="AD13">
        <v>0</v>
      </c>
    </row>
    <row r="14" spans="1:40" x14ac:dyDescent="0.25">
      <c r="Z14" s="23" t="s">
        <v>113</v>
      </c>
      <c r="AC14" s="23" t="s">
        <v>5250</v>
      </c>
      <c r="AD14">
        <v>0</v>
      </c>
    </row>
    <row r="15" spans="1:40" x14ac:dyDescent="0.25">
      <c r="Z15" s="23" t="s">
        <v>114</v>
      </c>
      <c r="AC15" s="23" t="s">
        <v>4316</v>
      </c>
      <c r="AD15">
        <v>0</v>
      </c>
    </row>
    <row r="16" spans="1:40" x14ac:dyDescent="0.25">
      <c r="Z16" s="23" t="s">
        <v>115</v>
      </c>
      <c r="AC16" s="23" t="s">
        <v>4530</v>
      </c>
      <c r="AD16">
        <v>0</v>
      </c>
    </row>
    <row r="17" spans="26:30" x14ac:dyDescent="0.25">
      <c r="Z17" s="23" t="s">
        <v>116</v>
      </c>
      <c r="AC17" s="23" t="s">
        <v>4318</v>
      </c>
      <c r="AD17">
        <v>0</v>
      </c>
    </row>
    <row r="18" spans="26:30" x14ac:dyDescent="0.25">
      <c r="Z18" s="23" t="s">
        <v>117</v>
      </c>
      <c r="AC18" s="23" t="s">
        <v>4582</v>
      </c>
      <c r="AD18">
        <v>0</v>
      </c>
    </row>
    <row r="19" spans="26:30" x14ac:dyDescent="0.25">
      <c r="AC19" s="23" t="s">
        <v>4294</v>
      </c>
      <c r="AD19">
        <v>0</v>
      </c>
    </row>
    <row r="20" spans="26:30" x14ac:dyDescent="0.25">
      <c r="AC20" s="23" t="s">
        <v>5210</v>
      </c>
      <c r="AD20">
        <v>0</v>
      </c>
    </row>
    <row r="21" spans="26:30" x14ac:dyDescent="0.25">
      <c r="AC21" s="23" t="s">
        <v>4298</v>
      </c>
      <c r="AD21">
        <v>0</v>
      </c>
    </row>
    <row r="22" spans="26:30" x14ac:dyDescent="0.25">
      <c r="AC22" s="23" t="s">
        <v>4472</v>
      </c>
      <c r="AD22">
        <v>0</v>
      </c>
    </row>
    <row r="23" spans="26:30" x14ac:dyDescent="0.25">
      <c r="AC23" s="23" t="s">
        <v>3371</v>
      </c>
      <c r="AD23">
        <v>0</v>
      </c>
    </row>
    <row r="24" spans="26:30" x14ac:dyDescent="0.25">
      <c r="AC24" s="23" t="s">
        <v>4464</v>
      </c>
      <c r="AD24">
        <v>0</v>
      </c>
    </row>
    <row r="25" spans="26:30" x14ac:dyDescent="0.25">
      <c r="AC25" s="23" t="s">
        <v>4330</v>
      </c>
      <c r="AD25">
        <v>0</v>
      </c>
    </row>
    <row r="26" spans="26:30" x14ac:dyDescent="0.25">
      <c r="AC26" s="23" t="s">
        <v>5268</v>
      </c>
      <c r="AD26">
        <v>0</v>
      </c>
    </row>
    <row r="27" spans="26:30" x14ac:dyDescent="0.25">
      <c r="AC27" s="23" t="s">
        <v>154</v>
      </c>
      <c r="AD27">
        <v>0</v>
      </c>
    </row>
    <row r="28" spans="26:30" x14ac:dyDescent="0.25">
      <c r="AC28" s="23" t="s">
        <v>5304</v>
      </c>
      <c r="AD28">
        <v>0</v>
      </c>
    </row>
    <row r="29" spans="26:30" x14ac:dyDescent="0.25">
      <c r="AC29" s="23" t="s">
        <v>4296</v>
      </c>
      <c r="AD29">
        <v>0</v>
      </c>
    </row>
    <row r="30" spans="26:30" x14ac:dyDescent="0.25">
      <c r="AC30" s="23" t="s">
        <v>5238</v>
      </c>
      <c r="AD30">
        <v>0</v>
      </c>
    </row>
    <row r="31" spans="26:30" x14ac:dyDescent="0.25">
      <c r="AC31" s="23" t="s">
        <v>4334</v>
      </c>
      <c r="AD31">
        <v>0</v>
      </c>
    </row>
    <row r="32" spans="26:30" x14ac:dyDescent="0.25">
      <c r="AC32" s="23" t="s">
        <v>4542</v>
      </c>
      <c r="AD32">
        <v>0</v>
      </c>
    </row>
    <row r="33" spans="29:30" x14ac:dyDescent="0.25">
      <c r="AC33" s="23" t="s">
        <v>4340</v>
      </c>
      <c r="AD33">
        <v>0</v>
      </c>
    </row>
    <row r="34" spans="29:30" x14ac:dyDescent="0.25">
      <c r="AC34" s="23" t="s">
        <v>4524</v>
      </c>
      <c r="AD34">
        <v>0</v>
      </c>
    </row>
    <row r="35" spans="29:30" x14ac:dyDescent="0.25">
      <c r="AC35" s="23" t="s">
        <v>4344</v>
      </c>
      <c r="AD35">
        <v>0</v>
      </c>
    </row>
    <row r="36" spans="29:30" x14ac:dyDescent="0.25">
      <c r="AC36" s="23" t="s">
        <v>4454</v>
      </c>
      <c r="AD36">
        <v>0</v>
      </c>
    </row>
    <row r="37" spans="29:30" x14ac:dyDescent="0.25">
      <c r="AC37" s="23" t="s">
        <v>4352</v>
      </c>
      <c r="AD37">
        <v>0</v>
      </c>
    </row>
    <row r="38" spans="29:30" x14ac:dyDescent="0.25">
      <c r="AC38" s="23" t="s">
        <v>4514</v>
      </c>
      <c r="AD38">
        <v>0</v>
      </c>
    </row>
    <row r="39" spans="29:30" x14ac:dyDescent="0.25">
      <c r="AC39" s="23" t="s">
        <v>4354</v>
      </c>
      <c r="AD39">
        <v>0</v>
      </c>
    </row>
    <row r="40" spans="29:30" x14ac:dyDescent="0.25">
      <c r="AC40" s="23" t="s">
        <v>4668</v>
      </c>
      <c r="AD40">
        <v>0</v>
      </c>
    </row>
    <row r="41" spans="29:30" x14ac:dyDescent="0.25">
      <c r="AC41" s="23" t="s">
        <v>4388</v>
      </c>
      <c r="AD41">
        <v>0</v>
      </c>
    </row>
    <row r="42" spans="29:30" x14ac:dyDescent="0.25">
      <c r="AC42" s="23" t="s">
        <v>5214</v>
      </c>
      <c r="AD42">
        <v>0</v>
      </c>
    </row>
    <row r="43" spans="29:30" x14ac:dyDescent="0.25">
      <c r="AC43" s="23" t="s">
        <v>4362</v>
      </c>
      <c r="AD43">
        <v>0</v>
      </c>
    </row>
    <row r="44" spans="29:30" x14ac:dyDescent="0.25">
      <c r="AC44" s="23" t="s">
        <v>4536</v>
      </c>
      <c r="AD44">
        <v>0</v>
      </c>
    </row>
    <row r="45" spans="29:30" x14ac:dyDescent="0.25">
      <c r="AC45" s="23" t="s">
        <v>4374</v>
      </c>
      <c r="AD45">
        <v>0</v>
      </c>
    </row>
    <row r="46" spans="29:30" x14ac:dyDescent="0.25">
      <c r="AC46" s="23" t="s">
        <v>4556</v>
      </c>
      <c r="AD46">
        <v>0</v>
      </c>
    </row>
    <row r="47" spans="29:30" x14ac:dyDescent="0.25">
      <c r="AC47" s="23" t="s">
        <v>4390</v>
      </c>
      <c r="AD47">
        <v>0</v>
      </c>
    </row>
    <row r="48" spans="29:30" x14ac:dyDescent="0.25">
      <c r="AC48" s="23" t="s">
        <v>4532</v>
      </c>
      <c r="AD48">
        <v>0</v>
      </c>
    </row>
    <row r="49" spans="29:30" x14ac:dyDescent="0.25">
      <c r="AC49" s="23" t="s">
        <v>4378</v>
      </c>
      <c r="AD49">
        <v>0</v>
      </c>
    </row>
    <row r="50" spans="29:30" x14ac:dyDescent="0.25">
      <c r="AC50" s="23" t="s">
        <v>4687</v>
      </c>
      <c r="AD50">
        <v>0</v>
      </c>
    </row>
    <row r="51" spans="29:30" x14ac:dyDescent="0.25">
      <c r="AC51" s="23" t="s">
        <v>4392</v>
      </c>
      <c r="AD51">
        <v>0</v>
      </c>
    </row>
    <row r="52" spans="29:30" x14ac:dyDescent="0.25">
      <c r="AC52" s="23" t="s">
        <v>5244</v>
      </c>
      <c r="AD52">
        <v>0</v>
      </c>
    </row>
    <row r="53" spans="29:30" x14ac:dyDescent="0.25">
      <c r="AC53" s="23" t="s">
        <v>4366</v>
      </c>
      <c r="AD53">
        <v>0</v>
      </c>
    </row>
    <row r="54" spans="29:30" x14ac:dyDescent="0.25">
      <c r="AC54" s="23" t="s">
        <v>5280</v>
      </c>
      <c r="AD54">
        <v>0</v>
      </c>
    </row>
    <row r="55" spans="29:30" x14ac:dyDescent="0.25">
      <c r="AC55" s="23" t="s">
        <v>4372</v>
      </c>
      <c r="AD55">
        <v>0</v>
      </c>
    </row>
    <row r="56" spans="29:30" x14ac:dyDescent="0.25">
      <c r="AC56" s="23" t="s">
        <v>5252</v>
      </c>
      <c r="AD56">
        <v>0</v>
      </c>
    </row>
    <row r="57" spans="29:30" x14ac:dyDescent="0.25">
      <c r="AC57" s="23" t="s">
        <v>4364</v>
      </c>
      <c r="AD57">
        <v>0</v>
      </c>
    </row>
    <row r="58" spans="29:30" x14ac:dyDescent="0.25">
      <c r="AC58" s="23" t="s">
        <v>5258</v>
      </c>
      <c r="AD58">
        <v>0</v>
      </c>
    </row>
    <row r="59" spans="29:30" x14ac:dyDescent="0.25">
      <c r="AC59" s="23" t="s">
        <v>4384</v>
      </c>
      <c r="AD59">
        <v>0</v>
      </c>
    </row>
    <row r="60" spans="29:30" x14ac:dyDescent="0.25">
      <c r="AC60" s="23" t="s">
        <v>5290</v>
      </c>
      <c r="AD60">
        <v>0</v>
      </c>
    </row>
    <row r="61" spans="29:30" x14ac:dyDescent="0.25">
      <c r="AC61" s="23" t="s">
        <v>4382</v>
      </c>
      <c r="AD61">
        <v>0</v>
      </c>
    </row>
    <row r="62" spans="29:30" x14ac:dyDescent="0.25">
      <c r="AC62" s="23" t="s">
        <v>5300</v>
      </c>
      <c r="AD62">
        <v>0</v>
      </c>
    </row>
    <row r="63" spans="29:30" x14ac:dyDescent="0.25">
      <c r="AC63" s="23" t="s">
        <v>4386</v>
      </c>
      <c r="AD63">
        <v>0</v>
      </c>
    </row>
    <row r="64" spans="29:30" x14ac:dyDescent="0.25">
      <c r="AC64" s="23" t="s">
        <v>4520</v>
      </c>
      <c r="AD64">
        <v>0</v>
      </c>
    </row>
    <row r="65" spans="29:30" x14ac:dyDescent="0.25">
      <c r="AC65" s="23" t="s">
        <v>4394</v>
      </c>
      <c r="AD65">
        <v>0</v>
      </c>
    </row>
    <row r="66" spans="29:30" x14ac:dyDescent="0.25">
      <c r="AC66" s="23" t="s">
        <v>4562</v>
      </c>
      <c r="AD66">
        <v>0</v>
      </c>
    </row>
    <row r="67" spans="29:30" x14ac:dyDescent="0.25">
      <c r="AC67" s="23" t="s">
        <v>5196</v>
      </c>
      <c r="AD67">
        <v>0</v>
      </c>
    </row>
    <row r="68" spans="29:30" x14ac:dyDescent="0.25">
      <c r="AC68" s="23" t="s">
        <v>4548</v>
      </c>
      <c r="AD68">
        <v>0</v>
      </c>
    </row>
    <row r="69" spans="29:30" x14ac:dyDescent="0.25">
      <c r="AC69" s="23" t="s">
        <v>4396</v>
      </c>
      <c r="AD69">
        <v>0</v>
      </c>
    </row>
    <row r="70" spans="29:30" x14ac:dyDescent="0.25">
      <c r="AC70" s="23" t="s">
        <v>4612</v>
      </c>
      <c r="AD70">
        <v>0</v>
      </c>
    </row>
    <row r="71" spans="29:30" x14ac:dyDescent="0.25">
      <c r="AC71" s="23" t="s">
        <v>4380</v>
      </c>
      <c r="AD71">
        <v>0</v>
      </c>
    </row>
    <row r="72" spans="29:30" x14ac:dyDescent="0.25">
      <c r="AC72" s="23" t="s">
        <v>4560</v>
      </c>
      <c r="AD72">
        <v>0</v>
      </c>
    </row>
    <row r="73" spans="29:30" x14ac:dyDescent="0.25">
      <c r="AC73" s="23" t="s">
        <v>4028</v>
      </c>
      <c r="AD73">
        <v>0</v>
      </c>
    </row>
    <row r="74" spans="29:30" x14ac:dyDescent="0.25">
      <c r="AC74" s="23" t="s">
        <v>4458</v>
      </c>
      <c r="AD74">
        <v>0</v>
      </c>
    </row>
    <row r="75" spans="29:30" x14ac:dyDescent="0.25">
      <c r="AC75" s="23" t="s">
        <v>5202</v>
      </c>
      <c r="AD75">
        <v>0</v>
      </c>
    </row>
    <row r="76" spans="29:30" x14ac:dyDescent="0.25">
      <c r="AC76" s="23" t="s">
        <v>4644</v>
      </c>
      <c r="AD76">
        <v>0</v>
      </c>
    </row>
    <row r="77" spans="29:30" x14ac:dyDescent="0.25">
      <c r="AC77" s="23" t="s">
        <v>4492</v>
      </c>
      <c r="AD77">
        <v>0</v>
      </c>
    </row>
    <row r="78" spans="29:30" x14ac:dyDescent="0.25">
      <c r="AC78" s="23" t="s">
        <v>4681</v>
      </c>
      <c r="AD78">
        <v>0</v>
      </c>
    </row>
    <row r="79" spans="29:30" x14ac:dyDescent="0.25">
      <c r="AC79" s="23" t="s">
        <v>4502</v>
      </c>
      <c r="AD79">
        <v>0</v>
      </c>
    </row>
    <row r="80" spans="29:30" x14ac:dyDescent="0.25">
      <c r="AC80" s="23" t="s">
        <v>4452</v>
      </c>
      <c r="AD80">
        <v>0</v>
      </c>
    </row>
    <row r="81" spans="29:30" x14ac:dyDescent="0.25">
      <c r="AC81" s="23" t="s">
        <v>4406</v>
      </c>
      <c r="AD81">
        <v>0</v>
      </c>
    </row>
    <row r="82" spans="29:30" x14ac:dyDescent="0.25">
      <c r="AC82" s="23" t="s">
        <v>4568</v>
      </c>
      <c r="AD82">
        <v>0</v>
      </c>
    </row>
    <row r="83" spans="29:30" x14ac:dyDescent="0.25">
      <c r="AC83" s="23" t="s">
        <v>4538</v>
      </c>
      <c r="AD83">
        <v>0</v>
      </c>
    </row>
    <row r="84" spans="29:30" x14ac:dyDescent="0.25">
      <c r="AC84" s="23" t="s">
        <v>4424</v>
      </c>
      <c r="AD84">
        <v>0</v>
      </c>
    </row>
    <row r="85" spans="29:30" x14ac:dyDescent="0.25">
      <c r="AC85" s="23" t="s">
        <v>4246</v>
      </c>
      <c r="AD85">
        <v>0</v>
      </c>
    </row>
    <row r="86" spans="29:30" x14ac:dyDescent="0.25">
      <c r="AC86" s="23" t="s">
        <v>4594</v>
      </c>
      <c r="AD86">
        <v>0</v>
      </c>
    </row>
    <row r="87" spans="29:30" x14ac:dyDescent="0.25">
      <c r="AC87" s="23" t="s">
        <v>4440</v>
      </c>
      <c r="AD87">
        <v>0</v>
      </c>
    </row>
    <row r="88" spans="29:30" x14ac:dyDescent="0.25">
      <c r="AC88" s="23" t="s">
        <v>4590</v>
      </c>
      <c r="AD88">
        <v>0</v>
      </c>
    </row>
    <row r="89" spans="29:30" x14ac:dyDescent="0.25">
      <c r="AC89" s="23" t="s">
        <v>5204</v>
      </c>
      <c r="AD89">
        <v>0</v>
      </c>
    </row>
    <row r="90" spans="29:30" x14ac:dyDescent="0.25">
      <c r="AC90" s="23" t="s">
        <v>4636</v>
      </c>
      <c r="AD90">
        <v>0</v>
      </c>
    </row>
    <row r="91" spans="29:30" x14ac:dyDescent="0.25">
      <c r="AC91" s="23" t="s">
        <v>5216</v>
      </c>
      <c r="AD91">
        <v>0</v>
      </c>
    </row>
    <row r="92" spans="29:30" x14ac:dyDescent="0.25">
      <c r="AC92" s="23" t="s">
        <v>4588</v>
      </c>
      <c r="AD92">
        <v>0</v>
      </c>
    </row>
    <row r="93" spans="29:30" x14ac:dyDescent="0.25">
      <c r="AC93" s="23" t="s">
        <v>4400</v>
      </c>
      <c r="AD93">
        <v>0</v>
      </c>
    </row>
    <row r="94" spans="29:30" x14ac:dyDescent="0.25">
      <c r="AC94" s="23" t="s">
        <v>4422</v>
      </c>
      <c r="AD94">
        <v>0</v>
      </c>
    </row>
    <row r="95" spans="29:30" x14ac:dyDescent="0.25">
      <c r="AC95" s="23" t="s">
        <v>4552</v>
      </c>
      <c r="AD95">
        <v>0</v>
      </c>
    </row>
    <row r="96" spans="29:30" x14ac:dyDescent="0.25">
      <c r="AC96" s="23" t="s">
        <v>4574</v>
      </c>
      <c r="AD96">
        <v>0</v>
      </c>
    </row>
    <row r="97" spans="29:30" x14ac:dyDescent="0.25">
      <c r="AC97" s="23" t="s">
        <v>4506</v>
      </c>
      <c r="AD97">
        <v>0</v>
      </c>
    </row>
    <row r="98" spans="29:30" x14ac:dyDescent="0.25">
      <c r="AC98" s="23" t="s">
        <v>4691</v>
      </c>
      <c r="AD98">
        <v>0</v>
      </c>
    </row>
    <row r="99" spans="29:30" x14ac:dyDescent="0.25">
      <c r="AC99" s="23" t="s">
        <v>4630</v>
      </c>
      <c r="AD99">
        <v>0</v>
      </c>
    </row>
    <row r="100" spans="29:30" x14ac:dyDescent="0.25">
      <c r="AC100" s="23" t="s">
        <v>4689</v>
      </c>
      <c r="AD100">
        <v>0</v>
      </c>
    </row>
    <row r="101" spans="29:30" x14ac:dyDescent="0.25">
      <c r="AC101" s="23" t="s">
        <v>5224</v>
      </c>
      <c r="AD101">
        <v>0</v>
      </c>
    </row>
    <row r="102" spans="29:30" x14ac:dyDescent="0.25">
      <c r="AC102" s="23" t="s">
        <v>4697</v>
      </c>
      <c r="AD102">
        <v>0</v>
      </c>
    </row>
    <row r="103" spans="29:30" x14ac:dyDescent="0.25">
      <c r="AC103" s="23" t="s">
        <v>4408</v>
      </c>
      <c r="AD103">
        <v>0</v>
      </c>
    </row>
    <row r="104" spans="29:30" x14ac:dyDescent="0.25">
      <c r="AC104" s="23" t="s">
        <v>4701</v>
      </c>
      <c r="AD104">
        <v>0</v>
      </c>
    </row>
    <row r="105" spans="29:30" x14ac:dyDescent="0.25">
      <c r="AC105" s="23" t="s">
        <v>4624</v>
      </c>
      <c r="AD105">
        <v>0</v>
      </c>
    </row>
    <row r="106" spans="29:30" x14ac:dyDescent="0.25">
      <c r="AC106" s="23" t="s">
        <v>5272</v>
      </c>
      <c r="AD106">
        <v>0</v>
      </c>
    </row>
    <row r="107" spans="29:30" x14ac:dyDescent="0.25">
      <c r="AC107" s="23" t="s">
        <v>4608</v>
      </c>
      <c r="AD107">
        <v>0</v>
      </c>
    </row>
    <row r="108" spans="29:30" x14ac:dyDescent="0.25">
      <c r="AC108" s="23" t="s">
        <v>5270</v>
      </c>
      <c r="AD108">
        <v>0</v>
      </c>
    </row>
    <row r="109" spans="29:30" x14ac:dyDescent="0.25">
      <c r="AC109" s="23" t="s">
        <v>4404</v>
      </c>
      <c r="AD109">
        <v>0</v>
      </c>
    </row>
    <row r="110" spans="29:30" x14ac:dyDescent="0.25">
      <c r="AC110" s="23" t="s">
        <v>234</v>
      </c>
      <c r="AD110">
        <v>0</v>
      </c>
    </row>
    <row r="111" spans="29:30" x14ac:dyDescent="0.25">
      <c r="AC111" s="23" t="s">
        <v>4410</v>
      </c>
      <c r="AD111">
        <v>0</v>
      </c>
    </row>
    <row r="112" spans="29:30" x14ac:dyDescent="0.25">
      <c r="AC112" s="23" t="s">
        <v>5296</v>
      </c>
      <c r="AD112">
        <v>0</v>
      </c>
    </row>
    <row r="113" spans="29:30" x14ac:dyDescent="0.25">
      <c r="AC113" s="23" t="s">
        <v>4486</v>
      </c>
      <c r="AD113">
        <v>0</v>
      </c>
    </row>
    <row r="114" spans="29:30" x14ac:dyDescent="0.25">
      <c r="AC114" s="23" t="s">
        <v>148</v>
      </c>
      <c r="AD114">
        <v>0</v>
      </c>
    </row>
    <row r="115" spans="29:30" x14ac:dyDescent="0.25">
      <c r="AC115" s="23" t="s">
        <v>4466</v>
      </c>
      <c r="AD115">
        <v>0</v>
      </c>
    </row>
    <row r="116" spans="29:30" x14ac:dyDescent="0.25">
      <c r="AC116" s="23" t="s">
        <v>5234</v>
      </c>
      <c r="AD116">
        <v>0</v>
      </c>
    </row>
    <row r="117" spans="29:30" x14ac:dyDescent="0.25">
      <c r="AC117" s="23" t="s">
        <v>4584</v>
      </c>
      <c r="AD117">
        <v>0</v>
      </c>
    </row>
    <row r="118" spans="29:30" x14ac:dyDescent="0.25">
      <c r="AC118" s="23" t="s">
        <v>5260</v>
      </c>
      <c r="AD118">
        <v>0</v>
      </c>
    </row>
    <row r="119" spans="29:30" x14ac:dyDescent="0.25">
      <c r="AC119" s="23" t="s">
        <v>4398</v>
      </c>
      <c r="AD119">
        <v>0</v>
      </c>
    </row>
    <row r="120" spans="29:30" x14ac:dyDescent="0.25">
      <c r="AC120" s="23" t="s">
        <v>3300</v>
      </c>
      <c r="AD120">
        <v>0</v>
      </c>
    </row>
    <row r="121" spans="29:30" x14ac:dyDescent="0.25">
      <c r="AC121" s="23" t="s">
        <v>4412</v>
      </c>
      <c r="AD121">
        <v>0</v>
      </c>
    </row>
    <row r="122" spans="29:30" x14ac:dyDescent="0.25">
      <c r="AC122" s="23" t="s">
        <v>3359</v>
      </c>
      <c r="AD122">
        <v>0</v>
      </c>
    </row>
    <row r="123" spans="29:30" x14ac:dyDescent="0.25">
      <c r="AC123" s="23" t="s">
        <v>4468</v>
      </c>
      <c r="AD123">
        <v>0</v>
      </c>
    </row>
    <row r="124" spans="29:30" x14ac:dyDescent="0.25">
      <c r="AC124" s="23" t="s">
        <v>5282</v>
      </c>
      <c r="AD124">
        <v>0</v>
      </c>
    </row>
    <row r="125" spans="29:30" x14ac:dyDescent="0.25">
      <c r="AC125" s="23" t="s">
        <v>4494</v>
      </c>
      <c r="AD125">
        <v>0</v>
      </c>
    </row>
    <row r="126" spans="29:30" x14ac:dyDescent="0.25">
      <c r="AC126" s="23" t="s">
        <v>5310</v>
      </c>
      <c r="AD126">
        <v>0</v>
      </c>
    </row>
    <row r="127" spans="29:30" x14ac:dyDescent="0.25">
      <c r="AC127" s="23" t="s">
        <v>4420</v>
      </c>
      <c r="AD127">
        <v>0</v>
      </c>
    </row>
    <row r="128" spans="29:30" x14ac:dyDescent="0.25">
      <c r="AC128" s="23" t="s">
        <v>4516</v>
      </c>
      <c r="AD128">
        <v>0</v>
      </c>
    </row>
    <row r="129" spans="29:30" x14ac:dyDescent="0.25">
      <c r="AC129" s="23" t="s">
        <v>4446</v>
      </c>
      <c r="AD129">
        <v>0</v>
      </c>
    </row>
    <row r="130" spans="29:30" x14ac:dyDescent="0.25">
      <c r="AC130" s="23" t="s">
        <v>4438</v>
      </c>
      <c r="AD130">
        <v>0</v>
      </c>
    </row>
    <row r="131" spans="29:30" x14ac:dyDescent="0.25">
      <c r="AC131" s="23" t="s">
        <v>4432</v>
      </c>
      <c r="AD131">
        <v>0</v>
      </c>
    </row>
    <row r="132" spans="29:30" x14ac:dyDescent="0.25">
      <c r="AC132" s="23" t="s">
        <v>4558</v>
      </c>
      <c r="AD132">
        <v>0</v>
      </c>
    </row>
    <row r="133" spans="29:30" x14ac:dyDescent="0.25">
      <c r="AC133" s="23" t="s">
        <v>4620</v>
      </c>
      <c r="AD133">
        <v>0</v>
      </c>
    </row>
    <row r="134" spans="29:30" x14ac:dyDescent="0.25">
      <c r="AC134" s="23" t="s">
        <v>4576</v>
      </c>
      <c r="AD134">
        <v>0</v>
      </c>
    </row>
    <row r="135" spans="29:30" x14ac:dyDescent="0.25">
      <c r="AC135" s="23" t="s">
        <v>4544</v>
      </c>
      <c r="AD135">
        <v>0</v>
      </c>
    </row>
    <row r="136" spans="29:30" x14ac:dyDescent="0.25">
      <c r="AC136" s="23" t="s">
        <v>4554</v>
      </c>
      <c r="AD136">
        <v>0</v>
      </c>
    </row>
    <row r="137" spans="29:30" x14ac:dyDescent="0.25">
      <c r="AC137" s="23" t="s">
        <v>5208</v>
      </c>
      <c r="AD137">
        <v>0</v>
      </c>
    </row>
    <row r="138" spans="29:30" x14ac:dyDescent="0.25">
      <c r="AC138" s="23" t="s">
        <v>4683</v>
      </c>
      <c r="AD138">
        <v>0</v>
      </c>
    </row>
    <row r="139" spans="29:30" x14ac:dyDescent="0.25">
      <c r="AC139" s="23" t="s">
        <v>4662</v>
      </c>
      <c r="AD139">
        <v>0</v>
      </c>
    </row>
    <row r="140" spans="29:30" x14ac:dyDescent="0.25">
      <c r="AC140" s="23" t="s">
        <v>4546</v>
      </c>
      <c r="AD140">
        <v>0</v>
      </c>
    </row>
    <row r="141" spans="29:30" x14ac:dyDescent="0.25">
      <c r="AC141" s="23" t="s">
        <v>4434</v>
      </c>
      <c r="AD141">
        <v>0</v>
      </c>
    </row>
    <row r="142" spans="29:30" x14ac:dyDescent="0.25">
      <c r="AC142" s="23" t="s">
        <v>4614</v>
      </c>
      <c r="AD142">
        <v>0</v>
      </c>
    </row>
    <row r="143" spans="29:30" x14ac:dyDescent="0.25">
      <c r="AC143" s="23" t="s">
        <v>4426</v>
      </c>
      <c r="AD143">
        <v>0</v>
      </c>
    </row>
    <row r="144" spans="29:30" x14ac:dyDescent="0.25">
      <c r="AC144" s="23" t="s">
        <v>4526</v>
      </c>
      <c r="AD144">
        <v>0</v>
      </c>
    </row>
    <row r="145" spans="29:30" x14ac:dyDescent="0.25">
      <c r="AC145" s="23" t="s">
        <v>4534</v>
      </c>
      <c r="AD145">
        <v>0</v>
      </c>
    </row>
    <row r="146" spans="29:30" x14ac:dyDescent="0.25">
      <c r="AC146" s="23" t="s">
        <v>4448</v>
      </c>
      <c r="AD146">
        <v>0</v>
      </c>
    </row>
    <row r="147" spans="29:30" x14ac:dyDescent="0.25">
      <c r="AC147" s="23" t="s">
        <v>4414</v>
      </c>
      <c r="AD147">
        <v>0</v>
      </c>
    </row>
    <row r="148" spans="29:30" x14ac:dyDescent="0.25">
      <c r="AC148" s="23" t="s">
        <v>4450</v>
      </c>
      <c r="AD148">
        <v>0</v>
      </c>
    </row>
    <row r="149" spans="29:30" x14ac:dyDescent="0.25">
      <c r="AC149" s="23" t="s">
        <v>4674</v>
      </c>
      <c r="AD149">
        <v>0</v>
      </c>
    </row>
    <row r="150" spans="29:30" x14ac:dyDescent="0.25">
      <c r="AC150" s="23" t="s">
        <v>4456</v>
      </c>
      <c r="AD150">
        <v>0</v>
      </c>
    </row>
    <row r="151" spans="29:30" x14ac:dyDescent="0.25">
      <c r="AC151" s="23" t="s">
        <v>4672</v>
      </c>
      <c r="AD151">
        <v>0</v>
      </c>
    </row>
    <row r="152" spans="29:30" x14ac:dyDescent="0.25">
      <c r="AC152" s="23" t="s">
        <v>4610</v>
      </c>
      <c r="AD152">
        <v>0</v>
      </c>
    </row>
    <row r="153" spans="29:30" x14ac:dyDescent="0.25">
      <c r="AC153" s="23" t="s">
        <v>4622</v>
      </c>
      <c r="AD153">
        <v>0</v>
      </c>
    </row>
    <row r="154" spans="29:30" x14ac:dyDescent="0.25">
      <c r="AC154" s="23" t="s">
        <v>4650</v>
      </c>
      <c r="AD154">
        <v>0</v>
      </c>
    </row>
    <row r="155" spans="29:30" x14ac:dyDescent="0.25">
      <c r="AC155" s="23" t="s">
        <v>4428</v>
      </c>
      <c r="AD155">
        <v>0</v>
      </c>
    </row>
    <row r="156" spans="29:30" x14ac:dyDescent="0.25">
      <c r="AC156" s="23" t="s">
        <v>4528</v>
      </c>
      <c r="AD156">
        <v>0</v>
      </c>
    </row>
    <row r="157" spans="29:30" x14ac:dyDescent="0.25">
      <c r="AC157" s="23" t="s">
        <v>4626</v>
      </c>
      <c r="AD157">
        <v>0</v>
      </c>
    </row>
    <row r="158" spans="29:30" x14ac:dyDescent="0.25">
      <c r="AC158" s="23" t="s">
        <v>4604</v>
      </c>
      <c r="AD158">
        <v>0</v>
      </c>
    </row>
    <row r="159" spans="29:30" x14ac:dyDescent="0.25">
      <c r="AC159" s="23" t="s">
        <v>4442</v>
      </c>
      <c r="AD159">
        <v>0</v>
      </c>
    </row>
    <row r="160" spans="29:30" x14ac:dyDescent="0.25">
      <c r="AC160" s="23" t="s">
        <v>4504</v>
      </c>
      <c r="AD160">
        <v>0</v>
      </c>
    </row>
    <row r="161" spans="29:30" x14ac:dyDescent="0.25">
      <c r="AC161" s="23" t="s">
        <v>5200</v>
      </c>
      <c r="AD161">
        <v>0</v>
      </c>
    </row>
    <row r="162" spans="29:30" x14ac:dyDescent="0.25">
      <c r="AC162" s="23" t="s">
        <v>1402</v>
      </c>
      <c r="AD162">
        <v>0</v>
      </c>
    </row>
    <row r="163" spans="29:30" x14ac:dyDescent="0.25">
      <c r="AC163" s="23" t="s">
        <v>4646</v>
      </c>
      <c r="AD163">
        <v>0</v>
      </c>
    </row>
    <row r="164" spans="29:30" x14ac:dyDescent="0.25">
      <c r="AC164" s="23" t="s">
        <v>4598</v>
      </c>
      <c r="AD164">
        <v>0</v>
      </c>
    </row>
    <row r="165" spans="29:30" x14ac:dyDescent="0.25">
      <c r="AC165" s="23" t="s">
        <v>4648</v>
      </c>
      <c r="AD165">
        <v>0</v>
      </c>
    </row>
    <row r="166" spans="29:30" x14ac:dyDescent="0.25">
      <c r="AC166" s="23" t="s">
        <v>4508</v>
      </c>
      <c r="AD166">
        <v>0</v>
      </c>
    </row>
    <row r="167" spans="29:30" x14ac:dyDescent="0.25">
      <c r="AC167" s="23" t="s">
        <v>4580</v>
      </c>
      <c r="AD167">
        <v>0</v>
      </c>
    </row>
    <row r="168" spans="29:30" x14ac:dyDescent="0.25">
      <c r="AC168" s="23" t="s">
        <v>4666</v>
      </c>
      <c r="AD168">
        <v>0</v>
      </c>
    </row>
    <row r="169" spans="29:30" x14ac:dyDescent="0.25">
      <c r="AC169" s="23" t="s">
        <v>4656</v>
      </c>
      <c r="AD169">
        <v>0</v>
      </c>
    </row>
    <row r="170" spans="29:30" x14ac:dyDescent="0.25">
      <c r="AC170" s="23" t="s">
        <v>4578</v>
      </c>
      <c r="AD170">
        <v>0</v>
      </c>
    </row>
    <row r="171" spans="29:30" x14ac:dyDescent="0.25">
      <c r="AC171" s="23" t="s">
        <v>4416</v>
      </c>
      <c r="AD171">
        <v>0</v>
      </c>
    </row>
    <row r="172" spans="29:30" x14ac:dyDescent="0.25">
      <c r="AC172" s="23" t="s">
        <v>4460</v>
      </c>
      <c r="AD172">
        <v>0</v>
      </c>
    </row>
    <row r="173" spans="29:30" x14ac:dyDescent="0.25">
      <c r="AC173" s="23" t="s">
        <v>4632</v>
      </c>
      <c r="AD173">
        <v>0</v>
      </c>
    </row>
    <row r="174" spans="29:30" x14ac:dyDescent="0.25">
      <c r="AC174" s="23" t="s">
        <v>4592</v>
      </c>
      <c r="AD174">
        <v>0</v>
      </c>
    </row>
    <row r="175" spans="29:30" x14ac:dyDescent="0.25">
      <c r="AC175" s="23" t="s">
        <v>4402</v>
      </c>
      <c r="AD175">
        <v>0</v>
      </c>
    </row>
    <row r="176" spans="29:30" x14ac:dyDescent="0.25">
      <c r="AC176" s="23" t="s">
        <v>4496</v>
      </c>
      <c r="AD176">
        <v>0</v>
      </c>
    </row>
    <row r="177" spans="29:30" x14ac:dyDescent="0.25">
      <c r="AC177" s="23" t="s">
        <v>4418</v>
      </c>
      <c r="AD177">
        <v>0</v>
      </c>
    </row>
    <row r="178" spans="29:30" x14ac:dyDescent="0.25">
      <c r="AC178" s="23" t="s">
        <v>4677</v>
      </c>
      <c r="AD178">
        <v>0</v>
      </c>
    </row>
    <row r="179" spans="29:30" x14ac:dyDescent="0.25">
      <c r="AC179" s="23" t="s">
        <v>4618</v>
      </c>
      <c r="AD179">
        <v>0</v>
      </c>
    </row>
    <row r="180" spans="29:30" x14ac:dyDescent="0.25">
      <c r="AC180" s="23" t="s">
        <v>4462</v>
      </c>
      <c r="AD180">
        <v>0</v>
      </c>
    </row>
    <row r="181" spans="29:30" x14ac:dyDescent="0.25">
      <c r="AC181" s="23" t="s">
        <v>4430</v>
      </c>
      <c r="AD181">
        <v>0</v>
      </c>
    </row>
    <row r="182" spans="29:30" x14ac:dyDescent="0.25">
      <c r="AC182" s="23" t="s">
        <v>4596</v>
      </c>
      <c r="AD182">
        <v>0</v>
      </c>
    </row>
    <row r="183" spans="29:30" x14ac:dyDescent="0.25">
      <c r="AC183" s="23" t="s">
        <v>4488</v>
      </c>
      <c r="AD183">
        <v>0</v>
      </c>
    </row>
    <row r="184" spans="29:30" x14ac:dyDescent="0.25">
      <c r="AC184" s="23" t="s">
        <v>5222</v>
      </c>
      <c r="AD184">
        <v>0</v>
      </c>
    </row>
    <row r="185" spans="29:30" x14ac:dyDescent="0.25">
      <c r="AC185" s="23" t="s">
        <v>5226</v>
      </c>
      <c r="AD185">
        <v>0</v>
      </c>
    </row>
    <row r="186" spans="29:30" x14ac:dyDescent="0.25">
      <c r="AC186" s="23" t="s">
        <v>4600</v>
      </c>
      <c r="AD186">
        <v>0</v>
      </c>
    </row>
    <row r="187" spans="29:30" x14ac:dyDescent="0.25">
      <c r="AC187" s="23" t="s">
        <v>4670</v>
      </c>
      <c r="AD187">
        <v>0</v>
      </c>
    </row>
    <row r="188" spans="29:30" x14ac:dyDescent="0.25">
      <c r="AC188" s="23" t="s">
        <v>3589</v>
      </c>
      <c r="AD188">
        <v>0</v>
      </c>
    </row>
    <row r="189" spans="29:30" x14ac:dyDescent="0.25">
      <c r="AC189" s="23" t="s">
        <v>4564</v>
      </c>
      <c r="AD189">
        <v>0</v>
      </c>
    </row>
    <row r="190" spans="29:30" x14ac:dyDescent="0.25">
      <c r="AC190" s="23" t="s">
        <v>5035</v>
      </c>
      <c r="AD190">
        <v>0</v>
      </c>
    </row>
    <row r="191" spans="29:30" x14ac:dyDescent="0.25">
      <c r="AC191" s="23" t="s">
        <v>766</v>
      </c>
      <c r="AD191">
        <v>0</v>
      </c>
    </row>
    <row r="192" spans="29:30" x14ac:dyDescent="0.25">
      <c r="AC192" s="23" t="s">
        <v>4572</v>
      </c>
      <c r="AD192">
        <v>0</v>
      </c>
    </row>
    <row r="193" spans="29:30" x14ac:dyDescent="0.25">
      <c r="AC193" s="23" t="s">
        <v>4474</v>
      </c>
      <c r="AD193">
        <v>0</v>
      </c>
    </row>
    <row r="194" spans="29:30" x14ac:dyDescent="0.25">
      <c r="AC194" s="23" t="s">
        <v>4658</v>
      </c>
      <c r="AD194">
        <v>0</v>
      </c>
    </row>
    <row r="195" spans="29:30" x14ac:dyDescent="0.25">
      <c r="AC195" s="23" t="s">
        <v>4839</v>
      </c>
      <c r="AD195">
        <v>0</v>
      </c>
    </row>
    <row r="196" spans="29:30" x14ac:dyDescent="0.25">
      <c r="AC196" s="23" t="s">
        <v>4660</v>
      </c>
      <c r="AD196">
        <v>0</v>
      </c>
    </row>
    <row r="197" spans="29:30" x14ac:dyDescent="0.25">
      <c r="AC197" s="23" t="s">
        <v>4550</v>
      </c>
      <c r="AD197">
        <v>0</v>
      </c>
    </row>
    <row r="198" spans="29:30" x14ac:dyDescent="0.25">
      <c r="AC198" s="23" t="s">
        <v>4540</v>
      </c>
      <c r="AD198">
        <v>0</v>
      </c>
    </row>
    <row r="199" spans="29:30" x14ac:dyDescent="0.25">
      <c r="AC199" s="23" t="s">
        <v>4482</v>
      </c>
      <c r="AD199">
        <v>0</v>
      </c>
    </row>
    <row r="200" spans="29:30" x14ac:dyDescent="0.25">
      <c r="AC200" s="23" t="s">
        <v>4685</v>
      </c>
      <c r="AD200">
        <v>0</v>
      </c>
    </row>
    <row r="201" spans="29:30" x14ac:dyDescent="0.25">
      <c r="AC201" s="23" t="s">
        <v>4470</v>
      </c>
      <c r="AD201">
        <v>0</v>
      </c>
    </row>
    <row r="202" spans="29:30" x14ac:dyDescent="0.25">
      <c r="AC202" s="23" t="s">
        <v>2490</v>
      </c>
      <c r="AD202">
        <v>0</v>
      </c>
    </row>
    <row r="203" spans="29:30" x14ac:dyDescent="0.25">
      <c r="AC203" s="23" t="s">
        <v>4476</v>
      </c>
      <c r="AD203">
        <v>0</v>
      </c>
    </row>
    <row r="204" spans="29:30" x14ac:dyDescent="0.25">
      <c r="AC204" s="23" t="s">
        <v>4695</v>
      </c>
      <c r="AD204">
        <v>0</v>
      </c>
    </row>
    <row r="205" spans="29:30" x14ac:dyDescent="0.25">
      <c r="AC205" s="23" t="s">
        <v>5220</v>
      </c>
      <c r="AD205">
        <v>0</v>
      </c>
    </row>
    <row r="206" spans="29:30" x14ac:dyDescent="0.25">
      <c r="AC206" s="23" t="s">
        <v>4705</v>
      </c>
      <c r="AD206">
        <v>0</v>
      </c>
    </row>
    <row r="207" spans="29:30" x14ac:dyDescent="0.25">
      <c r="AC207" s="23" t="s">
        <v>4652</v>
      </c>
      <c r="AD207">
        <v>0</v>
      </c>
    </row>
    <row r="208" spans="29:30" x14ac:dyDescent="0.25">
      <c r="AC208" s="23" t="s">
        <v>5228</v>
      </c>
      <c r="AD208">
        <v>0</v>
      </c>
    </row>
    <row r="209" spans="29:30" x14ac:dyDescent="0.25">
      <c r="AC209" s="23" t="s">
        <v>4480</v>
      </c>
      <c r="AD209">
        <v>0</v>
      </c>
    </row>
    <row r="210" spans="29:30" x14ac:dyDescent="0.25">
      <c r="AC210" s="23" t="s">
        <v>4703</v>
      </c>
      <c r="AD210">
        <v>0</v>
      </c>
    </row>
    <row r="211" spans="29:30" x14ac:dyDescent="0.25">
      <c r="AC211" s="23" t="s">
        <v>4628</v>
      </c>
      <c r="AD211">
        <v>0</v>
      </c>
    </row>
    <row r="212" spans="29:30" x14ac:dyDescent="0.25">
      <c r="AC212" s="23" t="s">
        <v>5242</v>
      </c>
      <c r="AD212">
        <v>0</v>
      </c>
    </row>
    <row r="213" spans="29:30" x14ac:dyDescent="0.25">
      <c r="AC213" s="23" t="s">
        <v>5206</v>
      </c>
      <c r="AD213">
        <v>0</v>
      </c>
    </row>
    <row r="214" spans="29:30" x14ac:dyDescent="0.25">
      <c r="AC214" s="23" t="s">
        <v>5298</v>
      </c>
      <c r="AD214">
        <v>0</v>
      </c>
    </row>
    <row r="215" spans="29:30" x14ac:dyDescent="0.25">
      <c r="AC215" s="23" t="s">
        <v>4478</v>
      </c>
      <c r="AD215">
        <v>0</v>
      </c>
    </row>
    <row r="216" spans="29:30" x14ac:dyDescent="0.25">
      <c r="AC216" s="23" t="s">
        <v>5246</v>
      </c>
      <c r="AD216">
        <v>0</v>
      </c>
    </row>
    <row r="217" spans="29:30" x14ac:dyDescent="0.25">
      <c r="AC217" s="23" t="s">
        <v>256</v>
      </c>
      <c r="AD217">
        <v>0</v>
      </c>
    </row>
    <row r="218" spans="29:30" x14ac:dyDescent="0.25">
      <c r="AC218" s="23" t="s">
        <v>5288</v>
      </c>
      <c r="AD218">
        <v>0</v>
      </c>
    </row>
    <row r="219" spans="29:30" x14ac:dyDescent="0.25">
      <c r="AC219" s="23" t="s">
        <v>4304</v>
      </c>
      <c r="AD219">
        <v>0</v>
      </c>
    </row>
    <row r="220" spans="29:30" x14ac:dyDescent="0.25">
      <c r="AC220" s="23" t="s">
        <v>5294</v>
      </c>
      <c r="AD220">
        <v>0</v>
      </c>
    </row>
    <row r="221" spans="29:30" x14ac:dyDescent="0.25">
      <c r="AC221" s="23" t="s">
        <v>4570</v>
      </c>
      <c r="AD221">
        <v>0</v>
      </c>
    </row>
    <row r="222" spans="29:30" x14ac:dyDescent="0.25">
      <c r="AC222" s="23" t="s">
        <v>5306</v>
      </c>
      <c r="AD222">
        <v>0</v>
      </c>
    </row>
    <row r="223" spans="29:30" x14ac:dyDescent="0.25">
      <c r="AC223" s="23" t="s">
        <v>4634</v>
      </c>
      <c r="AD223">
        <v>0</v>
      </c>
    </row>
    <row r="224" spans="29:30" x14ac:dyDescent="0.25">
      <c r="AC224" s="23" t="s">
        <v>5264</v>
      </c>
      <c r="AD224">
        <v>0</v>
      </c>
    </row>
    <row r="225" spans="29:30" x14ac:dyDescent="0.25">
      <c r="AC225" s="23" t="s">
        <v>4322</v>
      </c>
      <c r="AD225">
        <v>0</v>
      </c>
    </row>
    <row r="226" spans="29:30" x14ac:dyDescent="0.25">
      <c r="AC226" s="23" t="s">
        <v>5276</v>
      </c>
      <c r="AD226">
        <v>0</v>
      </c>
    </row>
    <row r="227" spans="29:30" x14ac:dyDescent="0.25">
      <c r="AC227" s="23" t="s">
        <v>4679</v>
      </c>
      <c r="AD227">
        <v>0</v>
      </c>
    </row>
    <row r="228" spans="29:30" x14ac:dyDescent="0.25">
      <c r="AC228" s="23" t="s">
        <v>5256</v>
      </c>
      <c r="AD228">
        <v>0</v>
      </c>
    </row>
    <row r="229" spans="29:30" x14ac:dyDescent="0.25">
      <c r="AC229" s="23" t="s">
        <v>4436</v>
      </c>
      <c r="AD229">
        <v>0</v>
      </c>
    </row>
    <row r="230" spans="29:30" x14ac:dyDescent="0.25">
      <c r="AC230" s="23" t="s">
        <v>5292</v>
      </c>
      <c r="AD230">
        <v>0</v>
      </c>
    </row>
    <row r="231" spans="29:30" x14ac:dyDescent="0.25">
      <c r="AC231" s="23" t="s">
        <v>1070</v>
      </c>
      <c r="AD231">
        <v>0</v>
      </c>
    </row>
    <row r="232" spans="29:30" x14ac:dyDescent="0.25">
      <c r="AC232" s="23" t="s">
        <v>5278</v>
      </c>
      <c r="AD232">
        <v>0</v>
      </c>
    </row>
    <row r="233" spans="29:30" x14ac:dyDescent="0.25">
      <c r="AC233" s="23" t="s">
        <v>5218</v>
      </c>
      <c r="AD233">
        <v>0</v>
      </c>
    </row>
    <row r="234" spans="29:30" x14ac:dyDescent="0.25">
      <c r="AC234" s="23" t="s">
        <v>1400</v>
      </c>
      <c r="AD234">
        <v>0</v>
      </c>
    </row>
    <row r="235" spans="29:30" x14ac:dyDescent="0.25">
      <c r="AC235" s="23" t="s">
        <v>5212</v>
      </c>
      <c r="AD235">
        <v>0</v>
      </c>
    </row>
    <row r="236" spans="29:30" x14ac:dyDescent="0.25">
      <c r="AC236" s="23" t="s">
        <v>5274</v>
      </c>
      <c r="AD236">
        <v>0</v>
      </c>
    </row>
    <row r="237" spans="29:30" x14ac:dyDescent="0.25">
      <c r="AC237" s="23" t="s">
        <v>4640</v>
      </c>
      <c r="AD237">
        <v>0</v>
      </c>
    </row>
    <row r="238" spans="29:30" x14ac:dyDescent="0.25">
      <c r="AC238" s="23" t="s">
        <v>5262</v>
      </c>
      <c r="AD238">
        <v>0</v>
      </c>
    </row>
    <row r="239" spans="29:30" x14ac:dyDescent="0.25">
      <c r="AC239" s="23" t="s">
        <v>4566</v>
      </c>
      <c r="AD239">
        <v>0</v>
      </c>
    </row>
    <row r="240" spans="29:30" x14ac:dyDescent="0.25">
      <c r="AC240" s="23" t="s">
        <v>3302</v>
      </c>
      <c r="AD240">
        <v>0</v>
      </c>
    </row>
    <row r="241" spans="29:30" x14ac:dyDescent="0.25">
      <c r="AC241" s="23" t="s">
        <v>4642</v>
      </c>
      <c r="AD241">
        <v>0</v>
      </c>
    </row>
    <row r="242" spans="29:30" x14ac:dyDescent="0.25">
      <c r="AC242" s="23" t="s">
        <v>5266</v>
      </c>
      <c r="AD242">
        <v>0</v>
      </c>
    </row>
    <row r="243" spans="29:30" x14ac:dyDescent="0.25">
      <c r="AC243" s="23" t="s">
        <v>4654</v>
      </c>
      <c r="AD243">
        <v>0</v>
      </c>
    </row>
    <row r="244" spans="29:30" x14ac:dyDescent="0.25">
      <c r="AC244" s="23" t="s">
        <v>5236</v>
      </c>
      <c r="AD244">
        <v>0</v>
      </c>
    </row>
    <row r="245" spans="29:30" x14ac:dyDescent="0.25">
      <c r="AC245" s="23" t="s">
        <v>4500</v>
      </c>
      <c r="AD245">
        <v>0</v>
      </c>
    </row>
    <row r="246" spans="29:30" x14ac:dyDescent="0.25">
      <c r="AC246" s="23" t="s">
        <v>5284</v>
      </c>
      <c r="AD246">
        <v>0</v>
      </c>
    </row>
    <row r="247" spans="29:30" x14ac:dyDescent="0.25">
      <c r="AC247" s="23" t="s">
        <v>4490</v>
      </c>
      <c r="AD247">
        <v>0</v>
      </c>
    </row>
    <row r="248" spans="29:30" x14ac:dyDescent="0.25">
      <c r="AC248" s="23" t="s">
        <v>5302</v>
      </c>
      <c r="AD248">
        <v>0</v>
      </c>
    </row>
    <row r="249" spans="29:30" x14ac:dyDescent="0.25">
      <c r="AC249" s="23" t="s">
        <v>4356</v>
      </c>
      <c r="AD249">
        <v>0</v>
      </c>
    </row>
    <row r="250" spans="29:30" x14ac:dyDescent="0.25">
      <c r="AC250" s="23" t="s">
        <v>5254</v>
      </c>
      <c r="AD250">
        <v>0</v>
      </c>
    </row>
    <row r="251" spans="29:30" x14ac:dyDescent="0.25">
      <c r="AC251" s="23" t="s">
        <v>4498</v>
      </c>
      <c r="AD251">
        <v>0</v>
      </c>
    </row>
    <row r="252" spans="29:30" x14ac:dyDescent="0.25">
      <c r="AC252" s="23" t="s">
        <v>5308</v>
      </c>
      <c r="AD252">
        <v>0</v>
      </c>
    </row>
    <row r="253" spans="29:30" x14ac:dyDescent="0.25">
      <c r="AC253" s="23" t="s">
        <v>4693</v>
      </c>
      <c r="AD253">
        <v>0</v>
      </c>
    </row>
    <row r="254" spans="29:30" x14ac:dyDescent="0.25">
      <c r="AC254" s="23" t="s">
        <v>4278</v>
      </c>
      <c r="AD254">
        <v>0</v>
      </c>
    </row>
    <row r="255" spans="29:30" x14ac:dyDescent="0.25">
      <c r="AC255" s="23" t="s">
        <v>4510</v>
      </c>
      <c r="AD255">
        <v>0</v>
      </c>
    </row>
    <row r="256" spans="29:30" x14ac:dyDescent="0.25">
      <c r="AC256" s="23" t="s">
        <v>4272</v>
      </c>
      <c r="AD256">
        <v>0</v>
      </c>
    </row>
    <row r="257" spans="29:30" x14ac:dyDescent="0.25">
      <c r="AC257" s="23" t="s">
        <v>4163</v>
      </c>
      <c r="AD257">
        <v>0</v>
      </c>
    </row>
    <row r="258" spans="29:30" x14ac:dyDescent="0.25">
      <c r="AC258" s="23" t="s">
        <v>1685</v>
      </c>
      <c r="AD258">
        <v>0</v>
      </c>
    </row>
    <row r="259" spans="29:30" x14ac:dyDescent="0.25">
      <c r="AC259" s="23" t="s">
        <v>3964</v>
      </c>
      <c r="AD259">
        <v>0</v>
      </c>
    </row>
    <row r="260" spans="29:30" x14ac:dyDescent="0.25">
      <c r="AC260" s="23" t="s">
        <v>4045</v>
      </c>
      <c r="AD260">
        <v>0</v>
      </c>
    </row>
    <row r="261" spans="29:30" x14ac:dyDescent="0.25">
      <c r="AC261" s="23" t="s">
        <v>681</v>
      </c>
      <c r="AD261">
        <v>0</v>
      </c>
    </row>
    <row r="262" spans="29:30" x14ac:dyDescent="0.25">
      <c r="AC262" s="23" t="s">
        <v>4087</v>
      </c>
      <c r="AD262">
        <v>0</v>
      </c>
    </row>
    <row r="263" spans="29:30" x14ac:dyDescent="0.25">
      <c r="AC263" s="23" t="s">
        <v>3837</v>
      </c>
      <c r="AD263">
        <v>0</v>
      </c>
    </row>
    <row r="264" spans="29:30" x14ac:dyDescent="0.25">
      <c r="AC264" s="23" t="s">
        <v>4115</v>
      </c>
      <c r="AD264">
        <v>0</v>
      </c>
    </row>
    <row r="265" spans="29:30" x14ac:dyDescent="0.25">
      <c r="AC265" s="23" t="s">
        <v>5135</v>
      </c>
      <c r="AD265">
        <v>0</v>
      </c>
    </row>
    <row r="266" spans="29:30" x14ac:dyDescent="0.25">
      <c r="AC266" s="23" t="s">
        <v>4193</v>
      </c>
      <c r="AD266">
        <v>0</v>
      </c>
    </row>
    <row r="267" spans="29:30" x14ac:dyDescent="0.25">
      <c r="AC267" s="23" t="s">
        <v>3839</v>
      </c>
      <c r="AD267">
        <v>0</v>
      </c>
    </row>
    <row r="268" spans="29:30" x14ac:dyDescent="0.25">
      <c r="AC268" s="23" t="s">
        <v>4358</v>
      </c>
      <c r="AD268">
        <v>0</v>
      </c>
    </row>
    <row r="269" spans="29:30" x14ac:dyDescent="0.25">
      <c r="AC269" s="23" t="s">
        <v>3823</v>
      </c>
      <c r="AD269">
        <v>0</v>
      </c>
    </row>
    <row r="270" spans="29:30" x14ac:dyDescent="0.25">
      <c r="AC270" s="23" t="s">
        <v>4055</v>
      </c>
      <c r="AD270">
        <v>0</v>
      </c>
    </row>
    <row r="271" spans="29:30" x14ac:dyDescent="0.25">
      <c r="AC271" s="23" t="s">
        <v>5151</v>
      </c>
      <c r="AD271">
        <v>0</v>
      </c>
    </row>
    <row r="272" spans="29:30" x14ac:dyDescent="0.25">
      <c r="AC272" s="23" t="s">
        <v>4095</v>
      </c>
      <c r="AD272">
        <v>0</v>
      </c>
    </row>
    <row r="273" spans="29:30" x14ac:dyDescent="0.25">
      <c r="AC273" s="23" t="s">
        <v>3910</v>
      </c>
      <c r="AD273">
        <v>0</v>
      </c>
    </row>
    <row r="274" spans="29:30" x14ac:dyDescent="0.25">
      <c r="AC274" s="23" t="s">
        <v>4129</v>
      </c>
      <c r="AD274">
        <v>0</v>
      </c>
    </row>
    <row r="275" spans="29:30" x14ac:dyDescent="0.25">
      <c r="AC275" s="23" t="s">
        <v>4024</v>
      </c>
      <c r="AD275">
        <v>0</v>
      </c>
    </row>
    <row r="276" spans="29:30" x14ac:dyDescent="0.25">
      <c r="AC276" s="23" t="s">
        <v>4113</v>
      </c>
      <c r="AD276">
        <v>0</v>
      </c>
    </row>
    <row r="277" spans="29:30" x14ac:dyDescent="0.25">
      <c r="AC277" s="23" t="s">
        <v>3821</v>
      </c>
      <c r="AD277">
        <v>0</v>
      </c>
    </row>
    <row r="278" spans="29:30" x14ac:dyDescent="0.25">
      <c r="AC278" s="23" t="s">
        <v>2133</v>
      </c>
      <c r="AD278">
        <v>0</v>
      </c>
    </row>
    <row r="279" spans="29:30" x14ac:dyDescent="0.25">
      <c r="AC279" s="23" t="s">
        <v>3847</v>
      </c>
      <c r="AD279">
        <v>0</v>
      </c>
    </row>
    <row r="280" spans="29:30" x14ac:dyDescent="0.25">
      <c r="AC280" s="23" t="s">
        <v>4215</v>
      </c>
      <c r="AD280">
        <v>0</v>
      </c>
    </row>
    <row r="281" spans="29:30" x14ac:dyDescent="0.25">
      <c r="AC281" s="23" t="s">
        <v>3853</v>
      </c>
      <c r="AD281">
        <v>0</v>
      </c>
    </row>
    <row r="282" spans="29:30" x14ac:dyDescent="0.25">
      <c r="AC282" s="23" t="s">
        <v>4141</v>
      </c>
      <c r="AD282">
        <v>0</v>
      </c>
    </row>
    <row r="283" spans="29:30" x14ac:dyDescent="0.25">
      <c r="AC283" s="23" t="s">
        <v>3874</v>
      </c>
      <c r="AD283">
        <v>0</v>
      </c>
    </row>
    <row r="284" spans="29:30" x14ac:dyDescent="0.25">
      <c r="AC284" s="23" t="s">
        <v>4181</v>
      </c>
      <c r="AD284">
        <v>0</v>
      </c>
    </row>
    <row r="285" spans="29:30" x14ac:dyDescent="0.25">
      <c r="AC285" s="23" t="s">
        <v>3882</v>
      </c>
      <c r="AD285">
        <v>0</v>
      </c>
    </row>
    <row r="286" spans="29:30" x14ac:dyDescent="0.25">
      <c r="AC286" s="23" t="s">
        <v>5171</v>
      </c>
      <c r="AD286">
        <v>0</v>
      </c>
    </row>
    <row r="287" spans="29:30" x14ac:dyDescent="0.25">
      <c r="AC287" s="23" t="s">
        <v>3878</v>
      </c>
      <c r="AD287">
        <v>0</v>
      </c>
    </row>
    <row r="288" spans="29:30" x14ac:dyDescent="0.25">
      <c r="AC288" s="23" t="s">
        <v>4049</v>
      </c>
      <c r="AD288">
        <v>0</v>
      </c>
    </row>
    <row r="289" spans="29:30" x14ac:dyDescent="0.25">
      <c r="AC289" s="23" t="s">
        <v>3876</v>
      </c>
      <c r="AD289">
        <v>0</v>
      </c>
    </row>
    <row r="290" spans="29:30" x14ac:dyDescent="0.25">
      <c r="AC290" s="23" t="s">
        <v>4099</v>
      </c>
      <c r="AD290">
        <v>0</v>
      </c>
    </row>
    <row r="291" spans="29:30" x14ac:dyDescent="0.25">
      <c r="AC291" s="23" t="s">
        <v>3880</v>
      </c>
      <c r="AD291">
        <v>0</v>
      </c>
    </row>
    <row r="292" spans="29:30" x14ac:dyDescent="0.25">
      <c r="AC292" s="23" t="s">
        <v>1356</v>
      </c>
      <c r="AD292">
        <v>0</v>
      </c>
    </row>
    <row r="293" spans="29:30" x14ac:dyDescent="0.25">
      <c r="AC293" s="23" t="s">
        <v>5143</v>
      </c>
      <c r="AD293">
        <v>0</v>
      </c>
    </row>
    <row r="294" spans="29:30" x14ac:dyDescent="0.25">
      <c r="AC294" s="23" t="s">
        <v>2968</v>
      </c>
      <c r="AD294">
        <v>0</v>
      </c>
    </row>
    <row r="295" spans="29:30" x14ac:dyDescent="0.25">
      <c r="AC295" s="23" t="s">
        <v>3888</v>
      </c>
      <c r="AD295">
        <v>0</v>
      </c>
    </row>
    <row r="296" spans="29:30" x14ac:dyDescent="0.25">
      <c r="AC296" s="23" t="s">
        <v>4081</v>
      </c>
      <c r="AD296">
        <v>0</v>
      </c>
    </row>
    <row r="297" spans="29:30" x14ac:dyDescent="0.25">
      <c r="AC297" s="23" t="s">
        <v>3972</v>
      </c>
      <c r="AD297">
        <v>0</v>
      </c>
    </row>
    <row r="298" spans="29:30" x14ac:dyDescent="0.25">
      <c r="AC298" s="23" t="s">
        <v>4127</v>
      </c>
      <c r="AD298">
        <v>0</v>
      </c>
    </row>
    <row r="299" spans="29:30" x14ac:dyDescent="0.25">
      <c r="AC299" s="23" t="s">
        <v>3894</v>
      </c>
      <c r="AD299">
        <v>0</v>
      </c>
    </row>
    <row r="300" spans="29:30" x14ac:dyDescent="0.25">
      <c r="AC300" s="23" t="s">
        <v>4067</v>
      </c>
      <c r="AD300">
        <v>0</v>
      </c>
    </row>
    <row r="301" spans="29:30" x14ac:dyDescent="0.25">
      <c r="AC301" s="23" t="s">
        <v>5139</v>
      </c>
      <c r="AD301">
        <v>0</v>
      </c>
    </row>
    <row r="302" spans="29:30" x14ac:dyDescent="0.25">
      <c r="AC302" s="23" t="s">
        <v>3565</v>
      </c>
      <c r="AD302">
        <v>0</v>
      </c>
    </row>
    <row r="303" spans="29:30" x14ac:dyDescent="0.25">
      <c r="AC303" s="23" t="s">
        <v>5051</v>
      </c>
      <c r="AD303">
        <v>0</v>
      </c>
    </row>
    <row r="304" spans="29:30" x14ac:dyDescent="0.25">
      <c r="AC304" s="23" t="s">
        <v>4077</v>
      </c>
      <c r="AD304">
        <v>0</v>
      </c>
    </row>
    <row r="305" spans="29:30" x14ac:dyDescent="0.25">
      <c r="AC305" s="23" t="s">
        <v>3884</v>
      </c>
      <c r="AD305">
        <v>0</v>
      </c>
    </row>
    <row r="306" spans="29:30" x14ac:dyDescent="0.25">
      <c r="AC306" s="23" t="s">
        <v>4079</v>
      </c>
      <c r="AD306">
        <v>0</v>
      </c>
    </row>
    <row r="307" spans="29:30" x14ac:dyDescent="0.25">
      <c r="AC307" s="23" t="s">
        <v>3892</v>
      </c>
      <c r="AD307">
        <v>0</v>
      </c>
    </row>
    <row r="308" spans="29:30" x14ac:dyDescent="0.25">
      <c r="AC308" s="23" t="s">
        <v>5169</v>
      </c>
      <c r="AD308">
        <v>0</v>
      </c>
    </row>
    <row r="309" spans="29:30" x14ac:dyDescent="0.25">
      <c r="AC309" s="23" t="s">
        <v>3908</v>
      </c>
      <c r="AD309">
        <v>0</v>
      </c>
    </row>
    <row r="310" spans="29:30" x14ac:dyDescent="0.25">
      <c r="AC310" s="23" t="s">
        <v>4268</v>
      </c>
      <c r="AD310">
        <v>0</v>
      </c>
    </row>
    <row r="311" spans="29:30" x14ac:dyDescent="0.25">
      <c r="AC311" s="23" t="s">
        <v>4016</v>
      </c>
      <c r="AD311">
        <v>0</v>
      </c>
    </row>
    <row r="312" spans="29:30" x14ac:dyDescent="0.25">
      <c r="AC312" s="23" t="s">
        <v>4252</v>
      </c>
      <c r="AD312">
        <v>0</v>
      </c>
    </row>
    <row r="313" spans="29:30" x14ac:dyDescent="0.25">
      <c r="AC313" s="23" t="s">
        <v>4020</v>
      </c>
      <c r="AD313">
        <v>0</v>
      </c>
    </row>
    <row r="314" spans="29:30" x14ac:dyDescent="0.25">
      <c r="AC314" s="23" t="s">
        <v>5176</v>
      </c>
      <c r="AD314">
        <v>0</v>
      </c>
    </row>
    <row r="315" spans="29:30" x14ac:dyDescent="0.25">
      <c r="AC315" s="23" t="s">
        <v>3934</v>
      </c>
      <c r="AD315">
        <v>0</v>
      </c>
    </row>
    <row r="316" spans="29:30" x14ac:dyDescent="0.25">
      <c r="AC316" s="23" t="s">
        <v>4229</v>
      </c>
      <c r="AD316">
        <v>0</v>
      </c>
    </row>
    <row r="317" spans="29:30" x14ac:dyDescent="0.25">
      <c r="AC317" s="23" t="s">
        <v>3870</v>
      </c>
      <c r="AD317">
        <v>0</v>
      </c>
    </row>
    <row r="318" spans="29:30" x14ac:dyDescent="0.25">
      <c r="AC318" s="23" t="s">
        <v>5159</v>
      </c>
      <c r="AD318">
        <v>0</v>
      </c>
    </row>
    <row r="319" spans="29:30" x14ac:dyDescent="0.25">
      <c r="AC319" s="23" t="s">
        <v>5145</v>
      </c>
      <c r="AD319">
        <v>0</v>
      </c>
    </row>
    <row r="320" spans="29:30" x14ac:dyDescent="0.25">
      <c r="AC320" s="23" t="s">
        <v>5117</v>
      </c>
      <c r="AD320">
        <v>0</v>
      </c>
    </row>
    <row r="321" spans="29:30" x14ac:dyDescent="0.25">
      <c r="AC321" s="23" t="s">
        <v>3902</v>
      </c>
      <c r="AD321">
        <v>0</v>
      </c>
    </row>
    <row r="322" spans="29:30" x14ac:dyDescent="0.25">
      <c r="AC322" s="23" t="s">
        <v>4221</v>
      </c>
      <c r="AD322">
        <v>0</v>
      </c>
    </row>
    <row r="323" spans="29:30" x14ac:dyDescent="0.25">
      <c r="AC323" s="23" t="s">
        <v>3900</v>
      </c>
      <c r="AD323">
        <v>0</v>
      </c>
    </row>
    <row r="324" spans="29:30" x14ac:dyDescent="0.25">
      <c r="AC324" s="23" t="s">
        <v>4244</v>
      </c>
      <c r="AD324">
        <v>0</v>
      </c>
    </row>
    <row r="325" spans="29:30" x14ac:dyDescent="0.25">
      <c r="AC325" s="23" t="s">
        <v>3978</v>
      </c>
      <c r="AD325">
        <v>0</v>
      </c>
    </row>
    <row r="326" spans="29:30" x14ac:dyDescent="0.25">
      <c r="AC326" s="23" t="s">
        <v>4091</v>
      </c>
      <c r="AD326">
        <v>0</v>
      </c>
    </row>
    <row r="327" spans="29:30" x14ac:dyDescent="0.25">
      <c r="AC327" s="23" t="s">
        <v>3928</v>
      </c>
      <c r="AD327">
        <v>0</v>
      </c>
    </row>
    <row r="328" spans="29:30" x14ac:dyDescent="0.25">
      <c r="AC328" s="23" t="s">
        <v>4083</v>
      </c>
      <c r="AD328">
        <v>0</v>
      </c>
    </row>
    <row r="329" spans="29:30" x14ac:dyDescent="0.25">
      <c r="AC329" s="23" t="s">
        <v>3924</v>
      </c>
      <c r="AD329">
        <v>0</v>
      </c>
    </row>
    <row r="330" spans="29:30" x14ac:dyDescent="0.25">
      <c r="AC330" s="23" t="s">
        <v>4169</v>
      </c>
      <c r="AD330">
        <v>0</v>
      </c>
    </row>
    <row r="331" spans="29:30" x14ac:dyDescent="0.25">
      <c r="AC331" s="23" t="s">
        <v>3926</v>
      </c>
      <c r="AD331">
        <v>0</v>
      </c>
    </row>
    <row r="332" spans="29:30" x14ac:dyDescent="0.25">
      <c r="AC332" s="23" t="s">
        <v>1673</v>
      </c>
      <c r="AD332">
        <v>0</v>
      </c>
    </row>
    <row r="333" spans="29:30" x14ac:dyDescent="0.25">
      <c r="AC333" s="23" t="s">
        <v>3938</v>
      </c>
      <c r="AD333">
        <v>0</v>
      </c>
    </row>
    <row r="334" spans="29:30" x14ac:dyDescent="0.25">
      <c r="AC334" s="23" t="s">
        <v>2458</v>
      </c>
      <c r="AD334">
        <v>0</v>
      </c>
    </row>
    <row r="335" spans="29:30" x14ac:dyDescent="0.25">
      <c r="AC335" s="23" t="s">
        <v>4346</v>
      </c>
      <c r="AD335">
        <v>0</v>
      </c>
    </row>
    <row r="336" spans="29:30" x14ac:dyDescent="0.25">
      <c r="AC336" s="23" t="s">
        <v>3262</v>
      </c>
      <c r="AD336">
        <v>0</v>
      </c>
    </row>
    <row r="337" spans="29:30" x14ac:dyDescent="0.25">
      <c r="AC337" s="23" t="s">
        <v>3946</v>
      </c>
      <c r="AD337">
        <v>0</v>
      </c>
    </row>
    <row r="338" spans="29:30" x14ac:dyDescent="0.25">
      <c r="AC338" s="23" t="s">
        <v>4368</v>
      </c>
      <c r="AD338">
        <v>0</v>
      </c>
    </row>
    <row r="339" spans="29:30" x14ac:dyDescent="0.25">
      <c r="AC339" s="23" t="s">
        <v>3920</v>
      </c>
      <c r="AD339">
        <v>0</v>
      </c>
    </row>
    <row r="340" spans="29:30" x14ac:dyDescent="0.25">
      <c r="AC340" s="23" t="s">
        <v>4119</v>
      </c>
      <c r="AD340">
        <v>0</v>
      </c>
    </row>
    <row r="341" spans="29:30" x14ac:dyDescent="0.25">
      <c r="AC341" s="23" t="s">
        <v>4773</v>
      </c>
      <c r="AD341">
        <v>0</v>
      </c>
    </row>
    <row r="342" spans="29:30" x14ac:dyDescent="0.25">
      <c r="AC342" s="23" t="s">
        <v>4125</v>
      </c>
      <c r="AD342">
        <v>0</v>
      </c>
    </row>
    <row r="343" spans="29:30" x14ac:dyDescent="0.25">
      <c r="AC343" s="23" t="s">
        <v>3872</v>
      </c>
      <c r="AD343">
        <v>0</v>
      </c>
    </row>
    <row r="344" spans="29:30" x14ac:dyDescent="0.25">
      <c r="AC344" s="23" t="s">
        <v>4248</v>
      </c>
      <c r="AD344">
        <v>0</v>
      </c>
    </row>
    <row r="345" spans="29:30" x14ac:dyDescent="0.25">
      <c r="AC345" s="23" t="s">
        <v>1649</v>
      </c>
      <c r="AD345">
        <v>0</v>
      </c>
    </row>
    <row r="346" spans="29:30" x14ac:dyDescent="0.25">
      <c r="AC346" s="23" t="s">
        <v>4143</v>
      </c>
      <c r="AD346">
        <v>0</v>
      </c>
    </row>
    <row r="347" spans="29:30" x14ac:dyDescent="0.25">
      <c r="AC347" s="23" t="s">
        <v>3868</v>
      </c>
      <c r="AD347">
        <v>0</v>
      </c>
    </row>
    <row r="348" spans="29:30" x14ac:dyDescent="0.25">
      <c r="AC348" s="23" t="s">
        <v>4262</v>
      </c>
      <c r="AD348">
        <v>0</v>
      </c>
    </row>
    <row r="349" spans="29:30" x14ac:dyDescent="0.25">
      <c r="AC349" s="23" t="s">
        <v>4032</v>
      </c>
      <c r="AD349">
        <v>0</v>
      </c>
    </row>
    <row r="350" spans="29:30" x14ac:dyDescent="0.25">
      <c r="AC350" s="23" t="s">
        <v>4065</v>
      </c>
      <c r="AD350">
        <v>0</v>
      </c>
    </row>
    <row r="351" spans="29:30" x14ac:dyDescent="0.25">
      <c r="AC351" s="23" t="s">
        <v>5133</v>
      </c>
      <c r="AD351">
        <v>0</v>
      </c>
    </row>
    <row r="352" spans="29:30" x14ac:dyDescent="0.25">
      <c r="AC352" s="23" t="s">
        <v>4145</v>
      </c>
      <c r="AD352">
        <v>0</v>
      </c>
    </row>
    <row r="353" spans="29:30" x14ac:dyDescent="0.25">
      <c r="AC353" s="23" t="s">
        <v>3841</v>
      </c>
      <c r="AD353">
        <v>0</v>
      </c>
    </row>
    <row r="354" spans="29:30" x14ac:dyDescent="0.25">
      <c r="AC354" s="23" t="s">
        <v>4183</v>
      </c>
      <c r="AD354">
        <v>0</v>
      </c>
    </row>
    <row r="355" spans="29:30" x14ac:dyDescent="0.25">
      <c r="AC355" s="23" t="s">
        <v>3944</v>
      </c>
      <c r="AD355">
        <v>0</v>
      </c>
    </row>
    <row r="356" spans="29:30" x14ac:dyDescent="0.25">
      <c r="AC356" s="23" t="s">
        <v>4191</v>
      </c>
      <c r="AD356">
        <v>0</v>
      </c>
    </row>
    <row r="357" spans="29:30" x14ac:dyDescent="0.25">
      <c r="AC357" s="23" t="s">
        <v>3958</v>
      </c>
      <c r="AD357">
        <v>0</v>
      </c>
    </row>
    <row r="358" spans="29:30" x14ac:dyDescent="0.25">
      <c r="AC358" s="23" t="s">
        <v>4195</v>
      </c>
      <c r="AD358">
        <v>0</v>
      </c>
    </row>
    <row r="359" spans="29:30" x14ac:dyDescent="0.25">
      <c r="AC359" s="23" t="s">
        <v>3948</v>
      </c>
      <c r="AD359">
        <v>0</v>
      </c>
    </row>
    <row r="360" spans="29:30" x14ac:dyDescent="0.25">
      <c r="AC360" s="23" t="s">
        <v>4264</v>
      </c>
      <c r="AD360">
        <v>0</v>
      </c>
    </row>
    <row r="361" spans="29:30" x14ac:dyDescent="0.25">
      <c r="AC361" s="23" t="s">
        <v>3962</v>
      </c>
      <c r="AD361">
        <v>0</v>
      </c>
    </row>
    <row r="362" spans="29:30" x14ac:dyDescent="0.25">
      <c r="AC362" s="23" t="s">
        <v>4237</v>
      </c>
      <c r="AD362">
        <v>0</v>
      </c>
    </row>
    <row r="363" spans="29:30" x14ac:dyDescent="0.25">
      <c r="AC363" s="23" t="s">
        <v>3956</v>
      </c>
      <c r="AD363">
        <v>0</v>
      </c>
    </row>
    <row r="364" spans="29:30" x14ac:dyDescent="0.25">
      <c r="AC364" s="23" t="s">
        <v>4270</v>
      </c>
      <c r="AD364">
        <v>0</v>
      </c>
    </row>
    <row r="365" spans="29:30" x14ac:dyDescent="0.25">
      <c r="AC365" s="23" t="s">
        <v>3952</v>
      </c>
      <c r="AD365">
        <v>0</v>
      </c>
    </row>
    <row r="366" spans="29:30" x14ac:dyDescent="0.25">
      <c r="AC366" s="23" t="s">
        <v>4105</v>
      </c>
      <c r="AD366">
        <v>0</v>
      </c>
    </row>
    <row r="367" spans="29:30" x14ac:dyDescent="0.25">
      <c r="AC367" s="23" t="s">
        <v>3954</v>
      </c>
      <c r="AD367">
        <v>0</v>
      </c>
    </row>
    <row r="368" spans="29:30" x14ac:dyDescent="0.25">
      <c r="AC368" s="23" t="s">
        <v>5161</v>
      </c>
      <c r="AD368">
        <v>0</v>
      </c>
    </row>
    <row r="369" spans="29:30" x14ac:dyDescent="0.25">
      <c r="AC369" s="23" t="s">
        <v>3960</v>
      </c>
      <c r="AD369">
        <v>0</v>
      </c>
    </row>
    <row r="370" spans="29:30" x14ac:dyDescent="0.25">
      <c r="AC370" s="23" t="s">
        <v>4217</v>
      </c>
      <c r="AD370">
        <v>0</v>
      </c>
    </row>
    <row r="371" spans="29:30" x14ac:dyDescent="0.25">
      <c r="AC371" s="23" t="s">
        <v>3982</v>
      </c>
      <c r="AD371">
        <v>0</v>
      </c>
    </row>
    <row r="372" spans="29:30" x14ac:dyDescent="0.25">
      <c r="AC372" s="23" t="s">
        <v>5163</v>
      </c>
      <c r="AD372">
        <v>0</v>
      </c>
    </row>
    <row r="373" spans="29:30" x14ac:dyDescent="0.25">
      <c r="AC373" s="23" t="s">
        <v>5141</v>
      </c>
      <c r="AD373">
        <v>0</v>
      </c>
    </row>
    <row r="374" spans="29:30" x14ac:dyDescent="0.25">
      <c r="AC374" s="23" t="s">
        <v>4161</v>
      </c>
      <c r="AD374">
        <v>0</v>
      </c>
    </row>
    <row r="375" spans="29:30" x14ac:dyDescent="0.25">
      <c r="AC375" s="23" t="s">
        <v>5137</v>
      </c>
      <c r="AD375">
        <v>0</v>
      </c>
    </row>
    <row r="376" spans="29:30" x14ac:dyDescent="0.25">
      <c r="AC376" s="23" t="s">
        <v>4063</v>
      </c>
      <c r="AD376">
        <v>0</v>
      </c>
    </row>
    <row r="377" spans="29:30" x14ac:dyDescent="0.25">
      <c r="AC377" s="23" t="s">
        <v>3918</v>
      </c>
      <c r="AD377">
        <v>0</v>
      </c>
    </row>
    <row r="378" spans="29:30" x14ac:dyDescent="0.25">
      <c r="AC378" s="23" t="s">
        <v>4256</v>
      </c>
      <c r="AD378">
        <v>0</v>
      </c>
    </row>
    <row r="379" spans="29:30" x14ac:dyDescent="0.25">
      <c r="AC379" s="23" t="s">
        <v>3906</v>
      </c>
      <c r="AD379">
        <v>0</v>
      </c>
    </row>
    <row r="380" spans="29:30" x14ac:dyDescent="0.25">
      <c r="AC380" s="23" t="s">
        <v>4153</v>
      </c>
      <c r="AD380">
        <v>0</v>
      </c>
    </row>
    <row r="381" spans="29:30" x14ac:dyDescent="0.25">
      <c r="AC381" s="23" t="s">
        <v>5147</v>
      </c>
      <c r="AD381">
        <v>0</v>
      </c>
    </row>
    <row r="382" spans="29:30" x14ac:dyDescent="0.25">
      <c r="AC382" s="23" t="s">
        <v>4274</v>
      </c>
      <c r="AD382">
        <v>0</v>
      </c>
    </row>
    <row r="383" spans="29:30" x14ac:dyDescent="0.25">
      <c r="AC383" s="23" t="s">
        <v>3381</v>
      </c>
      <c r="AD383">
        <v>0</v>
      </c>
    </row>
    <row r="384" spans="29:30" x14ac:dyDescent="0.25">
      <c r="AC384" s="23" t="s">
        <v>4189</v>
      </c>
      <c r="AD384">
        <v>0</v>
      </c>
    </row>
    <row r="385" spans="29:30" x14ac:dyDescent="0.25">
      <c r="AC385" s="23" t="s">
        <v>3992</v>
      </c>
      <c r="AD385">
        <v>0</v>
      </c>
    </row>
    <row r="386" spans="29:30" x14ac:dyDescent="0.25">
      <c r="AC386" s="23" t="s">
        <v>4041</v>
      </c>
      <c r="AD386">
        <v>0</v>
      </c>
    </row>
    <row r="387" spans="29:30" x14ac:dyDescent="0.25">
      <c r="AC387" s="23" t="s">
        <v>4000</v>
      </c>
      <c r="AD387">
        <v>0</v>
      </c>
    </row>
    <row r="388" spans="29:30" x14ac:dyDescent="0.25">
      <c r="AC388" s="23" t="s">
        <v>4219</v>
      </c>
      <c r="AD388">
        <v>0</v>
      </c>
    </row>
    <row r="389" spans="29:30" x14ac:dyDescent="0.25">
      <c r="AC389" s="23" t="s">
        <v>3950</v>
      </c>
      <c r="AD389">
        <v>0</v>
      </c>
    </row>
    <row r="390" spans="29:30" x14ac:dyDescent="0.25">
      <c r="AC390" s="23" t="s">
        <v>4075</v>
      </c>
      <c r="AD390">
        <v>0</v>
      </c>
    </row>
    <row r="391" spans="29:30" x14ac:dyDescent="0.25">
      <c r="AC391" s="23" t="s">
        <v>5153</v>
      </c>
      <c r="AD391">
        <v>0</v>
      </c>
    </row>
    <row r="392" spans="29:30" x14ac:dyDescent="0.25">
      <c r="AC392" s="23" t="s">
        <v>4165</v>
      </c>
      <c r="AD392">
        <v>0</v>
      </c>
    </row>
    <row r="393" spans="29:30" x14ac:dyDescent="0.25">
      <c r="AC393" s="23" t="s">
        <v>3988</v>
      </c>
      <c r="AD393">
        <v>0</v>
      </c>
    </row>
    <row r="394" spans="29:30" x14ac:dyDescent="0.25">
      <c r="AC394" s="23" t="s">
        <v>4231</v>
      </c>
      <c r="AD394">
        <v>0</v>
      </c>
    </row>
    <row r="395" spans="29:30" x14ac:dyDescent="0.25">
      <c r="AC395" s="23" t="s">
        <v>3898</v>
      </c>
      <c r="AD395">
        <v>0</v>
      </c>
    </row>
    <row r="396" spans="29:30" x14ac:dyDescent="0.25">
      <c r="AC396" s="23" t="s">
        <v>4053</v>
      </c>
      <c r="AD396">
        <v>0</v>
      </c>
    </row>
    <row r="397" spans="29:30" x14ac:dyDescent="0.25">
      <c r="AC397" s="23" t="s">
        <v>4034</v>
      </c>
      <c r="AD397">
        <v>0</v>
      </c>
    </row>
    <row r="398" spans="29:30" x14ac:dyDescent="0.25">
      <c r="AC398" s="23" t="s">
        <v>4089</v>
      </c>
      <c r="AD398">
        <v>0</v>
      </c>
    </row>
    <row r="399" spans="29:30" x14ac:dyDescent="0.25">
      <c r="AC399" s="23" t="s">
        <v>3886</v>
      </c>
      <c r="AD399">
        <v>0</v>
      </c>
    </row>
    <row r="400" spans="29:30" x14ac:dyDescent="0.25">
      <c r="AC400" s="23" t="s">
        <v>4187</v>
      </c>
      <c r="AD400">
        <v>0</v>
      </c>
    </row>
    <row r="401" spans="29:30" x14ac:dyDescent="0.25">
      <c r="AC401" s="23" t="s">
        <v>3996</v>
      </c>
      <c r="AD401">
        <v>0</v>
      </c>
    </row>
    <row r="402" spans="29:30" x14ac:dyDescent="0.25">
      <c r="AC402" s="23" t="s">
        <v>5165</v>
      </c>
      <c r="AD402">
        <v>0</v>
      </c>
    </row>
    <row r="403" spans="29:30" x14ac:dyDescent="0.25">
      <c r="AC403" s="23" t="s">
        <v>1566</v>
      </c>
      <c r="AD403">
        <v>0</v>
      </c>
    </row>
    <row r="404" spans="29:30" x14ac:dyDescent="0.25">
      <c r="AC404" s="23" t="s">
        <v>4093</v>
      </c>
      <c r="AD404">
        <v>0</v>
      </c>
    </row>
    <row r="405" spans="29:30" x14ac:dyDescent="0.25">
      <c r="AC405" s="23" t="s">
        <v>3998</v>
      </c>
      <c r="AD405">
        <v>0</v>
      </c>
    </row>
    <row r="406" spans="29:30" x14ac:dyDescent="0.25">
      <c r="AC406" s="23" t="s">
        <v>5182</v>
      </c>
      <c r="AD406">
        <v>0</v>
      </c>
    </row>
    <row r="407" spans="29:30" x14ac:dyDescent="0.25">
      <c r="AC407" s="23" t="s">
        <v>4664</v>
      </c>
      <c r="AD407">
        <v>0</v>
      </c>
    </row>
    <row r="408" spans="29:30" x14ac:dyDescent="0.25">
      <c r="AC408" s="23" t="s">
        <v>4185</v>
      </c>
      <c r="AD408">
        <v>0</v>
      </c>
    </row>
    <row r="409" spans="29:30" x14ac:dyDescent="0.25">
      <c r="AC409" s="23" t="s">
        <v>3855</v>
      </c>
      <c r="AD409">
        <v>0</v>
      </c>
    </row>
    <row r="410" spans="29:30" x14ac:dyDescent="0.25">
      <c r="AC410" s="23" t="s">
        <v>4107</v>
      </c>
      <c r="AD410">
        <v>0</v>
      </c>
    </row>
    <row r="411" spans="29:30" x14ac:dyDescent="0.25">
      <c r="AC411" s="23" t="s">
        <v>4002</v>
      </c>
      <c r="AD411">
        <v>0</v>
      </c>
    </row>
    <row r="412" spans="29:30" x14ac:dyDescent="0.25">
      <c r="AC412" s="23" t="s">
        <v>1645</v>
      </c>
      <c r="AD412">
        <v>0</v>
      </c>
    </row>
    <row r="413" spans="29:30" x14ac:dyDescent="0.25">
      <c r="AC413" s="23" t="s">
        <v>3819</v>
      </c>
      <c r="AD413">
        <v>0</v>
      </c>
    </row>
    <row r="414" spans="29:30" x14ac:dyDescent="0.25">
      <c r="AC414" s="23" t="s">
        <v>4109</v>
      </c>
      <c r="AD414">
        <v>0</v>
      </c>
    </row>
    <row r="415" spans="29:30" x14ac:dyDescent="0.25">
      <c r="AC415" s="23" t="s">
        <v>3974</v>
      </c>
      <c r="AD415">
        <v>0</v>
      </c>
    </row>
    <row r="416" spans="29:30" x14ac:dyDescent="0.25">
      <c r="AC416" s="23" t="s">
        <v>4167</v>
      </c>
      <c r="AD416">
        <v>0</v>
      </c>
    </row>
    <row r="417" spans="29:30" x14ac:dyDescent="0.25">
      <c r="AC417" s="23" t="s">
        <v>3990</v>
      </c>
      <c r="AD417">
        <v>0</v>
      </c>
    </row>
    <row r="418" spans="29:30" x14ac:dyDescent="0.25">
      <c r="AC418" s="23" t="s">
        <v>4177</v>
      </c>
      <c r="AD418">
        <v>0</v>
      </c>
    </row>
    <row r="419" spans="29:30" x14ac:dyDescent="0.25">
      <c r="AC419" s="23" t="s">
        <v>4039</v>
      </c>
      <c r="AD419">
        <v>0</v>
      </c>
    </row>
    <row r="420" spans="29:30" x14ac:dyDescent="0.25">
      <c r="AC420" s="23" t="s">
        <v>3914</v>
      </c>
      <c r="AD420">
        <v>0</v>
      </c>
    </row>
    <row r="421" spans="29:30" x14ac:dyDescent="0.25">
      <c r="AC421" s="23" t="s">
        <v>5157</v>
      </c>
      <c r="AD421">
        <v>0</v>
      </c>
    </row>
    <row r="422" spans="29:30" x14ac:dyDescent="0.25">
      <c r="AC422" s="23" t="s">
        <v>4360</v>
      </c>
      <c r="AD422">
        <v>0</v>
      </c>
    </row>
    <row r="423" spans="29:30" x14ac:dyDescent="0.25">
      <c r="AC423" s="23" t="s">
        <v>4018</v>
      </c>
      <c r="AD423">
        <v>0</v>
      </c>
    </row>
    <row r="424" spans="29:30" x14ac:dyDescent="0.25">
      <c r="AC424" s="23" t="s">
        <v>4117</v>
      </c>
      <c r="AD424">
        <v>0</v>
      </c>
    </row>
    <row r="425" spans="29:30" x14ac:dyDescent="0.25">
      <c r="AC425" s="23" t="s">
        <v>3984</v>
      </c>
      <c r="AD425">
        <v>0</v>
      </c>
    </row>
    <row r="426" spans="29:30" x14ac:dyDescent="0.25">
      <c r="AC426" s="23" t="s">
        <v>4131</v>
      </c>
      <c r="AD426">
        <v>0</v>
      </c>
    </row>
    <row r="427" spans="29:30" x14ac:dyDescent="0.25">
      <c r="AC427" s="23" t="s">
        <v>4004</v>
      </c>
      <c r="AD427">
        <v>0</v>
      </c>
    </row>
    <row r="428" spans="29:30" x14ac:dyDescent="0.25">
      <c r="AC428" s="23" t="s">
        <v>4209</v>
      </c>
      <c r="AD428">
        <v>0</v>
      </c>
    </row>
    <row r="429" spans="29:30" x14ac:dyDescent="0.25">
      <c r="AC429" s="23" t="s">
        <v>3861</v>
      </c>
      <c r="AD429">
        <v>0</v>
      </c>
    </row>
    <row r="430" spans="29:30" x14ac:dyDescent="0.25">
      <c r="AC430" s="23" t="s">
        <v>4121</v>
      </c>
      <c r="AD430">
        <v>0</v>
      </c>
    </row>
    <row r="431" spans="29:30" x14ac:dyDescent="0.25">
      <c r="AC431" s="23" t="s">
        <v>3865</v>
      </c>
      <c r="AD431">
        <v>0</v>
      </c>
    </row>
    <row r="432" spans="29:30" x14ac:dyDescent="0.25">
      <c r="AC432" s="23" t="s">
        <v>4235</v>
      </c>
      <c r="AD432">
        <v>0</v>
      </c>
    </row>
    <row r="433" spans="29:30" x14ac:dyDescent="0.25">
      <c r="AC433" s="23" t="s">
        <v>3912</v>
      </c>
      <c r="AD433">
        <v>0</v>
      </c>
    </row>
    <row r="434" spans="29:30" x14ac:dyDescent="0.25">
      <c r="AC434" s="23" t="s">
        <v>4123</v>
      </c>
      <c r="AD434">
        <v>0</v>
      </c>
    </row>
    <row r="435" spans="29:30" x14ac:dyDescent="0.25">
      <c r="AC435" s="23" t="s">
        <v>3932</v>
      </c>
      <c r="AD435">
        <v>0</v>
      </c>
    </row>
    <row r="436" spans="29:30" x14ac:dyDescent="0.25">
      <c r="AC436" s="23" t="s">
        <v>5167</v>
      </c>
      <c r="AD436">
        <v>0</v>
      </c>
    </row>
    <row r="437" spans="29:30" x14ac:dyDescent="0.25">
      <c r="AC437" s="23" t="s">
        <v>3930</v>
      </c>
      <c r="AD437">
        <v>0</v>
      </c>
    </row>
    <row r="438" spans="29:30" x14ac:dyDescent="0.25">
      <c r="AC438" s="23" t="s">
        <v>4133</v>
      </c>
      <c r="AD438">
        <v>0</v>
      </c>
    </row>
    <row r="439" spans="29:30" x14ac:dyDescent="0.25">
      <c r="AC439" s="23" t="s">
        <v>2171</v>
      </c>
      <c r="AD439">
        <v>0</v>
      </c>
    </row>
    <row r="440" spans="29:30" x14ac:dyDescent="0.25">
      <c r="AC440" s="23" t="s">
        <v>4135</v>
      </c>
      <c r="AD440">
        <v>0</v>
      </c>
    </row>
    <row r="441" spans="29:30" x14ac:dyDescent="0.25">
      <c r="AC441" s="23" t="s">
        <v>3986</v>
      </c>
      <c r="AD441">
        <v>0</v>
      </c>
    </row>
    <row r="442" spans="29:30" x14ac:dyDescent="0.25">
      <c r="AC442" s="23" t="s">
        <v>4139</v>
      </c>
      <c r="AD442">
        <v>0</v>
      </c>
    </row>
    <row r="443" spans="29:30" x14ac:dyDescent="0.25">
      <c r="AC443" s="23" t="s">
        <v>3849</v>
      </c>
      <c r="AD443">
        <v>0</v>
      </c>
    </row>
    <row r="444" spans="29:30" x14ac:dyDescent="0.25">
      <c r="AC444" s="23" t="s">
        <v>4282</v>
      </c>
      <c r="AD444">
        <v>0</v>
      </c>
    </row>
    <row r="445" spans="29:30" x14ac:dyDescent="0.25">
      <c r="AC445" s="23" t="s">
        <v>3851</v>
      </c>
      <c r="AD445">
        <v>0</v>
      </c>
    </row>
    <row r="446" spans="29:30" x14ac:dyDescent="0.25">
      <c r="AC446" s="23" t="s">
        <v>4233</v>
      </c>
      <c r="AD446">
        <v>0</v>
      </c>
    </row>
    <row r="447" spans="29:30" x14ac:dyDescent="0.25">
      <c r="AC447" s="23" t="s">
        <v>3843</v>
      </c>
      <c r="AD447">
        <v>0</v>
      </c>
    </row>
    <row r="448" spans="29:30" x14ac:dyDescent="0.25">
      <c r="AC448" s="23" t="s">
        <v>4101</v>
      </c>
      <c r="AD448">
        <v>0</v>
      </c>
    </row>
    <row r="449" spans="29:30" x14ac:dyDescent="0.25">
      <c r="AC449" s="23" t="s">
        <v>4012</v>
      </c>
      <c r="AD449">
        <v>0</v>
      </c>
    </row>
    <row r="450" spans="29:30" x14ac:dyDescent="0.25">
      <c r="AC450" s="23" t="s">
        <v>4207</v>
      </c>
      <c r="AD450">
        <v>0</v>
      </c>
    </row>
    <row r="451" spans="29:30" x14ac:dyDescent="0.25">
      <c r="AC451" s="23" t="s">
        <v>3815</v>
      </c>
      <c r="AD451">
        <v>0</v>
      </c>
    </row>
    <row r="452" spans="29:30" x14ac:dyDescent="0.25">
      <c r="AC452" s="23" t="s">
        <v>4149</v>
      </c>
      <c r="AD452">
        <v>0</v>
      </c>
    </row>
    <row r="453" spans="29:30" x14ac:dyDescent="0.25">
      <c r="AC453" s="23" t="s">
        <v>3942</v>
      </c>
      <c r="AD453">
        <v>0</v>
      </c>
    </row>
    <row r="454" spans="29:30" x14ac:dyDescent="0.25">
      <c r="AC454" s="23" t="s">
        <v>4151</v>
      </c>
      <c r="AD454">
        <v>0</v>
      </c>
    </row>
    <row r="455" spans="29:30" x14ac:dyDescent="0.25">
      <c r="AC455" s="23" t="s">
        <v>3968</v>
      </c>
      <c r="AD455">
        <v>0</v>
      </c>
    </row>
    <row r="456" spans="29:30" x14ac:dyDescent="0.25">
      <c r="AC456" s="23" t="s">
        <v>4197</v>
      </c>
      <c r="AD456">
        <v>0</v>
      </c>
    </row>
    <row r="457" spans="29:30" x14ac:dyDescent="0.25">
      <c r="AC457" s="23" t="s">
        <v>3966</v>
      </c>
      <c r="AD457">
        <v>0</v>
      </c>
    </row>
    <row r="458" spans="29:30" x14ac:dyDescent="0.25">
      <c r="AC458" s="23" t="s">
        <v>4199</v>
      </c>
      <c r="AD458">
        <v>0</v>
      </c>
    </row>
    <row r="459" spans="29:30" x14ac:dyDescent="0.25">
      <c r="AC459" s="23" t="s">
        <v>697</v>
      </c>
      <c r="AD459">
        <v>0</v>
      </c>
    </row>
    <row r="460" spans="29:30" x14ac:dyDescent="0.25">
      <c r="AC460" s="23" t="s">
        <v>4157</v>
      </c>
      <c r="AD460">
        <v>0</v>
      </c>
    </row>
    <row r="461" spans="29:30" x14ac:dyDescent="0.25">
      <c r="AC461" s="23" t="s">
        <v>4905</v>
      </c>
      <c r="AD461">
        <v>0</v>
      </c>
    </row>
    <row r="462" spans="29:30" x14ac:dyDescent="0.25">
      <c r="AC462" s="23" t="s">
        <v>4201</v>
      </c>
      <c r="AD462">
        <v>0</v>
      </c>
    </row>
    <row r="463" spans="29:30" x14ac:dyDescent="0.25">
      <c r="AC463" s="23" t="s">
        <v>4010</v>
      </c>
      <c r="AD463">
        <v>0</v>
      </c>
    </row>
    <row r="464" spans="29:30" x14ac:dyDescent="0.25">
      <c r="AC464" s="23" t="s">
        <v>4213</v>
      </c>
      <c r="AD464">
        <v>0</v>
      </c>
    </row>
    <row r="465" spans="29:30" x14ac:dyDescent="0.25">
      <c r="AC465" s="23" t="s">
        <v>3976</v>
      </c>
      <c r="AD465">
        <v>0</v>
      </c>
    </row>
    <row r="466" spans="29:30" x14ac:dyDescent="0.25">
      <c r="AC466" s="23" t="s">
        <v>4276</v>
      </c>
      <c r="AD466">
        <v>0</v>
      </c>
    </row>
    <row r="467" spans="29:30" x14ac:dyDescent="0.25">
      <c r="AC467" s="23" t="s">
        <v>3904</v>
      </c>
      <c r="AD467">
        <v>0</v>
      </c>
    </row>
    <row r="468" spans="29:30" x14ac:dyDescent="0.25">
      <c r="AC468" s="23" t="s">
        <v>5173</v>
      </c>
      <c r="AD468">
        <v>0</v>
      </c>
    </row>
    <row r="469" spans="29:30" x14ac:dyDescent="0.25">
      <c r="AC469" s="23" t="s">
        <v>4014</v>
      </c>
      <c r="AD469">
        <v>0</v>
      </c>
    </row>
    <row r="470" spans="29:30" x14ac:dyDescent="0.25">
      <c r="AC470" s="23" t="s">
        <v>4071</v>
      </c>
      <c r="AD470">
        <v>0</v>
      </c>
    </row>
    <row r="471" spans="29:30" x14ac:dyDescent="0.25">
      <c r="AC471" s="23" t="s">
        <v>4022</v>
      </c>
      <c r="AD471">
        <v>0</v>
      </c>
    </row>
    <row r="472" spans="29:30" x14ac:dyDescent="0.25">
      <c r="AC472" s="23" t="s">
        <v>4205</v>
      </c>
      <c r="AD472">
        <v>0</v>
      </c>
    </row>
    <row r="473" spans="29:30" x14ac:dyDescent="0.25">
      <c r="AC473" s="23" t="s">
        <v>4030</v>
      </c>
      <c r="AD473">
        <v>0</v>
      </c>
    </row>
    <row r="474" spans="29:30" x14ac:dyDescent="0.25">
      <c r="AC474" s="23" t="s">
        <v>709</v>
      </c>
      <c r="AD474">
        <v>0</v>
      </c>
    </row>
    <row r="475" spans="29:30" x14ac:dyDescent="0.25">
      <c r="AC475" s="23" t="s">
        <v>5155</v>
      </c>
      <c r="AD475">
        <v>0</v>
      </c>
    </row>
    <row r="476" spans="29:30" x14ac:dyDescent="0.25">
      <c r="AC476" s="23" t="s">
        <v>4225</v>
      </c>
      <c r="AD476">
        <v>0</v>
      </c>
    </row>
    <row r="477" spans="29:30" x14ac:dyDescent="0.25">
      <c r="AC477" s="23" t="s">
        <v>4026</v>
      </c>
      <c r="AD477">
        <v>0</v>
      </c>
    </row>
    <row r="478" spans="29:30" x14ac:dyDescent="0.25">
      <c r="AC478" s="23" t="s">
        <v>4111</v>
      </c>
      <c r="AD478">
        <v>0</v>
      </c>
    </row>
    <row r="479" spans="29:30" x14ac:dyDescent="0.25">
      <c r="AC479" s="23" t="s">
        <v>5131</v>
      </c>
      <c r="AD479">
        <v>0</v>
      </c>
    </row>
    <row r="480" spans="29:30" x14ac:dyDescent="0.25">
      <c r="AC480" s="23" t="s">
        <v>4223</v>
      </c>
      <c r="AD480">
        <v>0</v>
      </c>
    </row>
    <row r="481" spans="29:30" x14ac:dyDescent="0.25">
      <c r="AC481" s="23" t="s">
        <v>5149</v>
      </c>
      <c r="AD481">
        <v>0</v>
      </c>
    </row>
    <row r="482" spans="29:30" x14ac:dyDescent="0.25">
      <c r="AC482" s="23" t="s">
        <v>4085</v>
      </c>
      <c r="AD482">
        <v>0</v>
      </c>
    </row>
    <row r="483" spans="29:30" x14ac:dyDescent="0.25">
      <c r="AC483" s="23" t="s">
        <v>3817</v>
      </c>
      <c r="AD483">
        <v>0</v>
      </c>
    </row>
    <row r="484" spans="29:30" x14ac:dyDescent="0.25">
      <c r="AC484" s="23" t="s">
        <v>4147</v>
      </c>
      <c r="AD484">
        <v>0</v>
      </c>
    </row>
    <row r="485" spans="29:30" x14ac:dyDescent="0.25">
      <c r="AC485" s="23" t="s">
        <v>3980</v>
      </c>
      <c r="AD485">
        <v>0</v>
      </c>
    </row>
    <row r="486" spans="29:30" x14ac:dyDescent="0.25">
      <c r="AC486" s="23" t="s">
        <v>4227</v>
      </c>
      <c r="AD486">
        <v>0</v>
      </c>
    </row>
    <row r="487" spans="29:30" x14ac:dyDescent="0.25">
      <c r="AC487" s="23" t="s">
        <v>4061</v>
      </c>
      <c r="AD487">
        <v>0</v>
      </c>
    </row>
    <row r="488" spans="29:30" x14ac:dyDescent="0.25">
      <c r="AC488" s="23" t="s">
        <v>4242</v>
      </c>
      <c r="AD488">
        <v>0</v>
      </c>
    </row>
    <row r="489" spans="29:30" x14ac:dyDescent="0.25">
      <c r="AC489" s="23" t="s">
        <v>4043</v>
      </c>
      <c r="AD489">
        <v>0</v>
      </c>
    </row>
    <row r="490" spans="29:30" x14ac:dyDescent="0.25">
      <c r="AC490" s="23" t="s">
        <v>4250</v>
      </c>
      <c r="AD490">
        <v>0</v>
      </c>
    </row>
    <row r="491" spans="29:30" x14ac:dyDescent="0.25">
      <c r="AC491" s="23" t="s">
        <v>4047</v>
      </c>
      <c r="AD491">
        <v>0</v>
      </c>
    </row>
    <row r="492" spans="29:30" x14ac:dyDescent="0.25">
      <c r="AC492" s="23" t="s">
        <v>4097</v>
      </c>
      <c r="AD492">
        <v>0</v>
      </c>
    </row>
    <row r="493" spans="29:30" x14ac:dyDescent="0.25">
      <c r="AC493" s="23" t="s">
        <v>4069</v>
      </c>
      <c r="AD493">
        <v>0</v>
      </c>
    </row>
    <row r="494" spans="29:30" x14ac:dyDescent="0.25">
      <c r="AC494" s="23" t="s">
        <v>4073</v>
      </c>
      <c r="AD494">
        <v>0</v>
      </c>
    </row>
    <row r="495" spans="29:30" x14ac:dyDescent="0.25">
      <c r="AC495" s="23" t="s">
        <v>4159</v>
      </c>
      <c r="AD495">
        <v>0</v>
      </c>
    </row>
    <row r="496" spans="29:30" x14ac:dyDescent="0.25">
      <c r="AC496" s="23" t="s">
        <v>4260</v>
      </c>
      <c r="AD496">
        <v>0</v>
      </c>
    </row>
    <row r="497" spans="29:30" x14ac:dyDescent="0.25">
      <c r="AC497" s="23" t="s">
        <v>4266</v>
      </c>
      <c r="AD497">
        <v>0</v>
      </c>
    </row>
    <row r="498" spans="29:30" x14ac:dyDescent="0.25">
      <c r="AC498" s="23" t="s">
        <v>4254</v>
      </c>
      <c r="AD498">
        <v>0</v>
      </c>
    </row>
    <row r="499" spans="29:30" x14ac:dyDescent="0.25">
      <c r="AC499" s="23" t="s">
        <v>4179</v>
      </c>
      <c r="AD499">
        <v>0</v>
      </c>
    </row>
    <row r="500" spans="29:30" x14ac:dyDescent="0.25">
      <c r="AC500" s="23" t="s">
        <v>4057</v>
      </c>
      <c r="AD500">
        <v>0</v>
      </c>
    </row>
    <row r="501" spans="29:30" x14ac:dyDescent="0.25">
      <c r="AC501" s="23" t="s">
        <v>4171</v>
      </c>
      <c r="AD501">
        <v>0</v>
      </c>
    </row>
    <row r="502" spans="29:30" x14ac:dyDescent="0.25">
      <c r="AC502" s="23" t="s">
        <v>4320</v>
      </c>
      <c r="AD502">
        <v>0</v>
      </c>
    </row>
    <row r="503" spans="29:30" x14ac:dyDescent="0.25">
      <c r="AC503" s="23" t="s">
        <v>4008</v>
      </c>
      <c r="AD503">
        <v>0</v>
      </c>
    </row>
    <row r="504" spans="29:30" x14ac:dyDescent="0.25">
      <c r="AC504" s="23" t="s">
        <v>4258</v>
      </c>
      <c r="AD504">
        <v>0</v>
      </c>
    </row>
    <row r="505" spans="29:30" x14ac:dyDescent="0.25">
      <c r="AC505" s="23" t="s">
        <v>5180</v>
      </c>
      <c r="AD505">
        <v>0</v>
      </c>
    </row>
    <row r="506" spans="29:30" x14ac:dyDescent="0.25">
      <c r="AC506" s="23" t="s">
        <v>4155</v>
      </c>
      <c r="AD506">
        <v>0</v>
      </c>
    </row>
    <row r="507" spans="29:30" x14ac:dyDescent="0.25">
      <c r="AC507" s="23" t="s">
        <v>4173</v>
      </c>
      <c r="AD507">
        <v>0</v>
      </c>
    </row>
    <row r="508" spans="29:30" x14ac:dyDescent="0.25">
      <c r="AC508" s="23" t="s">
        <v>4211</v>
      </c>
      <c r="AD508">
        <v>0</v>
      </c>
    </row>
    <row r="509" spans="29:30" x14ac:dyDescent="0.25">
      <c r="AC509" s="23" t="s">
        <v>4175</v>
      </c>
      <c r="AD509">
        <v>0</v>
      </c>
    </row>
    <row r="510" spans="29:30" x14ac:dyDescent="0.25">
      <c r="AC510" s="23" t="s">
        <v>5178</v>
      </c>
      <c r="AD510">
        <v>0</v>
      </c>
    </row>
    <row r="511" spans="29:30" x14ac:dyDescent="0.25">
      <c r="AC511" s="23" t="s">
        <v>4051</v>
      </c>
      <c r="AD511">
        <v>0</v>
      </c>
    </row>
    <row r="512" spans="29:30" x14ac:dyDescent="0.25">
      <c r="AC512" s="23" t="s">
        <v>3831</v>
      </c>
      <c r="AD512">
        <v>0</v>
      </c>
    </row>
    <row r="513" spans="29:30" x14ac:dyDescent="0.25">
      <c r="AC513" s="23" t="s">
        <v>4103</v>
      </c>
      <c r="AD513">
        <v>0</v>
      </c>
    </row>
    <row r="514" spans="29:30" x14ac:dyDescent="0.25">
      <c r="AC514" s="23" t="s">
        <v>3813</v>
      </c>
      <c r="AD514">
        <v>0</v>
      </c>
    </row>
    <row r="515" spans="29:30" x14ac:dyDescent="0.25">
      <c r="AC515" s="23" t="s">
        <v>3643</v>
      </c>
      <c r="AD515">
        <v>0</v>
      </c>
    </row>
    <row r="516" spans="29:30" x14ac:dyDescent="0.25">
      <c r="AC516" s="23" t="s">
        <v>3793</v>
      </c>
      <c r="AD516">
        <v>0</v>
      </c>
    </row>
    <row r="517" spans="29:30" x14ac:dyDescent="0.25">
      <c r="AC517" s="23" t="s">
        <v>3347</v>
      </c>
      <c r="AD517">
        <v>0</v>
      </c>
    </row>
    <row r="518" spans="29:30" x14ac:dyDescent="0.25">
      <c r="AC518" s="23" t="s">
        <v>3785</v>
      </c>
      <c r="AD518">
        <v>0</v>
      </c>
    </row>
    <row r="519" spans="29:30" x14ac:dyDescent="0.25">
      <c r="AC519" s="23" t="s">
        <v>3286</v>
      </c>
      <c r="AD519">
        <v>0</v>
      </c>
    </row>
    <row r="520" spans="29:30" x14ac:dyDescent="0.25">
      <c r="AC520" s="23" t="s">
        <v>3625</v>
      </c>
      <c r="AD520">
        <v>0</v>
      </c>
    </row>
    <row r="521" spans="29:30" x14ac:dyDescent="0.25">
      <c r="AC521" s="23" t="s">
        <v>3349</v>
      </c>
      <c r="AD521">
        <v>0</v>
      </c>
    </row>
    <row r="522" spans="29:30" x14ac:dyDescent="0.25">
      <c r="AC522" s="23" t="s">
        <v>1060</v>
      </c>
      <c r="AD522">
        <v>0</v>
      </c>
    </row>
    <row r="523" spans="29:30" x14ac:dyDescent="0.25">
      <c r="AC523" s="23" t="s">
        <v>3336</v>
      </c>
      <c r="AD523">
        <v>0</v>
      </c>
    </row>
    <row r="524" spans="29:30" x14ac:dyDescent="0.25">
      <c r="AC524" s="23" t="s">
        <v>3705</v>
      </c>
      <c r="AD524">
        <v>0</v>
      </c>
    </row>
    <row r="525" spans="29:30" x14ac:dyDescent="0.25">
      <c r="AC525" s="23" t="s">
        <v>3324</v>
      </c>
      <c r="AD525">
        <v>0</v>
      </c>
    </row>
    <row r="526" spans="29:30" x14ac:dyDescent="0.25">
      <c r="AC526" s="23" t="s">
        <v>3789</v>
      </c>
      <c r="AD526">
        <v>0</v>
      </c>
    </row>
    <row r="527" spans="29:30" x14ac:dyDescent="0.25">
      <c r="AC527" s="23" t="s">
        <v>3340</v>
      </c>
      <c r="AD527">
        <v>0</v>
      </c>
    </row>
    <row r="528" spans="29:30" x14ac:dyDescent="0.25">
      <c r="AC528" s="23" t="s">
        <v>3605</v>
      </c>
      <c r="AD528">
        <v>0</v>
      </c>
    </row>
    <row r="529" spans="29:30" x14ac:dyDescent="0.25">
      <c r="AC529" s="23" t="s">
        <v>3345</v>
      </c>
      <c r="AD529">
        <v>0</v>
      </c>
    </row>
    <row r="530" spans="29:30" x14ac:dyDescent="0.25">
      <c r="AC530" s="23" t="s">
        <v>3629</v>
      </c>
      <c r="AD530">
        <v>0</v>
      </c>
    </row>
    <row r="531" spans="29:30" x14ac:dyDescent="0.25">
      <c r="AC531" s="23" t="s">
        <v>3353</v>
      </c>
      <c r="AD531">
        <v>0</v>
      </c>
    </row>
    <row r="532" spans="29:30" x14ac:dyDescent="0.25">
      <c r="AC532" s="23" t="s">
        <v>294</v>
      </c>
      <c r="AD532">
        <v>0</v>
      </c>
    </row>
    <row r="533" spans="29:30" x14ac:dyDescent="0.25">
      <c r="AC533" s="23" t="s">
        <v>3351</v>
      </c>
      <c r="AD533">
        <v>0</v>
      </c>
    </row>
    <row r="534" spans="29:30" x14ac:dyDescent="0.25">
      <c r="AC534" s="23" t="s">
        <v>3683</v>
      </c>
      <c r="AD534">
        <v>0</v>
      </c>
    </row>
    <row r="535" spans="29:30" x14ac:dyDescent="0.25">
      <c r="AC535" s="23" t="s">
        <v>3278</v>
      </c>
      <c r="AD535">
        <v>0</v>
      </c>
    </row>
    <row r="536" spans="29:30" x14ac:dyDescent="0.25">
      <c r="AC536" s="23" t="s">
        <v>5119</v>
      </c>
      <c r="AD536">
        <v>0</v>
      </c>
    </row>
    <row r="537" spans="29:30" x14ac:dyDescent="0.25">
      <c r="AC537" s="23" t="s">
        <v>5077</v>
      </c>
      <c r="AD537">
        <v>0</v>
      </c>
    </row>
    <row r="538" spans="29:30" x14ac:dyDescent="0.25">
      <c r="AC538" s="23" t="s">
        <v>3755</v>
      </c>
      <c r="AD538">
        <v>0</v>
      </c>
    </row>
    <row r="539" spans="29:30" x14ac:dyDescent="0.25">
      <c r="AC539" s="23" t="s">
        <v>3361</v>
      </c>
      <c r="AD539">
        <v>0</v>
      </c>
    </row>
    <row r="540" spans="29:30" x14ac:dyDescent="0.25">
      <c r="AC540" s="23" t="s">
        <v>5049</v>
      </c>
      <c r="AD540">
        <v>0</v>
      </c>
    </row>
    <row r="541" spans="29:30" x14ac:dyDescent="0.25">
      <c r="AC541" s="23" t="s">
        <v>3306</v>
      </c>
      <c r="AD541">
        <v>0</v>
      </c>
    </row>
    <row r="542" spans="29:30" x14ac:dyDescent="0.25">
      <c r="AC542" s="23" t="s">
        <v>3807</v>
      </c>
      <c r="AD542">
        <v>0</v>
      </c>
    </row>
    <row r="543" spans="29:30" x14ac:dyDescent="0.25">
      <c r="AC543" s="23" t="s">
        <v>3363</v>
      </c>
      <c r="AD543">
        <v>0</v>
      </c>
    </row>
    <row r="544" spans="29:30" x14ac:dyDescent="0.25">
      <c r="AC544" s="23" t="s">
        <v>3609</v>
      </c>
      <c r="AD544">
        <v>0</v>
      </c>
    </row>
    <row r="545" spans="29:30" x14ac:dyDescent="0.25">
      <c r="AC545" s="23" t="s">
        <v>3365</v>
      </c>
      <c r="AD545">
        <v>0</v>
      </c>
    </row>
    <row r="546" spans="29:30" x14ac:dyDescent="0.25">
      <c r="AC546" s="23" t="s">
        <v>3611</v>
      </c>
      <c r="AD546">
        <v>0</v>
      </c>
    </row>
    <row r="547" spans="29:30" x14ac:dyDescent="0.25">
      <c r="AC547" s="23" t="s">
        <v>3405</v>
      </c>
      <c r="AD547">
        <v>0</v>
      </c>
    </row>
    <row r="548" spans="29:30" x14ac:dyDescent="0.25">
      <c r="AC548" s="23" t="s">
        <v>3783</v>
      </c>
      <c r="AD548">
        <v>0</v>
      </c>
    </row>
    <row r="549" spans="29:30" x14ac:dyDescent="0.25">
      <c r="AC549" s="23" t="s">
        <v>3417</v>
      </c>
      <c r="AD549">
        <v>0</v>
      </c>
    </row>
    <row r="550" spans="29:30" x14ac:dyDescent="0.25">
      <c r="AC550" s="23" t="s">
        <v>3619</v>
      </c>
      <c r="AD550">
        <v>0</v>
      </c>
    </row>
    <row r="551" spans="29:30" x14ac:dyDescent="0.25">
      <c r="AC551" s="23" t="s">
        <v>3487</v>
      </c>
      <c r="AD551">
        <v>0</v>
      </c>
    </row>
    <row r="552" spans="29:30" x14ac:dyDescent="0.25">
      <c r="AC552" s="23" t="s">
        <v>3799</v>
      </c>
      <c r="AD552">
        <v>0</v>
      </c>
    </row>
    <row r="553" spans="29:30" x14ac:dyDescent="0.25">
      <c r="AC553" s="23" t="s">
        <v>3375</v>
      </c>
      <c r="AD553">
        <v>0</v>
      </c>
    </row>
    <row r="554" spans="29:30" x14ac:dyDescent="0.25">
      <c r="AC554" s="23" t="s">
        <v>3661</v>
      </c>
      <c r="AD554">
        <v>0</v>
      </c>
    </row>
    <row r="555" spans="29:30" x14ac:dyDescent="0.25">
      <c r="AC555" s="23" t="s">
        <v>3373</v>
      </c>
      <c r="AD555">
        <v>0</v>
      </c>
    </row>
    <row r="556" spans="29:30" x14ac:dyDescent="0.25">
      <c r="AC556" s="23" t="s">
        <v>3677</v>
      </c>
      <c r="AD556">
        <v>0</v>
      </c>
    </row>
    <row r="557" spans="29:30" x14ac:dyDescent="0.25">
      <c r="AC557" s="23" t="s">
        <v>3491</v>
      </c>
      <c r="AD557">
        <v>0</v>
      </c>
    </row>
    <row r="558" spans="29:30" x14ac:dyDescent="0.25">
      <c r="AC558" s="23" t="s">
        <v>3751</v>
      </c>
      <c r="AD558">
        <v>0</v>
      </c>
    </row>
    <row r="559" spans="29:30" x14ac:dyDescent="0.25">
      <c r="AC559" s="23" t="s">
        <v>3581</v>
      </c>
      <c r="AD559">
        <v>0</v>
      </c>
    </row>
    <row r="560" spans="29:30" x14ac:dyDescent="0.25">
      <c r="AC560" s="23" t="s">
        <v>3721</v>
      </c>
      <c r="AD560">
        <v>0</v>
      </c>
    </row>
    <row r="561" spans="29:30" x14ac:dyDescent="0.25">
      <c r="AC561" s="23" t="s">
        <v>3593</v>
      </c>
      <c r="AD561">
        <v>0</v>
      </c>
    </row>
    <row r="562" spans="29:30" x14ac:dyDescent="0.25">
      <c r="AC562" s="23" t="s">
        <v>3651</v>
      </c>
      <c r="AD562">
        <v>0</v>
      </c>
    </row>
    <row r="563" spans="29:30" x14ac:dyDescent="0.25">
      <c r="AC563" s="23" t="s">
        <v>3533</v>
      </c>
      <c r="AD563">
        <v>0</v>
      </c>
    </row>
    <row r="564" spans="29:30" x14ac:dyDescent="0.25">
      <c r="AC564" s="23" t="s">
        <v>3727</v>
      </c>
      <c r="AD564">
        <v>0</v>
      </c>
    </row>
    <row r="565" spans="29:30" x14ac:dyDescent="0.25">
      <c r="AC565" s="23" t="s">
        <v>3571</v>
      </c>
      <c r="AD565">
        <v>0</v>
      </c>
    </row>
    <row r="566" spans="29:30" x14ac:dyDescent="0.25">
      <c r="AC566" s="23" t="s">
        <v>3761</v>
      </c>
      <c r="AD566">
        <v>0</v>
      </c>
    </row>
    <row r="567" spans="29:30" x14ac:dyDescent="0.25">
      <c r="AC567" s="23" t="s">
        <v>3407</v>
      </c>
      <c r="AD567">
        <v>0</v>
      </c>
    </row>
    <row r="568" spans="29:30" x14ac:dyDescent="0.25">
      <c r="AC568" s="23" t="s">
        <v>3679</v>
      </c>
      <c r="AD568">
        <v>0</v>
      </c>
    </row>
    <row r="569" spans="29:30" x14ac:dyDescent="0.25">
      <c r="AC569" s="23" t="s">
        <v>3377</v>
      </c>
      <c r="AD569">
        <v>0</v>
      </c>
    </row>
    <row r="570" spans="29:30" x14ac:dyDescent="0.25">
      <c r="AC570" s="23" t="s">
        <v>3769</v>
      </c>
      <c r="AD570">
        <v>0</v>
      </c>
    </row>
    <row r="571" spans="29:30" x14ac:dyDescent="0.25">
      <c r="AC571" s="23" t="s">
        <v>3521</v>
      </c>
      <c r="AD571">
        <v>0</v>
      </c>
    </row>
    <row r="572" spans="29:30" x14ac:dyDescent="0.25">
      <c r="AC572" s="23" t="s">
        <v>3863</v>
      </c>
      <c r="AD572">
        <v>0</v>
      </c>
    </row>
    <row r="573" spans="29:30" x14ac:dyDescent="0.25">
      <c r="AC573" s="23" t="s">
        <v>3463</v>
      </c>
      <c r="AD573">
        <v>0</v>
      </c>
    </row>
    <row r="574" spans="29:30" x14ac:dyDescent="0.25">
      <c r="AC574" s="23" t="s">
        <v>3805</v>
      </c>
      <c r="AD574">
        <v>0</v>
      </c>
    </row>
    <row r="575" spans="29:30" x14ac:dyDescent="0.25">
      <c r="AC575" s="23" t="s">
        <v>3383</v>
      </c>
      <c r="AD575">
        <v>0</v>
      </c>
    </row>
    <row r="576" spans="29:30" x14ac:dyDescent="0.25">
      <c r="AC576" s="23" t="s">
        <v>3595</v>
      </c>
      <c r="AD576">
        <v>0</v>
      </c>
    </row>
    <row r="577" spans="29:30" x14ac:dyDescent="0.25">
      <c r="AC577" s="23" t="s">
        <v>3391</v>
      </c>
      <c r="AD577">
        <v>0</v>
      </c>
    </row>
    <row r="578" spans="29:30" x14ac:dyDescent="0.25">
      <c r="AC578" s="23" t="s">
        <v>3601</v>
      </c>
      <c r="AD578">
        <v>0</v>
      </c>
    </row>
    <row r="579" spans="29:30" x14ac:dyDescent="0.25">
      <c r="AC579" s="23" t="s">
        <v>3475</v>
      </c>
      <c r="AD579">
        <v>0</v>
      </c>
    </row>
    <row r="580" spans="29:30" x14ac:dyDescent="0.25">
      <c r="AC580" s="23" t="s">
        <v>3615</v>
      </c>
      <c r="AD580">
        <v>0</v>
      </c>
    </row>
    <row r="581" spans="29:30" x14ac:dyDescent="0.25">
      <c r="AC581" s="23" t="s">
        <v>3413</v>
      </c>
      <c r="AD581">
        <v>0</v>
      </c>
    </row>
    <row r="582" spans="29:30" x14ac:dyDescent="0.25">
      <c r="AC582" s="23" t="s">
        <v>3617</v>
      </c>
      <c r="AD582">
        <v>0</v>
      </c>
    </row>
    <row r="583" spans="29:30" x14ac:dyDescent="0.25">
      <c r="AC583" s="23" t="s">
        <v>3479</v>
      </c>
      <c r="AD583">
        <v>0</v>
      </c>
    </row>
    <row r="584" spans="29:30" x14ac:dyDescent="0.25">
      <c r="AC584" s="23" t="s">
        <v>3635</v>
      </c>
      <c r="AD584">
        <v>0</v>
      </c>
    </row>
    <row r="585" spans="29:30" x14ac:dyDescent="0.25">
      <c r="AC585" s="23" t="s">
        <v>5095</v>
      </c>
      <c r="AD585">
        <v>0</v>
      </c>
    </row>
    <row r="586" spans="29:30" x14ac:dyDescent="0.25">
      <c r="AC586" s="23" t="s">
        <v>3739</v>
      </c>
      <c r="AD586">
        <v>0</v>
      </c>
    </row>
    <row r="587" spans="29:30" x14ac:dyDescent="0.25">
      <c r="AC587" s="23" t="s">
        <v>3547</v>
      </c>
      <c r="AD587">
        <v>0</v>
      </c>
    </row>
    <row r="588" spans="29:30" x14ac:dyDescent="0.25">
      <c r="AC588" s="23" t="s">
        <v>3775</v>
      </c>
      <c r="AD588">
        <v>0</v>
      </c>
    </row>
    <row r="589" spans="29:30" x14ac:dyDescent="0.25">
      <c r="AC589" s="23" t="s">
        <v>3551</v>
      </c>
      <c r="AD589">
        <v>0</v>
      </c>
    </row>
    <row r="590" spans="29:30" x14ac:dyDescent="0.25">
      <c r="AC590" s="23" t="s">
        <v>3631</v>
      </c>
      <c r="AD590">
        <v>0</v>
      </c>
    </row>
    <row r="591" spans="29:30" x14ac:dyDescent="0.25">
      <c r="AC591" s="23" t="s">
        <v>3397</v>
      </c>
      <c r="AD591">
        <v>0</v>
      </c>
    </row>
    <row r="592" spans="29:30" x14ac:dyDescent="0.25">
      <c r="AC592" s="23" t="s">
        <v>3623</v>
      </c>
      <c r="AD592">
        <v>0</v>
      </c>
    </row>
    <row r="593" spans="29:30" x14ac:dyDescent="0.25">
      <c r="AC593" s="23" t="s">
        <v>3561</v>
      </c>
      <c r="AD593">
        <v>0</v>
      </c>
    </row>
    <row r="594" spans="29:30" x14ac:dyDescent="0.25">
      <c r="AC594" s="23" t="s">
        <v>3645</v>
      </c>
      <c r="AD594">
        <v>0</v>
      </c>
    </row>
    <row r="595" spans="29:30" x14ac:dyDescent="0.25">
      <c r="AC595" s="23" t="s">
        <v>3597</v>
      </c>
      <c r="AD595">
        <v>0</v>
      </c>
    </row>
    <row r="596" spans="29:30" x14ac:dyDescent="0.25">
      <c r="AC596" s="23" t="s">
        <v>3657</v>
      </c>
      <c r="AD596">
        <v>0</v>
      </c>
    </row>
    <row r="597" spans="29:30" x14ac:dyDescent="0.25">
      <c r="AC597" s="23" t="s">
        <v>3473</v>
      </c>
      <c r="AD597">
        <v>0</v>
      </c>
    </row>
    <row r="598" spans="29:30" x14ac:dyDescent="0.25">
      <c r="AC598" s="23" t="s">
        <v>3671</v>
      </c>
      <c r="AD598">
        <v>0</v>
      </c>
    </row>
    <row r="599" spans="29:30" x14ac:dyDescent="0.25">
      <c r="AC599" s="23" t="s">
        <v>5091</v>
      </c>
      <c r="AD599">
        <v>0</v>
      </c>
    </row>
    <row r="600" spans="29:30" x14ac:dyDescent="0.25">
      <c r="AC600" s="23" t="s">
        <v>3787</v>
      </c>
      <c r="AD600">
        <v>0</v>
      </c>
    </row>
    <row r="601" spans="29:30" x14ac:dyDescent="0.25">
      <c r="AC601" s="23" t="s">
        <v>3469</v>
      </c>
      <c r="AD601">
        <v>0</v>
      </c>
    </row>
    <row r="602" spans="29:30" x14ac:dyDescent="0.25">
      <c r="AC602" s="23" t="s">
        <v>3707</v>
      </c>
      <c r="AD602">
        <v>0</v>
      </c>
    </row>
    <row r="603" spans="29:30" x14ac:dyDescent="0.25">
      <c r="AC603" s="23" t="s">
        <v>3419</v>
      </c>
      <c r="AD603">
        <v>0</v>
      </c>
    </row>
    <row r="604" spans="29:30" x14ac:dyDescent="0.25">
      <c r="AC604" s="23" t="s">
        <v>3713</v>
      </c>
      <c r="AD604">
        <v>0</v>
      </c>
    </row>
    <row r="605" spans="29:30" x14ac:dyDescent="0.25">
      <c r="AC605" s="23" t="s">
        <v>3423</v>
      </c>
      <c r="AD605">
        <v>0</v>
      </c>
    </row>
    <row r="606" spans="29:30" x14ac:dyDescent="0.25">
      <c r="AC606" s="23" t="s">
        <v>3701</v>
      </c>
      <c r="AD606">
        <v>0</v>
      </c>
    </row>
    <row r="607" spans="29:30" x14ac:dyDescent="0.25">
      <c r="AC607" s="23" t="s">
        <v>3425</v>
      </c>
      <c r="AD607">
        <v>0</v>
      </c>
    </row>
    <row r="608" spans="29:30" x14ac:dyDescent="0.25">
      <c r="AC608" s="23" t="s">
        <v>3655</v>
      </c>
      <c r="AD608">
        <v>0</v>
      </c>
    </row>
    <row r="609" spans="29:30" x14ac:dyDescent="0.25">
      <c r="AC609" s="23" t="s">
        <v>3513</v>
      </c>
      <c r="AD609">
        <v>0</v>
      </c>
    </row>
    <row r="610" spans="29:30" x14ac:dyDescent="0.25">
      <c r="AC610" s="23" t="s">
        <v>659</v>
      </c>
      <c r="AD610">
        <v>0</v>
      </c>
    </row>
    <row r="611" spans="29:30" x14ac:dyDescent="0.25">
      <c r="AC611" s="23" t="s">
        <v>3511</v>
      </c>
      <c r="AD611">
        <v>0</v>
      </c>
    </row>
    <row r="612" spans="29:30" x14ac:dyDescent="0.25">
      <c r="AC612" s="23" t="s">
        <v>3699</v>
      </c>
      <c r="AD612">
        <v>0</v>
      </c>
    </row>
    <row r="613" spans="29:30" x14ac:dyDescent="0.25">
      <c r="AC613" s="23" t="s">
        <v>3427</v>
      </c>
      <c r="AD613">
        <v>0</v>
      </c>
    </row>
    <row r="614" spans="29:30" x14ac:dyDescent="0.25">
      <c r="AC614" s="23" t="s">
        <v>3703</v>
      </c>
      <c r="AD614">
        <v>0</v>
      </c>
    </row>
    <row r="615" spans="29:30" x14ac:dyDescent="0.25">
      <c r="AC615" s="23" t="s">
        <v>4332</v>
      </c>
      <c r="AD615">
        <v>0</v>
      </c>
    </row>
    <row r="616" spans="29:30" x14ac:dyDescent="0.25">
      <c r="AC616" s="23" t="s">
        <v>3759</v>
      </c>
      <c r="AD616">
        <v>0</v>
      </c>
    </row>
    <row r="617" spans="29:30" x14ac:dyDescent="0.25">
      <c r="AC617" s="23" t="s">
        <v>3461</v>
      </c>
      <c r="AD617">
        <v>0</v>
      </c>
    </row>
    <row r="618" spans="29:30" x14ac:dyDescent="0.25">
      <c r="AC618" s="23" t="s">
        <v>3773</v>
      </c>
      <c r="AD618">
        <v>0</v>
      </c>
    </row>
    <row r="619" spans="29:30" x14ac:dyDescent="0.25">
      <c r="AC619" s="23" t="s">
        <v>3553</v>
      </c>
      <c r="AD619">
        <v>0</v>
      </c>
    </row>
    <row r="620" spans="29:30" x14ac:dyDescent="0.25">
      <c r="AC620" s="23" t="s">
        <v>3753</v>
      </c>
      <c r="AD620">
        <v>0</v>
      </c>
    </row>
    <row r="621" spans="29:30" x14ac:dyDescent="0.25">
      <c r="AC621" s="23" t="s">
        <v>3569</v>
      </c>
      <c r="AD621">
        <v>0</v>
      </c>
    </row>
    <row r="622" spans="29:30" x14ac:dyDescent="0.25">
      <c r="AC622" s="23" t="s">
        <v>3779</v>
      </c>
      <c r="AD622">
        <v>0</v>
      </c>
    </row>
    <row r="623" spans="29:30" x14ac:dyDescent="0.25">
      <c r="AC623" s="23" t="s">
        <v>3409</v>
      </c>
      <c r="AD623">
        <v>0</v>
      </c>
    </row>
    <row r="624" spans="29:30" x14ac:dyDescent="0.25">
      <c r="AC624" s="23" t="s">
        <v>3641</v>
      </c>
      <c r="AD624">
        <v>0</v>
      </c>
    </row>
    <row r="625" spans="29:30" x14ac:dyDescent="0.25">
      <c r="AC625" s="23" t="s">
        <v>3539</v>
      </c>
      <c r="AD625">
        <v>0</v>
      </c>
    </row>
    <row r="626" spans="29:30" x14ac:dyDescent="0.25">
      <c r="AC626" s="23" t="s">
        <v>4901</v>
      </c>
      <c r="AD626">
        <v>0</v>
      </c>
    </row>
    <row r="627" spans="29:30" x14ac:dyDescent="0.25">
      <c r="AC627" s="23" t="s">
        <v>3465</v>
      </c>
      <c r="AD627">
        <v>0</v>
      </c>
    </row>
    <row r="628" spans="29:30" x14ac:dyDescent="0.25">
      <c r="AC628" s="23" t="s">
        <v>3737</v>
      </c>
      <c r="AD628">
        <v>0</v>
      </c>
    </row>
    <row r="629" spans="29:30" x14ac:dyDescent="0.25">
      <c r="AC629" s="23" t="s">
        <v>3555</v>
      </c>
      <c r="AD629">
        <v>0</v>
      </c>
    </row>
    <row r="630" spans="29:30" x14ac:dyDescent="0.25">
      <c r="AC630" s="23" t="s">
        <v>5127</v>
      </c>
      <c r="AD630">
        <v>0</v>
      </c>
    </row>
    <row r="631" spans="29:30" x14ac:dyDescent="0.25">
      <c r="AC631" s="23" t="s">
        <v>3385</v>
      </c>
      <c r="AD631">
        <v>0</v>
      </c>
    </row>
    <row r="632" spans="29:30" x14ac:dyDescent="0.25">
      <c r="AC632" s="23" t="s">
        <v>5123</v>
      </c>
      <c r="AD632">
        <v>0</v>
      </c>
    </row>
    <row r="633" spans="29:30" x14ac:dyDescent="0.25">
      <c r="AC633" s="23" t="s">
        <v>3431</v>
      </c>
      <c r="AD633">
        <v>0</v>
      </c>
    </row>
    <row r="634" spans="29:30" x14ac:dyDescent="0.25">
      <c r="AC634" s="23" t="s">
        <v>3916</v>
      </c>
      <c r="AD634">
        <v>0</v>
      </c>
    </row>
    <row r="635" spans="29:30" x14ac:dyDescent="0.25">
      <c r="AC635" s="23" t="s">
        <v>3451</v>
      </c>
      <c r="AD635">
        <v>0</v>
      </c>
    </row>
    <row r="636" spans="29:30" x14ac:dyDescent="0.25">
      <c r="AC636" s="23" t="s">
        <v>3857</v>
      </c>
      <c r="AD636">
        <v>0</v>
      </c>
    </row>
    <row r="637" spans="29:30" x14ac:dyDescent="0.25">
      <c r="AC637" s="23" t="s">
        <v>3459</v>
      </c>
      <c r="AD637">
        <v>0</v>
      </c>
    </row>
    <row r="638" spans="29:30" x14ac:dyDescent="0.25">
      <c r="AC638" s="23" t="s">
        <v>4006</v>
      </c>
      <c r="AD638">
        <v>0</v>
      </c>
    </row>
    <row r="639" spans="29:30" x14ac:dyDescent="0.25">
      <c r="AC639" s="23" t="s">
        <v>3449</v>
      </c>
      <c r="AD639">
        <v>0</v>
      </c>
    </row>
    <row r="640" spans="29:30" x14ac:dyDescent="0.25">
      <c r="AC640" s="23" t="s">
        <v>3803</v>
      </c>
      <c r="AD640">
        <v>0</v>
      </c>
    </row>
    <row r="641" spans="29:30" x14ac:dyDescent="0.25">
      <c r="AC641" s="23" t="s">
        <v>3541</v>
      </c>
      <c r="AD641">
        <v>0</v>
      </c>
    </row>
    <row r="642" spans="29:30" x14ac:dyDescent="0.25">
      <c r="AC642" s="23" t="s">
        <v>3599</v>
      </c>
      <c r="AD642">
        <v>0</v>
      </c>
    </row>
    <row r="643" spans="29:30" x14ac:dyDescent="0.25">
      <c r="AC643" s="23" t="s">
        <v>3399</v>
      </c>
      <c r="AD643">
        <v>0</v>
      </c>
    </row>
    <row r="644" spans="29:30" x14ac:dyDescent="0.25">
      <c r="AC644" s="23" t="s">
        <v>3603</v>
      </c>
      <c r="AD644">
        <v>0</v>
      </c>
    </row>
    <row r="645" spans="29:30" x14ac:dyDescent="0.25">
      <c r="AC645" s="23" t="s">
        <v>3439</v>
      </c>
      <c r="AD645">
        <v>0</v>
      </c>
    </row>
    <row r="646" spans="29:30" x14ac:dyDescent="0.25">
      <c r="AC646" s="23" t="s">
        <v>5109</v>
      </c>
      <c r="AD646">
        <v>0</v>
      </c>
    </row>
    <row r="647" spans="29:30" x14ac:dyDescent="0.25">
      <c r="AC647" s="23" t="s">
        <v>5093</v>
      </c>
      <c r="AD647">
        <v>0</v>
      </c>
    </row>
    <row r="648" spans="29:30" x14ac:dyDescent="0.25">
      <c r="AC648" s="23" t="s">
        <v>5107</v>
      </c>
      <c r="AD648">
        <v>0</v>
      </c>
    </row>
    <row r="649" spans="29:30" x14ac:dyDescent="0.25">
      <c r="AC649" s="23" t="s">
        <v>3583</v>
      </c>
      <c r="AD649">
        <v>0</v>
      </c>
    </row>
    <row r="650" spans="29:30" x14ac:dyDescent="0.25">
      <c r="AC650" s="23" t="s">
        <v>3613</v>
      </c>
      <c r="AD650">
        <v>0</v>
      </c>
    </row>
    <row r="651" spans="29:30" x14ac:dyDescent="0.25">
      <c r="AC651" s="23" t="s">
        <v>150</v>
      </c>
      <c r="AD651">
        <v>0</v>
      </c>
    </row>
    <row r="652" spans="29:30" x14ac:dyDescent="0.25">
      <c r="AC652" s="23" t="s">
        <v>5111</v>
      </c>
      <c r="AD652">
        <v>0</v>
      </c>
    </row>
    <row r="653" spans="29:30" x14ac:dyDescent="0.25">
      <c r="AC653" s="23" t="s">
        <v>3453</v>
      </c>
      <c r="AD653">
        <v>0</v>
      </c>
    </row>
    <row r="654" spans="29:30" x14ac:dyDescent="0.25">
      <c r="AC654" s="23" t="s">
        <v>3649</v>
      </c>
      <c r="AD654">
        <v>0</v>
      </c>
    </row>
    <row r="655" spans="29:30" x14ac:dyDescent="0.25">
      <c r="AC655" s="23" t="s">
        <v>3401</v>
      </c>
      <c r="AD655">
        <v>0</v>
      </c>
    </row>
    <row r="656" spans="29:30" x14ac:dyDescent="0.25">
      <c r="AC656" s="23" t="s">
        <v>3675</v>
      </c>
      <c r="AD656">
        <v>0</v>
      </c>
    </row>
    <row r="657" spans="29:30" x14ac:dyDescent="0.25">
      <c r="AC657" s="23" t="s">
        <v>3509</v>
      </c>
      <c r="AD657">
        <v>0</v>
      </c>
    </row>
    <row r="658" spans="29:30" x14ac:dyDescent="0.25">
      <c r="AC658" s="23" t="s">
        <v>3711</v>
      </c>
      <c r="AD658">
        <v>0</v>
      </c>
    </row>
    <row r="659" spans="29:30" x14ac:dyDescent="0.25">
      <c r="AC659" s="23" t="s">
        <v>3517</v>
      </c>
      <c r="AD659">
        <v>0</v>
      </c>
    </row>
    <row r="660" spans="29:30" x14ac:dyDescent="0.25">
      <c r="AC660" s="23" t="s">
        <v>5113</v>
      </c>
      <c r="AD660">
        <v>0</v>
      </c>
    </row>
    <row r="661" spans="29:30" x14ac:dyDescent="0.25">
      <c r="AC661" s="23" t="s">
        <v>3519</v>
      </c>
      <c r="AD661">
        <v>0</v>
      </c>
    </row>
    <row r="662" spans="29:30" x14ac:dyDescent="0.25">
      <c r="AC662" s="23" t="s">
        <v>3621</v>
      </c>
      <c r="AD662">
        <v>0</v>
      </c>
    </row>
    <row r="663" spans="29:30" x14ac:dyDescent="0.25">
      <c r="AC663" s="23" t="s">
        <v>5101</v>
      </c>
      <c r="AD663">
        <v>0</v>
      </c>
    </row>
    <row r="664" spans="29:30" x14ac:dyDescent="0.25">
      <c r="AC664" s="23" t="s">
        <v>3208</v>
      </c>
      <c r="AD664">
        <v>0</v>
      </c>
    </row>
    <row r="665" spans="29:30" x14ac:dyDescent="0.25">
      <c r="AC665" s="23" t="s">
        <v>3455</v>
      </c>
      <c r="AD665">
        <v>0</v>
      </c>
    </row>
    <row r="666" spans="29:30" x14ac:dyDescent="0.25">
      <c r="AC666" s="23" t="s">
        <v>3781</v>
      </c>
      <c r="AD666">
        <v>0</v>
      </c>
    </row>
    <row r="667" spans="29:30" x14ac:dyDescent="0.25">
      <c r="AC667" s="23" t="s">
        <v>3587</v>
      </c>
      <c r="AD667">
        <v>0</v>
      </c>
    </row>
    <row r="668" spans="29:30" x14ac:dyDescent="0.25">
      <c r="AC668" s="23" t="s">
        <v>3717</v>
      </c>
      <c r="AD668">
        <v>0</v>
      </c>
    </row>
    <row r="669" spans="29:30" x14ac:dyDescent="0.25">
      <c r="AC669" s="23" t="s">
        <v>3415</v>
      </c>
      <c r="AD669">
        <v>0</v>
      </c>
    </row>
    <row r="670" spans="29:30" x14ac:dyDescent="0.25">
      <c r="AC670" s="23" t="s">
        <v>3777</v>
      </c>
      <c r="AD670">
        <v>0</v>
      </c>
    </row>
    <row r="671" spans="29:30" x14ac:dyDescent="0.25">
      <c r="AC671" s="23" t="s">
        <v>3579</v>
      </c>
      <c r="AD671">
        <v>0</v>
      </c>
    </row>
    <row r="672" spans="29:30" x14ac:dyDescent="0.25">
      <c r="AC672" s="23" t="s">
        <v>3745</v>
      </c>
      <c r="AD672">
        <v>0</v>
      </c>
    </row>
    <row r="673" spans="29:30" x14ac:dyDescent="0.25">
      <c r="AC673" s="23" t="s">
        <v>3501</v>
      </c>
      <c r="AD673">
        <v>0</v>
      </c>
    </row>
    <row r="674" spans="29:30" x14ac:dyDescent="0.25">
      <c r="AC674" s="23" t="s">
        <v>3797</v>
      </c>
      <c r="AD674">
        <v>0</v>
      </c>
    </row>
    <row r="675" spans="29:30" x14ac:dyDescent="0.25">
      <c r="AC675" s="23" t="s">
        <v>3485</v>
      </c>
      <c r="AD675">
        <v>0</v>
      </c>
    </row>
    <row r="676" spans="29:30" x14ac:dyDescent="0.25">
      <c r="AC676" s="23" t="s">
        <v>3659</v>
      </c>
      <c r="AD676">
        <v>0</v>
      </c>
    </row>
    <row r="677" spans="29:30" x14ac:dyDescent="0.25">
      <c r="AC677" s="23" t="s">
        <v>3499</v>
      </c>
      <c r="AD677">
        <v>0</v>
      </c>
    </row>
    <row r="678" spans="29:30" x14ac:dyDescent="0.25">
      <c r="AC678" s="23" t="s">
        <v>3667</v>
      </c>
      <c r="AD678">
        <v>0</v>
      </c>
    </row>
    <row r="679" spans="29:30" x14ac:dyDescent="0.25">
      <c r="AC679" s="23" t="s">
        <v>2898</v>
      </c>
      <c r="AD679">
        <v>0</v>
      </c>
    </row>
    <row r="680" spans="29:30" x14ac:dyDescent="0.25">
      <c r="AC680" s="23" t="s">
        <v>5115</v>
      </c>
      <c r="AD680">
        <v>0</v>
      </c>
    </row>
    <row r="681" spans="29:30" x14ac:dyDescent="0.25">
      <c r="AC681" s="23" t="s">
        <v>3403</v>
      </c>
      <c r="AD681">
        <v>0</v>
      </c>
    </row>
    <row r="682" spans="29:30" x14ac:dyDescent="0.25">
      <c r="AC682" s="23" t="s">
        <v>3665</v>
      </c>
      <c r="AD682">
        <v>0</v>
      </c>
    </row>
    <row r="683" spans="29:30" x14ac:dyDescent="0.25">
      <c r="AC683" s="23" t="s">
        <v>3497</v>
      </c>
      <c r="AD683">
        <v>0</v>
      </c>
    </row>
    <row r="684" spans="29:30" x14ac:dyDescent="0.25">
      <c r="AC684" s="23" t="s">
        <v>3669</v>
      </c>
      <c r="AD684">
        <v>0</v>
      </c>
    </row>
    <row r="685" spans="29:30" x14ac:dyDescent="0.25">
      <c r="AC685" s="23" t="s">
        <v>3395</v>
      </c>
      <c r="AD685">
        <v>0</v>
      </c>
    </row>
    <row r="686" spans="29:30" x14ac:dyDescent="0.25">
      <c r="AC686" s="23" t="s">
        <v>5121</v>
      </c>
      <c r="AD686">
        <v>0</v>
      </c>
    </row>
    <row r="687" spans="29:30" x14ac:dyDescent="0.25">
      <c r="AC687" s="23" t="s">
        <v>3527</v>
      </c>
      <c r="AD687">
        <v>0</v>
      </c>
    </row>
    <row r="688" spans="29:30" x14ac:dyDescent="0.25">
      <c r="AC688" s="23" t="s">
        <v>3673</v>
      </c>
      <c r="AD688">
        <v>0</v>
      </c>
    </row>
    <row r="689" spans="29:30" x14ac:dyDescent="0.25">
      <c r="AC689" s="23" t="s">
        <v>3505</v>
      </c>
      <c r="AD689">
        <v>0</v>
      </c>
    </row>
    <row r="690" spans="29:30" x14ac:dyDescent="0.25">
      <c r="AC690" s="23" t="s">
        <v>3743</v>
      </c>
      <c r="AD690">
        <v>0</v>
      </c>
    </row>
    <row r="691" spans="29:30" x14ac:dyDescent="0.25">
      <c r="AC691" s="23" t="s">
        <v>3529</v>
      </c>
      <c r="AD691">
        <v>0</v>
      </c>
    </row>
    <row r="692" spans="29:30" x14ac:dyDescent="0.25">
      <c r="AC692" s="23" t="s">
        <v>3970</v>
      </c>
      <c r="AD692">
        <v>0</v>
      </c>
    </row>
    <row r="693" spans="29:30" x14ac:dyDescent="0.25">
      <c r="AC693" s="23" t="s">
        <v>3379</v>
      </c>
      <c r="AD693">
        <v>0</v>
      </c>
    </row>
    <row r="694" spans="29:30" x14ac:dyDescent="0.25">
      <c r="AC694" s="23" t="s">
        <v>3663</v>
      </c>
      <c r="AD694">
        <v>0</v>
      </c>
    </row>
    <row r="695" spans="29:30" x14ac:dyDescent="0.25">
      <c r="AC695" s="23" t="s">
        <v>5105</v>
      </c>
      <c r="AD695">
        <v>0</v>
      </c>
    </row>
    <row r="696" spans="29:30" x14ac:dyDescent="0.25">
      <c r="AC696" s="23" t="s">
        <v>3749</v>
      </c>
      <c r="AD696">
        <v>0</v>
      </c>
    </row>
    <row r="697" spans="29:30" x14ac:dyDescent="0.25">
      <c r="AC697" s="23" t="s">
        <v>3369</v>
      </c>
      <c r="AD697">
        <v>0</v>
      </c>
    </row>
    <row r="698" spans="29:30" x14ac:dyDescent="0.25">
      <c r="AC698" s="23" t="s">
        <v>3689</v>
      </c>
      <c r="AD698">
        <v>0</v>
      </c>
    </row>
    <row r="699" spans="29:30" x14ac:dyDescent="0.25">
      <c r="AC699" s="23" t="s">
        <v>3387</v>
      </c>
      <c r="AD699">
        <v>0</v>
      </c>
    </row>
    <row r="700" spans="29:30" x14ac:dyDescent="0.25">
      <c r="AC700" s="23" t="s">
        <v>3771</v>
      </c>
      <c r="AD700">
        <v>0</v>
      </c>
    </row>
    <row r="701" spans="29:30" x14ac:dyDescent="0.25">
      <c r="AC701" s="23" t="s">
        <v>3389</v>
      </c>
      <c r="AD701">
        <v>0</v>
      </c>
    </row>
    <row r="702" spans="29:30" x14ac:dyDescent="0.25">
      <c r="AC702" s="23" t="s">
        <v>3639</v>
      </c>
      <c r="AD702">
        <v>0</v>
      </c>
    </row>
    <row r="703" spans="29:30" x14ac:dyDescent="0.25">
      <c r="AC703" s="23" t="s">
        <v>3443</v>
      </c>
      <c r="AD703">
        <v>0</v>
      </c>
    </row>
    <row r="704" spans="29:30" x14ac:dyDescent="0.25">
      <c r="AC704" s="23" t="s">
        <v>3715</v>
      </c>
      <c r="AD704">
        <v>0</v>
      </c>
    </row>
    <row r="705" spans="29:30" x14ac:dyDescent="0.25">
      <c r="AC705" s="23" t="s">
        <v>3557</v>
      </c>
      <c r="AD705">
        <v>0</v>
      </c>
    </row>
    <row r="706" spans="29:30" x14ac:dyDescent="0.25">
      <c r="AC706" s="23" t="s">
        <v>3647</v>
      </c>
      <c r="AD706">
        <v>0</v>
      </c>
    </row>
    <row r="707" spans="29:30" x14ac:dyDescent="0.25">
      <c r="AC707" s="23" t="s">
        <v>3433</v>
      </c>
      <c r="AD707">
        <v>0</v>
      </c>
    </row>
    <row r="708" spans="29:30" x14ac:dyDescent="0.25">
      <c r="AC708" s="23" t="s">
        <v>3653</v>
      </c>
      <c r="AD708">
        <v>0</v>
      </c>
    </row>
    <row r="709" spans="29:30" x14ac:dyDescent="0.25">
      <c r="AC709" s="23" t="s">
        <v>3559</v>
      </c>
      <c r="AD709">
        <v>0</v>
      </c>
    </row>
    <row r="710" spans="29:30" x14ac:dyDescent="0.25">
      <c r="AC710" s="23" t="s">
        <v>3693</v>
      </c>
      <c r="AD710">
        <v>0</v>
      </c>
    </row>
    <row r="711" spans="29:30" x14ac:dyDescent="0.25">
      <c r="AC711" s="23" t="s">
        <v>3535</v>
      </c>
      <c r="AD711">
        <v>0</v>
      </c>
    </row>
    <row r="712" spans="29:30" x14ac:dyDescent="0.25">
      <c r="AC712" s="23" t="s">
        <v>3697</v>
      </c>
      <c r="AD712">
        <v>0</v>
      </c>
    </row>
    <row r="713" spans="29:30" x14ac:dyDescent="0.25">
      <c r="AC713" s="23" t="s">
        <v>1915</v>
      </c>
      <c r="AD713">
        <v>0</v>
      </c>
    </row>
    <row r="714" spans="29:30" x14ac:dyDescent="0.25">
      <c r="AC714" s="23" t="s">
        <v>3719</v>
      </c>
      <c r="AD714">
        <v>0</v>
      </c>
    </row>
    <row r="715" spans="29:30" x14ac:dyDescent="0.25">
      <c r="AC715" s="23" t="s">
        <v>5087</v>
      </c>
      <c r="AD715">
        <v>0</v>
      </c>
    </row>
    <row r="716" spans="29:30" x14ac:dyDescent="0.25">
      <c r="AC716" s="23" t="s">
        <v>3691</v>
      </c>
      <c r="AD716">
        <v>0</v>
      </c>
    </row>
    <row r="717" spans="29:30" x14ac:dyDescent="0.25">
      <c r="AC717" s="23" t="s">
        <v>4484</v>
      </c>
      <c r="AD717">
        <v>0</v>
      </c>
    </row>
    <row r="718" spans="29:30" x14ac:dyDescent="0.25">
      <c r="AC718" s="23" t="s">
        <v>3723</v>
      </c>
      <c r="AD718">
        <v>0</v>
      </c>
    </row>
    <row r="719" spans="29:30" x14ac:dyDescent="0.25">
      <c r="AC719" s="23" t="s">
        <v>3447</v>
      </c>
      <c r="AD719">
        <v>0</v>
      </c>
    </row>
    <row r="720" spans="29:30" x14ac:dyDescent="0.25">
      <c r="AC720" s="23" t="s">
        <v>3725</v>
      </c>
      <c r="AD720">
        <v>0</v>
      </c>
    </row>
    <row r="721" spans="29:30" x14ac:dyDescent="0.25">
      <c r="AC721" s="23" t="s">
        <v>3481</v>
      </c>
      <c r="AD721">
        <v>0</v>
      </c>
    </row>
    <row r="722" spans="29:30" x14ac:dyDescent="0.25">
      <c r="AC722" s="23" t="s">
        <v>3741</v>
      </c>
      <c r="AD722">
        <v>0</v>
      </c>
    </row>
    <row r="723" spans="29:30" x14ac:dyDescent="0.25">
      <c r="AC723" s="23" t="s">
        <v>3489</v>
      </c>
      <c r="AD723">
        <v>0</v>
      </c>
    </row>
    <row r="724" spans="29:30" x14ac:dyDescent="0.25">
      <c r="AC724" s="23" t="s">
        <v>3633</v>
      </c>
      <c r="AD724">
        <v>0</v>
      </c>
    </row>
    <row r="725" spans="29:30" x14ac:dyDescent="0.25">
      <c r="AC725" s="23" t="s">
        <v>3507</v>
      </c>
      <c r="AD725">
        <v>0</v>
      </c>
    </row>
    <row r="726" spans="29:30" x14ac:dyDescent="0.25">
      <c r="AC726" s="23" t="s">
        <v>3747</v>
      </c>
      <c r="AD726">
        <v>0</v>
      </c>
    </row>
    <row r="727" spans="29:30" x14ac:dyDescent="0.25">
      <c r="AC727" s="23" t="s">
        <v>5097</v>
      </c>
      <c r="AD727">
        <v>0</v>
      </c>
    </row>
    <row r="728" spans="29:30" x14ac:dyDescent="0.25">
      <c r="AC728" s="23" t="s">
        <v>3733</v>
      </c>
      <c r="AD728">
        <v>0</v>
      </c>
    </row>
    <row r="729" spans="29:30" x14ac:dyDescent="0.25">
      <c r="AC729" s="23" t="s">
        <v>3457</v>
      </c>
      <c r="AD729">
        <v>0</v>
      </c>
    </row>
    <row r="730" spans="29:30" x14ac:dyDescent="0.25">
      <c r="AC730" s="23" t="s">
        <v>3731</v>
      </c>
      <c r="AD730">
        <v>0</v>
      </c>
    </row>
    <row r="731" spans="29:30" x14ac:dyDescent="0.25">
      <c r="AC731" s="23" t="s">
        <v>5089</v>
      </c>
      <c r="AD731">
        <v>0</v>
      </c>
    </row>
    <row r="732" spans="29:30" x14ac:dyDescent="0.25">
      <c r="AC732" s="23" t="s">
        <v>3763</v>
      </c>
      <c r="AD732">
        <v>0</v>
      </c>
    </row>
    <row r="733" spans="29:30" x14ac:dyDescent="0.25">
      <c r="AC733" s="23" t="s">
        <v>3585</v>
      </c>
      <c r="AD733">
        <v>0</v>
      </c>
    </row>
    <row r="734" spans="29:30" x14ac:dyDescent="0.25">
      <c r="AC734" s="23" t="s">
        <v>3735</v>
      </c>
      <c r="AD734">
        <v>0</v>
      </c>
    </row>
    <row r="735" spans="29:30" x14ac:dyDescent="0.25">
      <c r="AC735" s="23" t="s">
        <v>3523</v>
      </c>
      <c r="AD735">
        <v>0</v>
      </c>
    </row>
    <row r="736" spans="29:30" x14ac:dyDescent="0.25">
      <c r="AC736" s="23" t="s">
        <v>3791</v>
      </c>
      <c r="AD736">
        <v>0</v>
      </c>
    </row>
    <row r="737" spans="29:30" x14ac:dyDescent="0.25">
      <c r="AC737" s="23" t="s">
        <v>3525</v>
      </c>
      <c r="AD737">
        <v>0</v>
      </c>
    </row>
    <row r="738" spans="29:30" x14ac:dyDescent="0.25">
      <c r="AC738" s="23" t="s">
        <v>3637</v>
      </c>
      <c r="AD738">
        <v>0</v>
      </c>
    </row>
    <row r="739" spans="29:30" x14ac:dyDescent="0.25">
      <c r="AC739" s="23" t="s">
        <v>3563</v>
      </c>
      <c r="AD739">
        <v>0</v>
      </c>
    </row>
    <row r="740" spans="29:30" x14ac:dyDescent="0.25">
      <c r="AC740" s="23" t="s">
        <v>4809</v>
      </c>
      <c r="AD740">
        <v>0</v>
      </c>
    </row>
    <row r="741" spans="29:30" x14ac:dyDescent="0.25">
      <c r="AC741" s="23" t="s">
        <v>5103</v>
      </c>
      <c r="AD741">
        <v>0</v>
      </c>
    </row>
    <row r="742" spans="29:30" x14ac:dyDescent="0.25">
      <c r="AC742" s="23" t="s">
        <v>3709</v>
      </c>
      <c r="AD742">
        <v>0</v>
      </c>
    </row>
    <row r="743" spans="29:30" x14ac:dyDescent="0.25">
      <c r="AC743" s="23" t="s">
        <v>3567</v>
      </c>
      <c r="AD743">
        <v>0</v>
      </c>
    </row>
    <row r="744" spans="29:30" x14ac:dyDescent="0.25">
      <c r="AC744" s="23" t="s">
        <v>5125</v>
      </c>
      <c r="AD744">
        <v>0</v>
      </c>
    </row>
    <row r="745" spans="29:30" x14ac:dyDescent="0.25">
      <c r="AC745" s="23" t="s">
        <v>3531</v>
      </c>
      <c r="AD745">
        <v>0</v>
      </c>
    </row>
    <row r="746" spans="29:30" x14ac:dyDescent="0.25">
      <c r="AC746" s="23" t="s">
        <v>3767</v>
      </c>
      <c r="AD746">
        <v>0</v>
      </c>
    </row>
    <row r="747" spans="29:30" x14ac:dyDescent="0.25">
      <c r="AC747" s="23" t="s">
        <v>2478</v>
      </c>
      <c r="AD747">
        <v>0</v>
      </c>
    </row>
    <row r="748" spans="29:30" x14ac:dyDescent="0.25">
      <c r="AC748" s="23" t="s">
        <v>3757</v>
      </c>
      <c r="AD748">
        <v>0</v>
      </c>
    </row>
    <row r="749" spans="29:30" x14ac:dyDescent="0.25">
      <c r="AC749" s="23" t="s">
        <v>3515</v>
      </c>
      <c r="AD749">
        <v>0</v>
      </c>
    </row>
    <row r="750" spans="29:30" x14ac:dyDescent="0.25">
      <c r="AC750" s="23" t="s">
        <v>3765</v>
      </c>
      <c r="AD750">
        <v>0</v>
      </c>
    </row>
    <row r="751" spans="29:30" x14ac:dyDescent="0.25">
      <c r="AC751" s="23" t="s">
        <v>3435</v>
      </c>
      <c r="AD751">
        <v>0</v>
      </c>
    </row>
    <row r="752" spans="29:30" x14ac:dyDescent="0.25">
      <c r="AC752" s="23" t="s">
        <v>3795</v>
      </c>
      <c r="AD752">
        <v>0</v>
      </c>
    </row>
    <row r="753" spans="29:30" x14ac:dyDescent="0.25">
      <c r="AC753" s="23" t="s">
        <v>3543</v>
      </c>
      <c r="AD753">
        <v>0</v>
      </c>
    </row>
    <row r="754" spans="29:30" x14ac:dyDescent="0.25">
      <c r="AC754" s="23" t="s">
        <v>3896</v>
      </c>
      <c r="AD754">
        <v>0</v>
      </c>
    </row>
    <row r="755" spans="29:30" x14ac:dyDescent="0.25">
      <c r="AC755" s="23" t="s">
        <v>3545</v>
      </c>
      <c r="AD755">
        <v>0</v>
      </c>
    </row>
    <row r="756" spans="29:30" x14ac:dyDescent="0.25">
      <c r="AC756" s="23" t="s">
        <v>3994</v>
      </c>
      <c r="AD756">
        <v>0</v>
      </c>
    </row>
    <row r="757" spans="29:30" x14ac:dyDescent="0.25">
      <c r="AC757" s="23" t="s">
        <v>3503</v>
      </c>
      <c r="AD757">
        <v>0</v>
      </c>
    </row>
    <row r="758" spans="29:30" x14ac:dyDescent="0.25">
      <c r="AC758" s="23" t="s">
        <v>3833</v>
      </c>
      <c r="AD758">
        <v>0</v>
      </c>
    </row>
    <row r="759" spans="29:30" x14ac:dyDescent="0.25">
      <c r="AC759" s="23" t="s">
        <v>5099</v>
      </c>
      <c r="AD759">
        <v>0</v>
      </c>
    </row>
    <row r="760" spans="29:30" x14ac:dyDescent="0.25">
      <c r="AC760" s="23" t="s">
        <v>3922</v>
      </c>
      <c r="AD760">
        <v>0</v>
      </c>
    </row>
    <row r="761" spans="29:30" x14ac:dyDescent="0.25">
      <c r="AC761" s="23" t="s">
        <v>641</v>
      </c>
      <c r="AD761">
        <v>0</v>
      </c>
    </row>
    <row r="762" spans="29:30" x14ac:dyDescent="0.25">
      <c r="AC762" s="23" t="s">
        <v>3859</v>
      </c>
      <c r="AD762">
        <v>0</v>
      </c>
    </row>
    <row r="763" spans="29:30" x14ac:dyDescent="0.25">
      <c r="AC763" s="23" t="s">
        <v>3477</v>
      </c>
      <c r="AD763">
        <v>0</v>
      </c>
    </row>
    <row r="764" spans="29:30" x14ac:dyDescent="0.25">
      <c r="AC764" s="23" t="s">
        <v>3809</v>
      </c>
      <c r="AD764">
        <v>0</v>
      </c>
    </row>
    <row r="765" spans="29:30" x14ac:dyDescent="0.25">
      <c r="AC765" s="23" t="s">
        <v>3575</v>
      </c>
      <c r="AD765">
        <v>0</v>
      </c>
    </row>
    <row r="766" spans="29:30" x14ac:dyDescent="0.25">
      <c r="AC766" s="23" t="s">
        <v>3801</v>
      </c>
      <c r="AD766">
        <v>0</v>
      </c>
    </row>
    <row r="767" spans="29:30" x14ac:dyDescent="0.25">
      <c r="AC767" s="23" t="s">
        <v>3573</v>
      </c>
      <c r="AD767">
        <v>0</v>
      </c>
    </row>
    <row r="768" spans="29:30" x14ac:dyDescent="0.25">
      <c r="AC768" s="23" t="s">
        <v>4037</v>
      </c>
      <c r="AD768">
        <v>0</v>
      </c>
    </row>
    <row r="769" spans="29:30" x14ac:dyDescent="0.25">
      <c r="AC769" s="23" t="s">
        <v>3577</v>
      </c>
      <c r="AD769">
        <v>0</v>
      </c>
    </row>
    <row r="770" spans="29:30" x14ac:dyDescent="0.25">
      <c r="AC770" s="23" t="s">
        <v>3332</v>
      </c>
      <c r="AD770">
        <v>0</v>
      </c>
    </row>
    <row r="771" spans="29:30" x14ac:dyDescent="0.25">
      <c r="AC771" s="23" t="s">
        <v>3549</v>
      </c>
      <c r="AD771">
        <v>0</v>
      </c>
    </row>
    <row r="772" spans="29:30" x14ac:dyDescent="0.25">
      <c r="AC772" s="23" t="s">
        <v>4775</v>
      </c>
      <c r="AD772">
        <v>0</v>
      </c>
    </row>
    <row r="773" spans="29:30" x14ac:dyDescent="0.25">
      <c r="AC773" s="23" t="s">
        <v>3936</v>
      </c>
      <c r="AD773">
        <v>0</v>
      </c>
    </row>
    <row r="774" spans="29:30" x14ac:dyDescent="0.25">
      <c r="AC774" s="23" t="s">
        <v>3158</v>
      </c>
      <c r="AD774">
        <v>0</v>
      </c>
    </row>
    <row r="775" spans="29:30" x14ac:dyDescent="0.25">
      <c r="AC775" s="23" t="s">
        <v>2612</v>
      </c>
      <c r="AD775">
        <v>0</v>
      </c>
    </row>
    <row r="776" spans="29:30" x14ac:dyDescent="0.25">
      <c r="AC776" s="23" t="s">
        <v>3276</v>
      </c>
      <c r="AD776">
        <v>0</v>
      </c>
    </row>
    <row r="777" spans="29:30" x14ac:dyDescent="0.25">
      <c r="AC777" s="23" t="s">
        <v>3000</v>
      </c>
      <c r="AD777">
        <v>0</v>
      </c>
    </row>
    <row r="778" spans="29:30" x14ac:dyDescent="0.25">
      <c r="AC778" s="23" t="s">
        <v>3108</v>
      </c>
      <c r="AD778">
        <v>0</v>
      </c>
    </row>
    <row r="779" spans="29:30" x14ac:dyDescent="0.25">
      <c r="AC779" s="23" t="s">
        <v>776</v>
      </c>
      <c r="AD779">
        <v>0</v>
      </c>
    </row>
    <row r="780" spans="29:30" x14ac:dyDescent="0.25">
      <c r="AC780" s="23" t="s">
        <v>3140</v>
      </c>
      <c r="AD780">
        <v>0</v>
      </c>
    </row>
    <row r="781" spans="29:30" x14ac:dyDescent="0.25">
      <c r="AC781" s="23" t="s">
        <v>2670</v>
      </c>
      <c r="AD781">
        <v>0</v>
      </c>
    </row>
    <row r="782" spans="29:30" x14ac:dyDescent="0.25">
      <c r="AC782" s="23" t="s">
        <v>3110</v>
      </c>
      <c r="AD782">
        <v>0</v>
      </c>
    </row>
    <row r="783" spans="29:30" x14ac:dyDescent="0.25">
      <c r="AC783" s="23" t="s">
        <v>2604</v>
      </c>
      <c r="AD783">
        <v>0</v>
      </c>
    </row>
    <row r="784" spans="29:30" x14ac:dyDescent="0.25">
      <c r="AC784" s="23" t="s">
        <v>431</v>
      </c>
      <c r="AD784">
        <v>0</v>
      </c>
    </row>
    <row r="785" spans="29:30" x14ac:dyDescent="0.25">
      <c r="AC785" s="23" t="s">
        <v>3014</v>
      </c>
      <c r="AD785">
        <v>0</v>
      </c>
    </row>
    <row r="786" spans="29:30" x14ac:dyDescent="0.25">
      <c r="AC786" s="23" t="s">
        <v>3078</v>
      </c>
      <c r="AD786">
        <v>0</v>
      </c>
    </row>
    <row r="787" spans="29:30" x14ac:dyDescent="0.25">
      <c r="AC787" s="23" t="s">
        <v>2966</v>
      </c>
      <c r="AD787">
        <v>0</v>
      </c>
    </row>
    <row r="788" spans="29:30" x14ac:dyDescent="0.25">
      <c r="AC788" s="23" t="s">
        <v>3118</v>
      </c>
      <c r="AD788">
        <v>0</v>
      </c>
    </row>
    <row r="789" spans="29:30" x14ac:dyDescent="0.25">
      <c r="AC789" s="23" t="s">
        <v>2620</v>
      </c>
      <c r="AD789">
        <v>0</v>
      </c>
    </row>
    <row r="790" spans="29:30" x14ac:dyDescent="0.25">
      <c r="AC790" s="23" t="s">
        <v>4638</v>
      </c>
      <c r="AD790">
        <v>0</v>
      </c>
    </row>
    <row r="791" spans="29:30" x14ac:dyDescent="0.25">
      <c r="AC791" s="23" t="s">
        <v>2628</v>
      </c>
      <c r="AD791">
        <v>0</v>
      </c>
    </row>
    <row r="792" spans="29:30" x14ac:dyDescent="0.25">
      <c r="AC792" s="23" t="s">
        <v>3142</v>
      </c>
      <c r="AD792">
        <v>0</v>
      </c>
    </row>
    <row r="793" spans="29:30" x14ac:dyDescent="0.25">
      <c r="AC793" s="23" t="s">
        <v>2900</v>
      </c>
      <c r="AD793">
        <v>0</v>
      </c>
    </row>
    <row r="794" spans="29:30" x14ac:dyDescent="0.25">
      <c r="AC794" s="23" t="s">
        <v>3148</v>
      </c>
      <c r="AD794">
        <v>0</v>
      </c>
    </row>
    <row r="795" spans="29:30" x14ac:dyDescent="0.25">
      <c r="AC795" s="23" t="s">
        <v>2882</v>
      </c>
      <c r="AD795">
        <v>0</v>
      </c>
    </row>
    <row r="796" spans="29:30" x14ac:dyDescent="0.25">
      <c r="AC796" s="23" t="s">
        <v>3228</v>
      </c>
      <c r="AD796">
        <v>0</v>
      </c>
    </row>
    <row r="797" spans="29:30" x14ac:dyDescent="0.25">
      <c r="AC797" s="23" t="s">
        <v>2988</v>
      </c>
      <c r="AD797">
        <v>0</v>
      </c>
    </row>
    <row r="798" spans="29:30" x14ac:dyDescent="0.25">
      <c r="AC798" s="23" t="s">
        <v>3270</v>
      </c>
      <c r="AD798">
        <v>0</v>
      </c>
    </row>
    <row r="799" spans="29:30" x14ac:dyDescent="0.25">
      <c r="AC799" s="23" t="s">
        <v>2664</v>
      </c>
      <c r="AD799">
        <v>0</v>
      </c>
    </row>
    <row r="800" spans="29:30" x14ac:dyDescent="0.25">
      <c r="AC800" s="23" t="s">
        <v>3314</v>
      </c>
      <c r="AD800">
        <v>0</v>
      </c>
    </row>
    <row r="801" spans="29:30" x14ac:dyDescent="0.25">
      <c r="AC801" s="23" t="s">
        <v>2856</v>
      </c>
      <c r="AD801">
        <v>0</v>
      </c>
    </row>
    <row r="802" spans="29:30" x14ac:dyDescent="0.25">
      <c r="AC802" s="23" t="s">
        <v>3204</v>
      </c>
      <c r="AD802">
        <v>0</v>
      </c>
    </row>
    <row r="803" spans="29:30" x14ac:dyDescent="0.25">
      <c r="AC803" s="23" t="s">
        <v>2648</v>
      </c>
      <c r="AD803">
        <v>0</v>
      </c>
    </row>
    <row r="804" spans="29:30" x14ac:dyDescent="0.25">
      <c r="AC804" s="23" t="s">
        <v>3200</v>
      </c>
      <c r="AD804">
        <v>0</v>
      </c>
    </row>
    <row r="805" spans="29:30" x14ac:dyDescent="0.25">
      <c r="AC805" s="23" t="s">
        <v>4995</v>
      </c>
      <c r="AD805">
        <v>0</v>
      </c>
    </row>
    <row r="806" spans="29:30" x14ac:dyDescent="0.25">
      <c r="AC806" s="23" t="s">
        <v>3112</v>
      </c>
      <c r="AD806">
        <v>0</v>
      </c>
    </row>
    <row r="807" spans="29:30" x14ac:dyDescent="0.25">
      <c r="AC807" s="23" t="s">
        <v>2676</v>
      </c>
      <c r="AD807">
        <v>0</v>
      </c>
    </row>
    <row r="808" spans="29:30" x14ac:dyDescent="0.25">
      <c r="AC808" s="23" t="s">
        <v>3138</v>
      </c>
      <c r="AD808">
        <v>0</v>
      </c>
    </row>
    <row r="809" spans="29:30" x14ac:dyDescent="0.25">
      <c r="AC809" s="23" t="s">
        <v>2618</v>
      </c>
      <c r="AD809">
        <v>0</v>
      </c>
    </row>
    <row r="810" spans="29:30" x14ac:dyDescent="0.25">
      <c r="AC810" s="23" t="s">
        <v>3220</v>
      </c>
      <c r="AD810">
        <v>0</v>
      </c>
    </row>
    <row r="811" spans="29:30" x14ac:dyDescent="0.25">
      <c r="AC811" s="23" t="s">
        <v>2990</v>
      </c>
      <c r="AD811">
        <v>0</v>
      </c>
    </row>
    <row r="812" spans="29:30" x14ac:dyDescent="0.25">
      <c r="AC812" s="23" t="s">
        <v>3126</v>
      </c>
      <c r="AD812">
        <v>0</v>
      </c>
    </row>
    <row r="813" spans="29:30" x14ac:dyDescent="0.25">
      <c r="AC813" s="23" t="s">
        <v>2970</v>
      </c>
      <c r="AD813">
        <v>0</v>
      </c>
    </row>
    <row r="814" spans="29:30" x14ac:dyDescent="0.25">
      <c r="AC814" s="23" t="s">
        <v>3130</v>
      </c>
      <c r="AD814">
        <v>0</v>
      </c>
    </row>
    <row r="815" spans="29:30" x14ac:dyDescent="0.25">
      <c r="AC815" s="23" t="s">
        <v>2934</v>
      </c>
      <c r="AD815">
        <v>0</v>
      </c>
    </row>
    <row r="816" spans="29:30" x14ac:dyDescent="0.25">
      <c r="AC816" s="23" t="s">
        <v>3176</v>
      </c>
      <c r="AD816">
        <v>0</v>
      </c>
    </row>
    <row r="817" spans="29:30" x14ac:dyDescent="0.25">
      <c r="AC817" s="23" t="s">
        <v>1807</v>
      </c>
      <c r="AD817">
        <v>0</v>
      </c>
    </row>
    <row r="818" spans="29:30" x14ac:dyDescent="0.25">
      <c r="AC818" s="23" t="s">
        <v>3212</v>
      </c>
      <c r="AD818">
        <v>0</v>
      </c>
    </row>
    <row r="819" spans="29:30" x14ac:dyDescent="0.25">
      <c r="AC819" s="23" t="s">
        <v>1779</v>
      </c>
      <c r="AD819">
        <v>0</v>
      </c>
    </row>
    <row r="820" spans="29:30" x14ac:dyDescent="0.25">
      <c r="AC820" s="23" t="s">
        <v>3238</v>
      </c>
      <c r="AD820">
        <v>0</v>
      </c>
    </row>
    <row r="821" spans="29:30" x14ac:dyDescent="0.25">
      <c r="AC821" s="23" t="s">
        <v>1783</v>
      </c>
      <c r="AD821">
        <v>0</v>
      </c>
    </row>
    <row r="822" spans="29:30" x14ac:dyDescent="0.25">
      <c r="AC822" s="23" t="s">
        <v>3084</v>
      </c>
      <c r="AD822">
        <v>0</v>
      </c>
    </row>
    <row r="823" spans="29:30" x14ac:dyDescent="0.25">
      <c r="AC823" s="23" t="s">
        <v>2721</v>
      </c>
      <c r="AD823">
        <v>0</v>
      </c>
    </row>
    <row r="824" spans="29:30" x14ac:dyDescent="0.25">
      <c r="AC824" s="23" t="s">
        <v>3252</v>
      </c>
      <c r="AD824">
        <v>0</v>
      </c>
    </row>
    <row r="825" spans="29:30" x14ac:dyDescent="0.25">
      <c r="AC825" s="23" t="s">
        <v>2731</v>
      </c>
      <c r="AD825">
        <v>0</v>
      </c>
    </row>
    <row r="826" spans="29:30" x14ac:dyDescent="0.25">
      <c r="AC826" s="23" t="s">
        <v>613</v>
      </c>
      <c r="AD826">
        <v>0</v>
      </c>
    </row>
    <row r="827" spans="29:30" x14ac:dyDescent="0.25">
      <c r="AC827" s="23" t="s">
        <v>2737</v>
      </c>
      <c r="AD827">
        <v>0</v>
      </c>
    </row>
    <row r="828" spans="29:30" x14ac:dyDescent="0.25">
      <c r="AC828" s="23" t="s">
        <v>3288</v>
      </c>
      <c r="AD828">
        <v>0</v>
      </c>
    </row>
    <row r="829" spans="29:30" x14ac:dyDescent="0.25">
      <c r="AC829" s="23" t="s">
        <v>2733</v>
      </c>
      <c r="AD829">
        <v>0</v>
      </c>
    </row>
    <row r="830" spans="29:30" x14ac:dyDescent="0.25">
      <c r="AC830" s="23" t="s">
        <v>3310</v>
      </c>
      <c r="AD830">
        <v>0</v>
      </c>
    </row>
    <row r="831" spans="29:30" x14ac:dyDescent="0.25">
      <c r="AC831" s="23" t="s">
        <v>1955</v>
      </c>
      <c r="AD831">
        <v>0</v>
      </c>
    </row>
    <row r="832" spans="29:30" x14ac:dyDescent="0.25">
      <c r="AC832" s="23" t="s">
        <v>3322</v>
      </c>
      <c r="AD832">
        <v>0</v>
      </c>
    </row>
    <row r="833" spans="29:30" x14ac:dyDescent="0.25">
      <c r="AC833" s="23" t="s">
        <v>2735</v>
      </c>
      <c r="AD833">
        <v>0</v>
      </c>
    </row>
    <row r="834" spans="29:30" x14ac:dyDescent="0.25">
      <c r="AC834" s="23" t="s">
        <v>3162</v>
      </c>
      <c r="AD834">
        <v>0</v>
      </c>
    </row>
    <row r="835" spans="29:30" x14ac:dyDescent="0.25">
      <c r="AC835" s="23" t="s">
        <v>2741</v>
      </c>
      <c r="AD835">
        <v>0</v>
      </c>
    </row>
    <row r="836" spans="29:30" x14ac:dyDescent="0.25">
      <c r="AC836" s="23" t="s">
        <v>3090</v>
      </c>
      <c r="AD836">
        <v>0</v>
      </c>
    </row>
    <row r="837" spans="29:30" x14ac:dyDescent="0.25">
      <c r="AC837" s="23" t="s">
        <v>2011</v>
      </c>
      <c r="AD837">
        <v>0</v>
      </c>
    </row>
    <row r="838" spans="29:30" x14ac:dyDescent="0.25">
      <c r="AC838" s="23" t="s">
        <v>3202</v>
      </c>
      <c r="AD838">
        <v>0</v>
      </c>
    </row>
    <row r="839" spans="29:30" x14ac:dyDescent="0.25">
      <c r="AC839" s="23" t="s">
        <v>567</v>
      </c>
      <c r="AD839">
        <v>0</v>
      </c>
    </row>
    <row r="840" spans="29:30" x14ac:dyDescent="0.25">
      <c r="AC840" s="23" t="s">
        <v>3080</v>
      </c>
      <c r="AD840">
        <v>0</v>
      </c>
    </row>
    <row r="841" spans="29:30" x14ac:dyDescent="0.25">
      <c r="AC841" s="23" t="s">
        <v>4915</v>
      </c>
      <c r="AD841">
        <v>0</v>
      </c>
    </row>
    <row r="842" spans="29:30" x14ac:dyDescent="0.25">
      <c r="AC842" s="23" t="s">
        <v>5053</v>
      </c>
      <c r="AD842">
        <v>0</v>
      </c>
    </row>
    <row r="843" spans="29:30" x14ac:dyDescent="0.25">
      <c r="AC843" s="23" t="s">
        <v>2765</v>
      </c>
      <c r="AD843">
        <v>0</v>
      </c>
    </row>
    <row r="844" spans="29:30" x14ac:dyDescent="0.25">
      <c r="AC844" s="23" t="s">
        <v>3114</v>
      </c>
      <c r="AD844">
        <v>0</v>
      </c>
    </row>
    <row r="845" spans="29:30" x14ac:dyDescent="0.25">
      <c r="AC845" s="23" t="s">
        <v>2771</v>
      </c>
      <c r="AD845">
        <v>0</v>
      </c>
    </row>
    <row r="846" spans="29:30" x14ac:dyDescent="0.25">
      <c r="AC846" s="23" t="s">
        <v>3218</v>
      </c>
      <c r="AD846">
        <v>0</v>
      </c>
    </row>
    <row r="847" spans="29:30" x14ac:dyDescent="0.25">
      <c r="AC847" s="23" t="s">
        <v>2846</v>
      </c>
      <c r="AD847">
        <v>0</v>
      </c>
    </row>
    <row r="848" spans="29:30" x14ac:dyDescent="0.25">
      <c r="AC848" s="23" t="s">
        <v>2516</v>
      </c>
      <c r="AD848">
        <v>0</v>
      </c>
    </row>
    <row r="849" spans="29:30" x14ac:dyDescent="0.25">
      <c r="AC849" s="23" t="s">
        <v>2375</v>
      </c>
      <c r="AD849">
        <v>0</v>
      </c>
    </row>
    <row r="850" spans="29:30" x14ac:dyDescent="0.25">
      <c r="AC850" s="23" t="s">
        <v>4707</v>
      </c>
      <c r="AD850">
        <v>0</v>
      </c>
    </row>
    <row r="851" spans="29:30" x14ac:dyDescent="0.25">
      <c r="AC851" s="23" t="s">
        <v>2526</v>
      </c>
      <c r="AD851">
        <v>0</v>
      </c>
    </row>
    <row r="852" spans="29:30" x14ac:dyDescent="0.25">
      <c r="AC852" s="23" t="s">
        <v>3100</v>
      </c>
      <c r="AD852">
        <v>0</v>
      </c>
    </row>
    <row r="853" spans="29:30" x14ac:dyDescent="0.25">
      <c r="AC853" s="23" t="s">
        <v>2789</v>
      </c>
      <c r="AD853">
        <v>0</v>
      </c>
    </row>
    <row r="854" spans="29:30" x14ac:dyDescent="0.25">
      <c r="AC854" s="23" t="s">
        <v>3120</v>
      </c>
      <c r="AD854">
        <v>0</v>
      </c>
    </row>
    <row r="855" spans="29:30" x14ac:dyDescent="0.25">
      <c r="AC855" s="23" t="s">
        <v>2880</v>
      </c>
      <c r="AD855">
        <v>0</v>
      </c>
    </row>
    <row r="856" spans="29:30" x14ac:dyDescent="0.25">
      <c r="AC856" s="23" t="s">
        <v>3128</v>
      </c>
      <c r="AD856">
        <v>0</v>
      </c>
    </row>
    <row r="857" spans="29:30" x14ac:dyDescent="0.25">
      <c r="AC857" s="23" t="s">
        <v>2836</v>
      </c>
      <c r="AD857">
        <v>0</v>
      </c>
    </row>
    <row r="858" spans="29:30" x14ac:dyDescent="0.25">
      <c r="AC858" s="23" t="s">
        <v>3154</v>
      </c>
      <c r="AD858">
        <v>0</v>
      </c>
    </row>
    <row r="859" spans="29:30" x14ac:dyDescent="0.25">
      <c r="AC859" s="23" t="s">
        <v>2824</v>
      </c>
      <c r="AD859">
        <v>0</v>
      </c>
    </row>
    <row r="860" spans="29:30" x14ac:dyDescent="0.25">
      <c r="AC860" s="23" t="s">
        <v>3096</v>
      </c>
      <c r="AD860">
        <v>0</v>
      </c>
    </row>
    <row r="861" spans="29:30" x14ac:dyDescent="0.25">
      <c r="AC861" s="23" t="s">
        <v>3024</v>
      </c>
      <c r="AD861">
        <v>0</v>
      </c>
    </row>
    <row r="862" spans="29:30" x14ac:dyDescent="0.25">
      <c r="AC862" s="23" t="s">
        <v>3172</v>
      </c>
      <c r="AD862">
        <v>0</v>
      </c>
    </row>
    <row r="863" spans="29:30" x14ac:dyDescent="0.25">
      <c r="AC863" s="23" t="s">
        <v>2908</v>
      </c>
      <c r="AD863">
        <v>0</v>
      </c>
    </row>
    <row r="864" spans="29:30" x14ac:dyDescent="0.25">
      <c r="AC864" s="23" t="s">
        <v>3174</v>
      </c>
      <c r="AD864">
        <v>0</v>
      </c>
    </row>
    <row r="865" spans="29:30" x14ac:dyDescent="0.25">
      <c r="AC865" s="23" t="s">
        <v>5011</v>
      </c>
      <c r="AD865">
        <v>0</v>
      </c>
    </row>
    <row r="866" spans="29:30" x14ac:dyDescent="0.25">
      <c r="AC866" s="23" t="s">
        <v>3224</v>
      </c>
      <c r="AD866">
        <v>0</v>
      </c>
    </row>
    <row r="867" spans="29:30" x14ac:dyDescent="0.25">
      <c r="AC867" s="23" t="s">
        <v>2652</v>
      </c>
      <c r="AD867">
        <v>0</v>
      </c>
    </row>
    <row r="868" spans="29:30" x14ac:dyDescent="0.25">
      <c r="AC868" s="23" t="s">
        <v>1518</v>
      </c>
      <c r="AD868">
        <v>0</v>
      </c>
    </row>
    <row r="869" spans="29:30" x14ac:dyDescent="0.25">
      <c r="AC869" s="23" t="s">
        <v>3687</v>
      </c>
      <c r="AD869">
        <v>0</v>
      </c>
    </row>
    <row r="870" spans="29:30" x14ac:dyDescent="0.25">
      <c r="AC870" s="23" t="s">
        <v>3188</v>
      </c>
      <c r="AD870">
        <v>0</v>
      </c>
    </row>
    <row r="871" spans="29:30" x14ac:dyDescent="0.25">
      <c r="AC871" s="23" t="s">
        <v>3729</v>
      </c>
      <c r="AD871">
        <v>0</v>
      </c>
    </row>
    <row r="872" spans="29:30" x14ac:dyDescent="0.25">
      <c r="AC872" s="23" t="s">
        <v>3136</v>
      </c>
      <c r="AD872">
        <v>0</v>
      </c>
    </row>
    <row r="873" spans="29:30" x14ac:dyDescent="0.25">
      <c r="AC873" s="23" t="s">
        <v>2944</v>
      </c>
      <c r="AD873">
        <v>0</v>
      </c>
    </row>
    <row r="874" spans="29:30" x14ac:dyDescent="0.25">
      <c r="AC874" s="23" t="s">
        <v>3178</v>
      </c>
      <c r="AD874">
        <v>0</v>
      </c>
    </row>
    <row r="875" spans="29:30" x14ac:dyDescent="0.25">
      <c r="AC875" s="23" t="s">
        <v>3811</v>
      </c>
      <c r="AD875">
        <v>0</v>
      </c>
    </row>
    <row r="876" spans="29:30" x14ac:dyDescent="0.25">
      <c r="AC876" s="23" t="s">
        <v>3226</v>
      </c>
      <c r="AD876">
        <v>0</v>
      </c>
    </row>
    <row r="877" spans="29:30" x14ac:dyDescent="0.25">
      <c r="AC877" s="23" t="s">
        <v>2982</v>
      </c>
      <c r="AD877">
        <v>0</v>
      </c>
    </row>
    <row r="878" spans="29:30" x14ac:dyDescent="0.25">
      <c r="AC878" s="23" t="s">
        <v>3234</v>
      </c>
      <c r="AD878">
        <v>0</v>
      </c>
    </row>
    <row r="879" spans="29:30" x14ac:dyDescent="0.25">
      <c r="AC879" s="23" t="s">
        <v>2952</v>
      </c>
      <c r="AD879">
        <v>0</v>
      </c>
    </row>
    <row r="880" spans="29:30" x14ac:dyDescent="0.25">
      <c r="AC880" s="23" t="s">
        <v>3248</v>
      </c>
      <c r="AD880">
        <v>0</v>
      </c>
    </row>
    <row r="881" spans="29:30" x14ac:dyDescent="0.25">
      <c r="AC881" s="23" t="s">
        <v>2958</v>
      </c>
      <c r="AD881">
        <v>0</v>
      </c>
    </row>
    <row r="882" spans="29:30" x14ac:dyDescent="0.25">
      <c r="AC882" s="23" t="s">
        <v>3294</v>
      </c>
      <c r="AD882">
        <v>0</v>
      </c>
    </row>
    <row r="883" spans="29:30" x14ac:dyDescent="0.25">
      <c r="AC883" s="23" t="s">
        <v>2950</v>
      </c>
      <c r="AD883">
        <v>0</v>
      </c>
    </row>
    <row r="884" spans="29:30" x14ac:dyDescent="0.25">
      <c r="AC884" s="23" t="s">
        <v>3264</v>
      </c>
      <c r="AD884">
        <v>0</v>
      </c>
    </row>
    <row r="885" spans="29:30" x14ac:dyDescent="0.25">
      <c r="AC885" s="23" t="s">
        <v>2862</v>
      </c>
      <c r="AD885">
        <v>0</v>
      </c>
    </row>
    <row r="886" spans="29:30" x14ac:dyDescent="0.25">
      <c r="AC886" s="23" t="s">
        <v>3274</v>
      </c>
      <c r="AD886">
        <v>0</v>
      </c>
    </row>
    <row r="887" spans="29:30" x14ac:dyDescent="0.25">
      <c r="AC887" s="23" t="s">
        <v>3032</v>
      </c>
      <c r="AD887">
        <v>0</v>
      </c>
    </row>
    <row r="888" spans="29:30" x14ac:dyDescent="0.25">
      <c r="AC888" s="23" t="s">
        <v>3256</v>
      </c>
      <c r="AD888">
        <v>0</v>
      </c>
    </row>
    <row r="889" spans="29:30" x14ac:dyDescent="0.25">
      <c r="AC889" s="23" t="s">
        <v>4370</v>
      </c>
      <c r="AD889">
        <v>0</v>
      </c>
    </row>
    <row r="890" spans="29:30" x14ac:dyDescent="0.25">
      <c r="AC890" s="23" t="s">
        <v>3284</v>
      </c>
      <c r="AD890">
        <v>0</v>
      </c>
    </row>
    <row r="891" spans="29:30" x14ac:dyDescent="0.25">
      <c r="AC891" s="23" t="s">
        <v>4512</v>
      </c>
      <c r="AD891">
        <v>0</v>
      </c>
    </row>
    <row r="892" spans="29:30" x14ac:dyDescent="0.25">
      <c r="AC892" s="23" t="s">
        <v>3258</v>
      </c>
      <c r="AD892">
        <v>0</v>
      </c>
    </row>
    <row r="893" spans="29:30" x14ac:dyDescent="0.25">
      <c r="AC893" s="23" t="s">
        <v>5248</v>
      </c>
      <c r="AD893">
        <v>0</v>
      </c>
    </row>
    <row r="894" spans="29:30" x14ac:dyDescent="0.25">
      <c r="AC894" s="23" t="s">
        <v>3343</v>
      </c>
      <c r="AD894">
        <v>0</v>
      </c>
    </row>
    <row r="895" spans="29:30" x14ac:dyDescent="0.25">
      <c r="AC895" s="23" t="s">
        <v>2890</v>
      </c>
      <c r="AD895">
        <v>0</v>
      </c>
    </row>
    <row r="896" spans="29:30" x14ac:dyDescent="0.25">
      <c r="AC896" s="23" t="s">
        <v>3334</v>
      </c>
      <c r="AD896">
        <v>0</v>
      </c>
    </row>
    <row r="897" spans="29:30" x14ac:dyDescent="0.25">
      <c r="AC897" s="23" t="s">
        <v>5015</v>
      </c>
      <c r="AD897">
        <v>0</v>
      </c>
    </row>
    <row r="898" spans="29:30" x14ac:dyDescent="0.25">
      <c r="AC898" s="23" t="s">
        <v>3330</v>
      </c>
      <c r="AD898">
        <v>0</v>
      </c>
    </row>
    <row r="899" spans="29:30" x14ac:dyDescent="0.25">
      <c r="AC899" s="23" t="s">
        <v>2978</v>
      </c>
      <c r="AD899">
        <v>0</v>
      </c>
    </row>
    <row r="900" spans="29:30" x14ac:dyDescent="0.25">
      <c r="AC900" s="23" t="s">
        <v>3194</v>
      </c>
      <c r="AD900">
        <v>0</v>
      </c>
    </row>
    <row r="901" spans="29:30" x14ac:dyDescent="0.25">
      <c r="AC901" s="23" t="s">
        <v>2948</v>
      </c>
      <c r="AD901">
        <v>0</v>
      </c>
    </row>
    <row r="902" spans="29:30" x14ac:dyDescent="0.25">
      <c r="AC902" s="23" t="s">
        <v>3192</v>
      </c>
      <c r="AD902">
        <v>0</v>
      </c>
    </row>
    <row r="903" spans="29:30" x14ac:dyDescent="0.25">
      <c r="AC903" s="23" t="s">
        <v>2892</v>
      </c>
      <c r="AD903">
        <v>0</v>
      </c>
    </row>
    <row r="904" spans="29:30" x14ac:dyDescent="0.25">
      <c r="AC904" s="23" t="s">
        <v>5039</v>
      </c>
      <c r="AD904">
        <v>0</v>
      </c>
    </row>
    <row r="905" spans="29:30" x14ac:dyDescent="0.25">
      <c r="AC905" s="23" t="s">
        <v>2894</v>
      </c>
      <c r="AD905">
        <v>0</v>
      </c>
    </row>
    <row r="906" spans="29:30" x14ac:dyDescent="0.25">
      <c r="AC906" s="23" t="s">
        <v>3196</v>
      </c>
      <c r="AD906">
        <v>0</v>
      </c>
    </row>
    <row r="907" spans="29:30" x14ac:dyDescent="0.25">
      <c r="AC907" s="23" t="s">
        <v>2813</v>
      </c>
      <c r="AD907">
        <v>0</v>
      </c>
    </row>
    <row r="908" spans="29:30" x14ac:dyDescent="0.25">
      <c r="AC908" s="23" t="s">
        <v>5043</v>
      </c>
      <c r="AD908">
        <v>0</v>
      </c>
    </row>
    <row r="909" spans="29:30" x14ac:dyDescent="0.25">
      <c r="AC909" s="23" t="s">
        <v>2996</v>
      </c>
      <c r="AD909">
        <v>0</v>
      </c>
    </row>
    <row r="910" spans="29:30" x14ac:dyDescent="0.25">
      <c r="AC910" s="23" t="s">
        <v>3104</v>
      </c>
      <c r="AD910">
        <v>0</v>
      </c>
    </row>
    <row r="911" spans="29:30" x14ac:dyDescent="0.25">
      <c r="AC911" s="23" t="s">
        <v>1805</v>
      </c>
      <c r="AD911">
        <v>0</v>
      </c>
    </row>
    <row r="912" spans="29:30" x14ac:dyDescent="0.25">
      <c r="AC912" s="23" t="s">
        <v>3088</v>
      </c>
      <c r="AD912">
        <v>0</v>
      </c>
    </row>
    <row r="913" spans="29:30" x14ac:dyDescent="0.25">
      <c r="AC913" s="23" t="s">
        <v>2650</v>
      </c>
      <c r="AD913">
        <v>0</v>
      </c>
    </row>
    <row r="914" spans="29:30" x14ac:dyDescent="0.25">
      <c r="AC914" s="23" t="s">
        <v>3122</v>
      </c>
      <c r="AD914">
        <v>0</v>
      </c>
    </row>
    <row r="915" spans="29:30" x14ac:dyDescent="0.25">
      <c r="AC915" s="23" t="s">
        <v>4999</v>
      </c>
      <c r="AD915">
        <v>0</v>
      </c>
    </row>
    <row r="916" spans="29:30" x14ac:dyDescent="0.25">
      <c r="AC916" s="23" t="s">
        <v>3116</v>
      </c>
      <c r="AD916">
        <v>0</v>
      </c>
    </row>
    <row r="917" spans="29:30" x14ac:dyDescent="0.25">
      <c r="AC917" s="23" t="s">
        <v>2711</v>
      </c>
      <c r="AD917">
        <v>0</v>
      </c>
    </row>
    <row r="918" spans="29:30" x14ac:dyDescent="0.25">
      <c r="AC918" s="23" t="s">
        <v>5037</v>
      </c>
      <c r="AD918">
        <v>0</v>
      </c>
    </row>
    <row r="919" spans="29:30" x14ac:dyDescent="0.25">
      <c r="AC919" s="23" t="s">
        <v>2779</v>
      </c>
      <c r="AD919">
        <v>0</v>
      </c>
    </row>
    <row r="920" spans="29:30" x14ac:dyDescent="0.25">
      <c r="AC920" s="23" t="s">
        <v>3244</v>
      </c>
      <c r="AD920">
        <v>0</v>
      </c>
    </row>
    <row r="921" spans="29:30" x14ac:dyDescent="0.25">
      <c r="AC921" s="23" t="s">
        <v>4286</v>
      </c>
      <c r="AD921">
        <v>0</v>
      </c>
    </row>
    <row r="922" spans="29:30" x14ac:dyDescent="0.25">
      <c r="AC922" s="23" t="s">
        <v>3240</v>
      </c>
      <c r="AD922">
        <v>0</v>
      </c>
    </row>
    <row r="923" spans="29:30" x14ac:dyDescent="0.25">
      <c r="AC923" s="23" t="s">
        <v>3016</v>
      </c>
      <c r="AD923">
        <v>0</v>
      </c>
    </row>
    <row r="924" spans="29:30" x14ac:dyDescent="0.25">
      <c r="AC924" s="23" t="s">
        <v>3098</v>
      </c>
      <c r="AD924">
        <v>0</v>
      </c>
    </row>
    <row r="925" spans="29:30" x14ac:dyDescent="0.25">
      <c r="AC925" s="23" t="s">
        <v>2713</v>
      </c>
      <c r="AD925">
        <v>0</v>
      </c>
    </row>
    <row r="926" spans="29:30" x14ac:dyDescent="0.25">
      <c r="AC926" s="23" t="s">
        <v>3156</v>
      </c>
      <c r="AD926">
        <v>0</v>
      </c>
    </row>
    <row r="927" spans="29:30" x14ac:dyDescent="0.25">
      <c r="AC927" s="23" t="s">
        <v>3008</v>
      </c>
      <c r="AD927">
        <v>0</v>
      </c>
    </row>
    <row r="928" spans="29:30" x14ac:dyDescent="0.25">
      <c r="AC928" s="23" t="s">
        <v>3160</v>
      </c>
      <c r="AD928">
        <v>0</v>
      </c>
    </row>
    <row r="929" spans="29:30" x14ac:dyDescent="0.25">
      <c r="AC929" s="23" t="s">
        <v>3034</v>
      </c>
      <c r="AD929">
        <v>0</v>
      </c>
    </row>
    <row r="930" spans="29:30" x14ac:dyDescent="0.25">
      <c r="AC930" s="23" t="s">
        <v>3190</v>
      </c>
      <c r="AD930">
        <v>0</v>
      </c>
    </row>
    <row r="931" spans="29:30" x14ac:dyDescent="0.25">
      <c r="AC931" s="23" t="s">
        <v>5021</v>
      </c>
      <c r="AD931">
        <v>0</v>
      </c>
    </row>
    <row r="932" spans="29:30" x14ac:dyDescent="0.25">
      <c r="AC932" s="23" t="s">
        <v>3236</v>
      </c>
      <c r="AD932">
        <v>0</v>
      </c>
    </row>
    <row r="933" spans="29:30" x14ac:dyDescent="0.25">
      <c r="AC933" s="23" t="s">
        <v>2807</v>
      </c>
      <c r="AD933">
        <v>0</v>
      </c>
    </row>
    <row r="934" spans="29:30" x14ac:dyDescent="0.25">
      <c r="AC934" s="23" t="s">
        <v>3198</v>
      </c>
      <c r="AD934">
        <v>0</v>
      </c>
    </row>
    <row r="935" spans="29:30" x14ac:dyDescent="0.25">
      <c r="AC935" s="23" t="s">
        <v>3012</v>
      </c>
      <c r="AD935">
        <v>0</v>
      </c>
    </row>
    <row r="936" spans="29:30" x14ac:dyDescent="0.25">
      <c r="AC936" s="23" t="s">
        <v>4857</v>
      </c>
      <c r="AD936">
        <v>0</v>
      </c>
    </row>
    <row r="937" spans="29:30" x14ac:dyDescent="0.25">
      <c r="AC937" s="23" t="s">
        <v>2644</v>
      </c>
      <c r="AD937">
        <v>0</v>
      </c>
    </row>
    <row r="938" spans="29:30" x14ac:dyDescent="0.25">
      <c r="AC938" s="23" t="s">
        <v>3102</v>
      </c>
      <c r="AD938">
        <v>0</v>
      </c>
    </row>
    <row r="939" spans="29:30" x14ac:dyDescent="0.25">
      <c r="AC939" s="23" t="s">
        <v>3044</v>
      </c>
      <c r="AD939">
        <v>0</v>
      </c>
    </row>
    <row r="940" spans="29:30" x14ac:dyDescent="0.25">
      <c r="AC940" s="23" t="s">
        <v>3242</v>
      </c>
      <c r="AD940">
        <v>0</v>
      </c>
    </row>
    <row r="941" spans="29:30" x14ac:dyDescent="0.25">
      <c r="AC941" s="23" t="s">
        <v>1306</v>
      </c>
      <c r="AD941">
        <v>0</v>
      </c>
    </row>
    <row r="942" spans="29:30" x14ac:dyDescent="0.25">
      <c r="AC942" s="23" t="s">
        <v>3144</v>
      </c>
      <c r="AD942">
        <v>0</v>
      </c>
    </row>
    <row r="943" spans="29:30" x14ac:dyDescent="0.25">
      <c r="AC943" s="23" t="s">
        <v>2646</v>
      </c>
      <c r="AD943">
        <v>0</v>
      </c>
    </row>
    <row r="944" spans="29:30" x14ac:dyDescent="0.25">
      <c r="AC944" s="23" t="s">
        <v>3134</v>
      </c>
      <c r="AD944">
        <v>0</v>
      </c>
    </row>
    <row r="945" spans="29:30" x14ac:dyDescent="0.25">
      <c r="AC945" s="23" t="s">
        <v>2616</v>
      </c>
      <c r="AD945">
        <v>0</v>
      </c>
    </row>
    <row r="946" spans="29:30" x14ac:dyDescent="0.25">
      <c r="AC946" s="23" t="s">
        <v>996</v>
      </c>
      <c r="AD946">
        <v>0</v>
      </c>
    </row>
    <row r="947" spans="29:30" x14ac:dyDescent="0.25">
      <c r="AC947" s="23" t="s">
        <v>2662</v>
      </c>
      <c r="AD947">
        <v>0</v>
      </c>
    </row>
    <row r="948" spans="29:30" x14ac:dyDescent="0.25">
      <c r="AC948" s="23" t="s">
        <v>3180</v>
      </c>
      <c r="AD948">
        <v>0</v>
      </c>
    </row>
    <row r="949" spans="29:30" x14ac:dyDescent="0.25">
      <c r="AC949" s="23" t="s">
        <v>2642</v>
      </c>
      <c r="AD949">
        <v>0</v>
      </c>
    </row>
    <row r="950" spans="29:30" x14ac:dyDescent="0.25">
      <c r="AC950" s="23" t="s">
        <v>3164</v>
      </c>
      <c r="AD950">
        <v>0</v>
      </c>
    </row>
    <row r="951" spans="29:30" x14ac:dyDescent="0.25">
      <c r="AC951" s="23" t="s">
        <v>4817</v>
      </c>
      <c r="AD951">
        <v>0</v>
      </c>
    </row>
    <row r="952" spans="29:30" x14ac:dyDescent="0.25">
      <c r="AC952" s="23" t="s">
        <v>3166</v>
      </c>
      <c r="AD952">
        <v>0</v>
      </c>
    </row>
    <row r="953" spans="29:30" x14ac:dyDescent="0.25">
      <c r="AC953" s="23" t="s">
        <v>4239</v>
      </c>
      <c r="AD953">
        <v>0</v>
      </c>
    </row>
    <row r="954" spans="29:30" x14ac:dyDescent="0.25">
      <c r="AC954" s="23" t="s">
        <v>3086</v>
      </c>
      <c r="AD954">
        <v>0</v>
      </c>
    </row>
    <row r="955" spans="29:30" x14ac:dyDescent="0.25">
      <c r="AC955" s="23" t="s">
        <v>3002</v>
      </c>
      <c r="AD955">
        <v>0</v>
      </c>
    </row>
    <row r="956" spans="29:30" x14ac:dyDescent="0.25">
      <c r="AC956" s="23" t="s">
        <v>3146</v>
      </c>
      <c r="AD956">
        <v>0</v>
      </c>
    </row>
    <row r="957" spans="29:30" x14ac:dyDescent="0.25">
      <c r="AC957" s="23" t="s">
        <v>2715</v>
      </c>
      <c r="AD957">
        <v>0</v>
      </c>
    </row>
    <row r="958" spans="29:30" x14ac:dyDescent="0.25">
      <c r="AC958" s="23" t="s">
        <v>3210</v>
      </c>
      <c r="AD958">
        <v>0</v>
      </c>
    </row>
    <row r="959" spans="29:30" x14ac:dyDescent="0.25">
      <c r="AC959" s="23" t="s">
        <v>2474</v>
      </c>
      <c r="AD959">
        <v>0</v>
      </c>
    </row>
    <row r="960" spans="29:30" x14ac:dyDescent="0.25">
      <c r="AC960" s="23" t="s">
        <v>3168</v>
      </c>
      <c r="AD960">
        <v>0</v>
      </c>
    </row>
    <row r="961" spans="29:30" x14ac:dyDescent="0.25">
      <c r="AC961" s="23" t="s">
        <v>3006</v>
      </c>
      <c r="AD961">
        <v>0</v>
      </c>
    </row>
    <row r="962" spans="29:30" x14ac:dyDescent="0.25">
      <c r="AC962" s="23" t="s">
        <v>3170</v>
      </c>
      <c r="AD962">
        <v>0</v>
      </c>
    </row>
    <row r="963" spans="29:30" x14ac:dyDescent="0.25">
      <c r="AC963" s="23" t="s">
        <v>2954</v>
      </c>
      <c r="AD963">
        <v>0</v>
      </c>
    </row>
    <row r="964" spans="29:30" x14ac:dyDescent="0.25">
      <c r="AC964" s="23" t="s">
        <v>3214</v>
      </c>
      <c r="AD964">
        <v>0</v>
      </c>
    </row>
    <row r="965" spans="29:30" x14ac:dyDescent="0.25">
      <c r="AC965" s="23" t="s">
        <v>2854</v>
      </c>
      <c r="AD965">
        <v>0</v>
      </c>
    </row>
    <row r="966" spans="29:30" x14ac:dyDescent="0.25">
      <c r="AC966" s="23" t="s">
        <v>3092</v>
      </c>
      <c r="AD966">
        <v>0</v>
      </c>
    </row>
    <row r="967" spans="29:30" x14ac:dyDescent="0.25">
      <c r="AC967" s="23" t="s">
        <v>2922</v>
      </c>
      <c r="AD967">
        <v>0</v>
      </c>
    </row>
    <row r="968" spans="29:30" x14ac:dyDescent="0.25">
      <c r="AC968" s="23" t="s">
        <v>3216</v>
      </c>
      <c r="AD968">
        <v>0</v>
      </c>
    </row>
    <row r="969" spans="29:30" x14ac:dyDescent="0.25">
      <c r="AC969" s="23" t="s">
        <v>4997</v>
      </c>
      <c r="AD969">
        <v>0</v>
      </c>
    </row>
    <row r="970" spans="29:30" x14ac:dyDescent="0.25">
      <c r="AC970" s="23" t="s">
        <v>1448</v>
      </c>
      <c r="AD970">
        <v>0</v>
      </c>
    </row>
    <row r="971" spans="29:30" x14ac:dyDescent="0.25">
      <c r="AC971" s="23" t="s">
        <v>2723</v>
      </c>
      <c r="AD971">
        <v>0</v>
      </c>
    </row>
    <row r="972" spans="29:30" x14ac:dyDescent="0.25">
      <c r="AC972" s="23" t="s">
        <v>5047</v>
      </c>
      <c r="AD972">
        <v>0</v>
      </c>
    </row>
    <row r="973" spans="29:30" x14ac:dyDescent="0.25">
      <c r="AC973" s="23" t="s">
        <v>2860</v>
      </c>
      <c r="AD973">
        <v>0</v>
      </c>
    </row>
    <row r="974" spans="29:30" x14ac:dyDescent="0.25">
      <c r="AC974" s="23" t="s">
        <v>3222</v>
      </c>
      <c r="AD974">
        <v>0</v>
      </c>
    </row>
    <row r="975" spans="29:30" x14ac:dyDescent="0.25">
      <c r="AC975" s="23" t="s">
        <v>2773</v>
      </c>
      <c r="AD975">
        <v>0</v>
      </c>
    </row>
    <row r="976" spans="29:30" x14ac:dyDescent="0.25">
      <c r="AC976" s="23" t="s">
        <v>5041</v>
      </c>
      <c r="AD976">
        <v>0</v>
      </c>
    </row>
    <row r="977" spans="29:30" x14ac:dyDescent="0.25">
      <c r="AC977" s="23" t="s">
        <v>2596</v>
      </c>
      <c r="AD977">
        <v>0</v>
      </c>
    </row>
    <row r="978" spans="29:30" x14ac:dyDescent="0.25">
      <c r="AC978" s="23" t="s">
        <v>3186</v>
      </c>
      <c r="AD978">
        <v>0</v>
      </c>
    </row>
    <row r="979" spans="29:30" x14ac:dyDescent="0.25">
      <c r="AC979" s="23" t="s">
        <v>5003</v>
      </c>
      <c r="AD979">
        <v>0</v>
      </c>
    </row>
    <row r="980" spans="29:30" x14ac:dyDescent="0.25">
      <c r="AC980" s="23" t="s">
        <v>3940</v>
      </c>
      <c r="AD980">
        <v>0</v>
      </c>
    </row>
    <row r="981" spans="29:30" x14ac:dyDescent="0.25">
      <c r="AC981" s="23" t="s">
        <v>3062</v>
      </c>
      <c r="AD981">
        <v>0</v>
      </c>
    </row>
    <row r="982" spans="29:30" x14ac:dyDescent="0.25">
      <c r="AC982" s="23" t="s">
        <v>3230</v>
      </c>
      <c r="AD982">
        <v>0</v>
      </c>
    </row>
    <row r="983" spans="29:30" x14ac:dyDescent="0.25">
      <c r="AC983" s="23" t="s">
        <v>3010</v>
      </c>
      <c r="AD983">
        <v>0</v>
      </c>
    </row>
    <row r="984" spans="29:30" x14ac:dyDescent="0.25">
      <c r="AC984" s="23" t="s">
        <v>3232</v>
      </c>
      <c r="AD984">
        <v>0</v>
      </c>
    </row>
    <row r="985" spans="29:30" x14ac:dyDescent="0.25">
      <c r="AC985" s="23" t="s">
        <v>2568</v>
      </c>
      <c r="AD985">
        <v>0</v>
      </c>
    </row>
    <row r="986" spans="29:30" x14ac:dyDescent="0.25">
      <c r="AC986" s="23" t="s">
        <v>3150</v>
      </c>
      <c r="AD986">
        <v>0</v>
      </c>
    </row>
    <row r="987" spans="29:30" x14ac:dyDescent="0.25">
      <c r="AC987" s="23" t="s">
        <v>2826</v>
      </c>
      <c r="AD987">
        <v>0</v>
      </c>
    </row>
    <row r="988" spans="29:30" x14ac:dyDescent="0.25">
      <c r="AC988" s="23" t="s">
        <v>3246</v>
      </c>
      <c r="AD988">
        <v>0</v>
      </c>
    </row>
    <row r="989" spans="29:30" x14ac:dyDescent="0.25">
      <c r="AC989" s="23" t="s">
        <v>3018</v>
      </c>
      <c r="AD989">
        <v>0</v>
      </c>
    </row>
    <row r="990" spans="29:30" x14ac:dyDescent="0.25">
      <c r="AC990" s="23" t="s">
        <v>3206</v>
      </c>
      <c r="AD990">
        <v>0</v>
      </c>
    </row>
    <row r="991" spans="29:30" x14ac:dyDescent="0.25">
      <c r="AC991" s="23" t="s">
        <v>2727</v>
      </c>
      <c r="AD991">
        <v>0</v>
      </c>
    </row>
    <row r="992" spans="29:30" x14ac:dyDescent="0.25">
      <c r="AC992" s="23" t="s">
        <v>3250</v>
      </c>
      <c r="AD992">
        <v>0</v>
      </c>
    </row>
    <row r="993" spans="29:30" x14ac:dyDescent="0.25">
      <c r="AC993" s="23" t="s">
        <v>5194</v>
      </c>
      <c r="AD993">
        <v>0</v>
      </c>
    </row>
    <row r="994" spans="29:30" x14ac:dyDescent="0.25">
      <c r="AC994" s="23" t="s">
        <v>4137</v>
      </c>
      <c r="AD994">
        <v>0</v>
      </c>
    </row>
    <row r="995" spans="29:30" x14ac:dyDescent="0.25">
      <c r="AC995" s="23" t="s">
        <v>3004</v>
      </c>
      <c r="AD995">
        <v>0</v>
      </c>
    </row>
    <row r="996" spans="29:30" x14ac:dyDescent="0.25">
      <c r="AC996" s="23" t="s">
        <v>3292</v>
      </c>
      <c r="AD996">
        <v>0</v>
      </c>
    </row>
    <row r="997" spans="29:30" x14ac:dyDescent="0.25">
      <c r="AC997" s="23" t="s">
        <v>2964</v>
      </c>
      <c r="AD997">
        <v>0</v>
      </c>
    </row>
    <row r="998" spans="29:30" x14ac:dyDescent="0.25">
      <c r="AC998" s="23" t="s">
        <v>3290</v>
      </c>
      <c r="AD998">
        <v>0</v>
      </c>
    </row>
    <row r="999" spans="29:30" x14ac:dyDescent="0.25">
      <c r="AC999" s="23" t="s">
        <v>3057</v>
      </c>
      <c r="AD999">
        <v>0</v>
      </c>
    </row>
    <row r="1000" spans="29:30" x14ac:dyDescent="0.25">
      <c r="AC1000" s="23" t="s">
        <v>5057</v>
      </c>
      <c r="AD1000">
        <v>0</v>
      </c>
    </row>
    <row r="1001" spans="29:30" x14ac:dyDescent="0.25">
      <c r="AC1001" s="23" t="s">
        <v>3059</v>
      </c>
      <c r="AD1001">
        <v>0</v>
      </c>
    </row>
    <row r="1002" spans="29:30" x14ac:dyDescent="0.25">
      <c r="AC1002" s="23" t="s">
        <v>3266</v>
      </c>
      <c r="AD1002">
        <v>0</v>
      </c>
    </row>
    <row r="1003" spans="29:30" x14ac:dyDescent="0.25">
      <c r="AC1003" s="23" t="s">
        <v>3070</v>
      </c>
      <c r="AD1003">
        <v>0</v>
      </c>
    </row>
    <row r="1004" spans="29:30" x14ac:dyDescent="0.25">
      <c r="AC1004" s="23" t="s">
        <v>3282</v>
      </c>
      <c r="AD1004">
        <v>0</v>
      </c>
    </row>
    <row r="1005" spans="29:30" x14ac:dyDescent="0.25">
      <c r="AC1005" s="23" t="s">
        <v>3152</v>
      </c>
      <c r="AD1005">
        <v>0</v>
      </c>
    </row>
    <row r="1006" spans="29:30" x14ac:dyDescent="0.25">
      <c r="AC1006" s="23" t="s">
        <v>3254</v>
      </c>
      <c r="AD1006">
        <v>0</v>
      </c>
    </row>
    <row r="1007" spans="29:30" x14ac:dyDescent="0.25">
      <c r="AC1007" s="23" t="s">
        <v>3132</v>
      </c>
      <c r="AD1007">
        <v>0</v>
      </c>
    </row>
    <row r="1008" spans="29:30" x14ac:dyDescent="0.25">
      <c r="AC1008" s="23" t="s">
        <v>3272</v>
      </c>
      <c r="AD1008">
        <v>0</v>
      </c>
    </row>
    <row r="1009" spans="29:30" x14ac:dyDescent="0.25">
      <c r="AC1009" s="23" t="s">
        <v>3072</v>
      </c>
      <c r="AD1009">
        <v>0</v>
      </c>
    </row>
    <row r="1010" spans="29:30" x14ac:dyDescent="0.25">
      <c r="AC1010" s="23" t="s">
        <v>3355</v>
      </c>
      <c r="AD1010">
        <v>0</v>
      </c>
    </row>
    <row r="1011" spans="29:30" x14ac:dyDescent="0.25">
      <c r="AC1011" s="23" t="s">
        <v>5033</v>
      </c>
      <c r="AD1011">
        <v>0</v>
      </c>
    </row>
    <row r="1012" spans="29:30" x14ac:dyDescent="0.25">
      <c r="AC1012" s="23" t="s">
        <v>3298</v>
      </c>
      <c r="AD1012">
        <v>0</v>
      </c>
    </row>
    <row r="1013" spans="29:30" x14ac:dyDescent="0.25">
      <c r="AC1013" s="23" t="s">
        <v>3068</v>
      </c>
      <c r="AD1013">
        <v>0</v>
      </c>
    </row>
    <row r="1014" spans="29:30" x14ac:dyDescent="0.25">
      <c r="AC1014" s="23" t="s">
        <v>3308</v>
      </c>
      <c r="AD1014">
        <v>0</v>
      </c>
    </row>
    <row r="1015" spans="29:30" x14ac:dyDescent="0.25">
      <c r="AC1015" s="23" t="s">
        <v>3074</v>
      </c>
      <c r="AD1015">
        <v>0</v>
      </c>
    </row>
    <row r="1016" spans="29:30" x14ac:dyDescent="0.25">
      <c r="AC1016" s="23" t="s">
        <v>3304</v>
      </c>
      <c r="AD1016">
        <v>0</v>
      </c>
    </row>
    <row r="1017" spans="29:30" x14ac:dyDescent="0.25">
      <c r="AC1017" s="23" t="s">
        <v>5045</v>
      </c>
      <c r="AD1017">
        <v>0</v>
      </c>
    </row>
    <row r="1018" spans="29:30" x14ac:dyDescent="0.25">
      <c r="AC1018" s="23" t="s">
        <v>3268</v>
      </c>
      <c r="AD1018">
        <v>0</v>
      </c>
    </row>
    <row r="1019" spans="29:30" x14ac:dyDescent="0.25">
      <c r="AC1019" s="23" t="s">
        <v>3106</v>
      </c>
      <c r="AD1019">
        <v>0</v>
      </c>
    </row>
    <row r="1020" spans="29:30" x14ac:dyDescent="0.25">
      <c r="AC1020" s="23" t="s">
        <v>3357</v>
      </c>
      <c r="AD1020">
        <v>0</v>
      </c>
    </row>
    <row r="1021" spans="29:30" x14ac:dyDescent="0.25">
      <c r="AC1021" s="23" t="s">
        <v>3124</v>
      </c>
      <c r="AD1021">
        <v>0</v>
      </c>
    </row>
    <row r="1022" spans="29:30" x14ac:dyDescent="0.25">
      <c r="AC1022" s="23" t="s">
        <v>3326</v>
      </c>
      <c r="AD1022">
        <v>0</v>
      </c>
    </row>
    <row r="1023" spans="29:30" x14ac:dyDescent="0.25">
      <c r="AC1023" s="23" t="s">
        <v>3082</v>
      </c>
      <c r="AD1023">
        <v>0</v>
      </c>
    </row>
    <row r="1024" spans="29:30" x14ac:dyDescent="0.25">
      <c r="AC1024" s="23" t="s">
        <v>3280</v>
      </c>
      <c r="AD1024">
        <v>0</v>
      </c>
    </row>
    <row r="1025" spans="29:30" x14ac:dyDescent="0.25">
      <c r="AC1025" s="23" t="s">
        <v>3184</v>
      </c>
      <c r="AD1025">
        <v>0</v>
      </c>
    </row>
    <row r="1026" spans="29:30" x14ac:dyDescent="0.25">
      <c r="AC1026" s="23" t="s">
        <v>5061</v>
      </c>
      <c r="AD1026">
        <v>0</v>
      </c>
    </row>
    <row r="1027" spans="29:30" x14ac:dyDescent="0.25">
      <c r="AC1027" s="23" t="s">
        <v>3076</v>
      </c>
      <c r="AD1027">
        <v>0</v>
      </c>
    </row>
    <row r="1028" spans="29:30" x14ac:dyDescent="0.25">
      <c r="AC1028" s="23" t="s">
        <v>363</v>
      </c>
      <c r="AD1028">
        <v>0</v>
      </c>
    </row>
    <row r="1029" spans="29:30" x14ac:dyDescent="0.25">
      <c r="AC1029" s="23" t="s">
        <v>3182</v>
      </c>
      <c r="AD1029">
        <v>0</v>
      </c>
    </row>
    <row r="1030" spans="29:30" x14ac:dyDescent="0.25">
      <c r="AC1030" s="23" t="s">
        <v>254</v>
      </c>
      <c r="AD1030">
        <v>0</v>
      </c>
    </row>
    <row r="1031" spans="29:30" x14ac:dyDescent="0.25">
      <c r="AC1031" s="23" t="s">
        <v>5184</v>
      </c>
      <c r="AD1031">
        <v>0</v>
      </c>
    </row>
    <row r="1032" spans="29:30" x14ac:dyDescent="0.25">
      <c r="AC1032" s="23" t="s">
        <v>3066</v>
      </c>
      <c r="AD1032">
        <v>0</v>
      </c>
    </row>
    <row r="1033" spans="29:30" x14ac:dyDescent="0.25">
      <c r="AC1033" s="23" t="s">
        <v>2399</v>
      </c>
      <c r="AD1033">
        <v>0</v>
      </c>
    </row>
    <row r="1034" spans="29:30" x14ac:dyDescent="0.25">
      <c r="AC1034" s="23" t="s">
        <v>166</v>
      </c>
      <c r="AD1034">
        <v>0</v>
      </c>
    </row>
    <row r="1035" spans="29:30" x14ac:dyDescent="0.25">
      <c r="AC1035" s="23" t="s">
        <v>4971</v>
      </c>
      <c r="AD1035">
        <v>0</v>
      </c>
    </row>
    <row r="1036" spans="29:30" x14ac:dyDescent="0.25">
      <c r="AC1036" s="23" t="s">
        <v>3047</v>
      </c>
      <c r="AD1036">
        <v>0</v>
      </c>
    </row>
    <row r="1037" spans="29:30" x14ac:dyDescent="0.25">
      <c r="AC1037" s="23" t="s">
        <v>2403</v>
      </c>
      <c r="AD1037">
        <v>0</v>
      </c>
    </row>
    <row r="1038" spans="29:30" x14ac:dyDescent="0.25">
      <c r="AC1038" s="23" t="s">
        <v>2763</v>
      </c>
      <c r="AD1038">
        <v>0</v>
      </c>
    </row>
    <row r="1039" spans="29:30" x14ac:dyDescent="0.25">
      <c r="AC1039" s="23" t="s">
        <v>2502</v>
      </c>
      <c r="AD1039">
        <v>0</v>
      </c>
    </row>
    <row r="1040" spans="29:30" x14ac:dyDescent="0.25">
      <c r="AC1040" s="23" t="s">
        <v>2747</v>
      </c>
      <c r="AD1040">
        <v>0</v>
      </c>
    </row>
    <row r="1041" spans="29:30" x14ac:dyDescent="0.25">
      <c r="AC1041" s="23" t="s">
        <v>2504</v>
      </c>
      <c r="AD1041">
        <v>0</v>
      </c>
    </row>
    <row r="1042" spans="29:30" x14ac:dyDescent="0.25">
      <c r="AC1042" s="23" t="s">
        <v>2886</v>
      </c>
      <c r="AD1042">
        <v>0</v>
      </c>
    </row>
    <row r="1043" spans="29:30" x14ac:dyDescent="0.25">
      <c r="AC1043" s="23" t="s">
        <v>2506</v>
      </c>
      <c r="AD1043">
        <v>0</v>
      </c>
    </row>
    <row r="1044" spans="29:30" x14ac:dyDescent="0.25">
      <c r="AC1044" s="23" t="s">
        <v>2976</v>
      </c>
      <c r="AD1044">
        <v>0</v>
      </c>
    </row>
    <row r="1045" spans="29:30" x14ac:dyDescent="0.25">
      <c r="AC1045" s="23" t="s">
        <v>2395</v>
      </c>
      <c r="AD1045">
        <v>0</v>
      </c>
    </row>
    <row r="1046" spans="29:30" x14ac:dyDescent="0.25">
      <c r="AC1046" s="23" t="s">
        <v>2668</v>
      </c>
      <c r="AD1046">
        <v>0</v>
      </c>
    </row>
    <row r="1047" spans="29:30" x14ac:dyDescent="0.25">
      <c r="AC1047" s="23" t="s">
        <v>2520</v>
      </c>
      <c r="AD1047">
        <v>0</v>
      </c>
    </row>
    <row r="1048" spans="29:30" x14ac:dyDescent="0.25">
      <c r="AC1048" s="23" t="s">
        <v>2822</v>
      </c>
      <c r="AD1048">
        <v>0</v>
      </c>
    </row>
    <row r="1049" spans="29:30" x14ac:dyDescent="0.25">
      <c r="AC1049" s="23" t="s">
        <v>2510</v>
      </c>
      <c r="AD1049">
        <v>0</v>
      </c>
    </row>
    <row r="1050" spans="29:30" x14ac:dyDescent="0.25">
      <c r="AC1050" s="23" t="s">
        <v>2598</v>
      </c>
      <c r="AD1050">
        <v>0</v>
      </c>
    </row>
    <row r="1051" spans="29:30" x14ac:dyDescent="0.25">
      <c r="AC1051" s="23" t="s">
        <v>2462</v>
      </c>
      <c r="AD1051">
        <v>0</v>
      </c>
    </row>
    <row r="1052" spans="29:30" x14ac:dyDescent="0.25">
      <c r="AC1052" s="23" t="s">
        <v>2896</v>
      </c>
      <c r="AD1052">
        <v>0</v>
      </c>
    </row>
    <row r="1053" spans="29:30" x14ac:dyDescent="0.25">
      <c r="AC1053" s="23" t="s">
        <v>2546</v>
      </c>
      <c r="AD1053">
        <v>0</v>
      </c>
    </row>
    <row r="1054" spans="29:30" x14ac:dyDescent="0.25">
      <c r="AC1054" s="23" t="s">
        <v>2992</v>
      </c>
      <c r="AD1054">
        <v>0</v>
      </c>
    </row>
    <row r="1055" spans="29:30" x14ac:dyDescent="0.25">
      <c r="AC1055" s="23" t="s">
        <v>2437</v>
      </c>
      <c r="AD1055">
        <v>0</v>
      </c>
    </row>
    <row r="1056" spans="29:30" x14ac:dyDescent="0.25">
      <c r="AC1056" s="23" t="s">
        <v>2930</v>
      </c>
      <c r="AD1056">
        <v>0</v>
      </c>
    </row>
    <row r="1057" spans="29:30" x14ac:dyDescent="0.25">
      <c r="AC1057" s="23" t="s">
        <v>2439</v>
      </c>
      <c r="AD1057">
        <v>0</v>
      </c>
    </row>
    <row r="1058" spans="29:30" x14ac:dyDescent="0.25">
      <c r="AC1058" s="23" t="s">
        <v>3338</v>
      </c>
      <c r="AD1058">
        <v>0</v>
      </c>
    </row>
    <row r="1059" spans="29:30" x14ac:dyDescent="0.25">
      <c r="AC1059" s="23" t="s">
        <v>2389</v>
      </c>
      <c r="AD1059">
        <v>0</v>
      </c>
    </row>
    <row r="1060" spans="29:30" x14ac:dyDescent="0.25">
      <c r="AC1060" s="23" t="s">
        <v>2614</v>
      </c>
      <c r="AD1060">
        <v>0</v>
      </c>
    </row>
    <row r="1061" spans="29:30" x14ac:dyDescent="0.25">
      <c r="AC1061" s="23" t="s">
        <v>2441</v>
      </c>
      <c r="AD1061">
        <v>0</v>
      </c>
    </row>
    <row r="1062" spans="29:30" x14ac:dyDescent="0.25">
      <c r="AC1062" s="23" t="s">
        <v>2998</v>
      </c>
      <c r="AD1062">
        <v>0</v>
      </c>
    </row>
    <row r="1063" spans="29:30" x14ac:dyDescent="0.25">
      <c r="AC1063" s="23" t="s">
        <v>2443</v>
      </c>
      <c r="AD1063">
        <v>0</v>
      </c>
    </row>
    <row r="1064" spans="29:30" x14ac:dyDescent="0.25">
      <c r="AC1064" s="23" t="s">
        <v>2674</v>
      </c>
      <c r="AD1064">
        <v>0</v>
      </c>
    </row>
    <row r="1065" spans="29:30" x14ac:dyDescent="0.25">
      <c r="AC1065" s="23" t="s">
        <v>2435</v>
      </c>
      <c r="AD1065">
        <v>0</v>
      </c>
    </row>
    <row r="1066" spans="29:30" x14ac:dyDescent="0.25">
      <c r="AC1066" s="23" t="s">
        <v>2690</v>
      </c>
      <c r="AD1066">
        <v>0</v>
      </c>
    </row>
    <row r="1067" spans="29:30" x14ac:dyDescent="0.25">
      <c r="AC1067" s="23" t="s">
        <v>2385</v>
      </c>
      <c r="AD1067">
        <v>0</v>
      </c>
    </row>
    <row r="1068" spans="29:30" x14ac:dyDescent="0.25">
      <c r="AC1068" s="23" t="s">
        <v>2680</v>
      </c>
      <c r="AD1068">
        <v>0</v>
      </c>
    </row>
    <row r="1069" spans="29:30" x14ac:dyDescent="0.25">
      <c r="AC1069" s="23" t="s">
        <v>2445</v>
      </c>
      <c r="AD1069">
        <v>0</v>
      </c>
    </row>
    <row r="1070" spans="29:30" x14ac:dyDescent="0.25">
      <c r="AC1070" s="23" t="s">
        <v>2745</v>
      </c>
      <c r="AD1070">
        <v>0</v>
      </c>
    </row>
    <row r="1071" spans="29:30" x14ac:dyDescent="0.25">
      <c r="AC1071" s="23" t="s">
        <v>4969</v>
      </c>
      <c r="AD1071">
        <v>0</v>
      </c>
    </row>
    <row r="1072" spans="29:30" x14ac:dyDescent="0.25">
      <c r="AC1072" s="23" t="s">
        <v>2707</v>
      </c>
      <c r="AD1072">
        <v>0</v>
      </c>
    </row>
    <row r="1073" spans="29:30" x14ac:dyDescent="0.25">
      <c r="AC1073" s="23" t="s">
        <v>2518</v>
      </c>
      <c r="AD1073">
        <v>0</v>
      </c>
    </row>
    <row r="1074" spans="29:30" x14ac:dyDescent="0.25">
      <c r="AC1074" s="23" t="s">
        <v>4979</v>
      </c>
      <c r="AD1074">
        <v>0</v>
      </c>
    </row>
    <row r="1075" spans="29:30" x14ac:dyDescent="0.25">
      <c r="AC1075" s="23" t="s">
        <v>2447</v>
      </c>
      <c r="AD1075">
        <v>0</v>
      </c>
    </row>
    <row r="1076" spans="29:30" x14ac:dyDescent="0.25">
      <c r="AC1076" s="23" t="s">
        <v>2701</v>
      </c>
      <c r="AD1076">
        <v>0</v>
      </c>
    </row>
    <row r="1077" spans="29:30" x14ac:dyDescent="0.25">
      <c r="AC1077" s="23" t="s">
        <v>4973</v>
      </c>
      <c r="AD1077">
        <v>0</v>
      </c>
    </row>
    <row r="1078" spans="29:30" x14ac:dyDescent="0.25">
      <c r="AC1078" s="23" t="s">
        <v>2781</v>
      </c>
      <c r="AD1078">
        <v>0</v>
      </c>
    </row>
    <row r="1079" spans="29:30" x14ac:dyDescent="0.25">
      <c r="AC1079" s="23" t="s">
        <v>2560</v>
      </c>
      <c r="AD1079">
        <v>0</v>
      </c>
    </row>
    <row r="1080" spans="29:30" x14ac:dyDescent="0.25">
      <c r="AC1080" s="23" t="s">
        <v>2874</v>
      </c>
      <c r="AD1080">
        <v>0</v>
      </c>
    </row>
    <row r="1081" spans="29:30" x14ac:dyDescent="0.25">
      <c r="AC1081" s="23" t="s">
        <v>2482</v>
      </c>
      <c r="AD1081">
        <v>0</v>
      </c>
    </row>
    <row r="1082" spans="29:30" x14ac:dyDescent="0.25">
      <c r="AC1082" s="23" t="s">
        <v>3038</v>
      </c>
      <c r="AD1082">
        <v>0</v>
      </c>
    </row>
    <row r="1083" spans="29:30" x14ac:dyDescent="0.25">
      <c r="AC1083" s="23" t="s">
        <v>2488</v>
      </c>
      <c r="AD1083">
        <v>0</v>
      </c>
    </row>
    <row r="1084" spans="29:30" x14ac:dyDescent="0.25">
      <c r="AC1084" s="23" t="s">
        <v>2876</v>
      </c>
      <c r="AD1084">
        <v>0</v>
      </c>
    </row>
    <row r="1085" spans="29:30" x14ac:dyDescent="0.25">
      <c r="AC1085" s="23" t="s">
        <v>2429</v>
      </c>
      <c r="AD1085">
        <v>0</v>
      </c>
    </row>
    <row r="1086" spans="29:30" x14ac:dyDescent="0.25">
      <c r="AC1086" s="23" t="s">
        <v>2960</v>
      </c>
      <c r="AD1086">
        <v>0</v>
      </c>
    </row>
    <row r="1087" spans="29:30" x14ac:dyDescent="0.25">
      <c r="AC1087" s="23" t="s">
        <v>2379</v>
      </c>
      <c r="AD1087">
        <v>0</v>
      </c>
    </row>
    <row r="1088" spans="29:30" x14ac:dyDescent="0.25">
      <c r="AC1088" s="23" t="s">
        <v>2888</v>
      </c>
      <c r="AD1088">
        <v>0</v>
      </c>
    </row>
    <row r="1089" spans="29:30" x14ac:dyDescent="0.25">
      <c r="AC1089" s="23" t="s">
        <v>2552</v>
      </c>
      <c r="AD1089">
        <v>0</v>
      </c>
    </row>
    <row r="1090" spans="29:30" x14ac:dyDescent="0.25">
      <c r="AC1090" s="23" t="s">
        <v>5029</v>
      </c>
      <c r="AD1090">
        <v>0</v>
      </c>
    </row>
    <row r="1091" spans="29:30" x14ac:dyDescent="0.25">
      <c r="AC1091" s="23" t="s">
        <v>2415</v>
      </c>
      <c r="AD1091">
        <v>0</v>
      </c>
    </row>
    <row r="1092" spans="29:30" x14ac:dyDescent="0.25">
      <c r="AC1092" s="23" t="s">
        <v>3064</v>
      </c>
      <c r="AD1092">
        <v>0</v>
      </c>
    </row>
    <row r="1093" spans="29:30" x14ac:dyDescent="0.25">
      <c r="AC1093" s="23" t="s">
        <v>4326</v>
      </c>
      <c r="AD1093">
        <v>0</v>
      </c>
    </row>
    <row r="1094" spans="29:30" x14ac:dyDescent="0.25">
      <c r="AC1094" s="23" t="s">
        <v>3055</v>
      </c>
      <c r="AD1094">
        <v>0</v>
      </c>
    </row>
    <row r="1095" spans="29:30" x14ac:dyDescent="0.25">
      <c r="AC1095" s="23" t="s">
        <v>2512</v>
      </c>
      <c r="AD1095">
        <v>0</v>
      </c>
    </row>
    <row r="1096" spans="29:30" x14ac:dyDescent="0.25">
      <c r="AC1096" s="23" t="s">
        <v>2584</v>
      </c>
      <c r="AD1096">
        <v>0</v>
      </c>
    </row>
    <row r="1097" spans="29:30" x14ac:dyDescent="0.25">
      <c r="AC1097" s="23" t="s">
        <v>2484</v>
      </c>
      <c r="AD1097">
        <v>0</v>
      </c>
    </row>
    <row r="1098" spans="29:30" x14ac:dyDescent="0.25">
      <c r="AC1098" s="23" t="s">
        <v>2946</v>
      </c>
      <c r="AD1098">
        <v>0</v>
      </c>
    </row>
    <row r="1099" spans="29:30" x14ac:dyDescent="0.25">
      <c r="AC1099" s="23" t="s">
        <v>2421</v>
      </c>
      <c r="AD1099">
        <v>0</v>
      </c>
    </row>
    <row r="1100" spans="29:30" x14ac:dyDescent="0.25">
      <c r="AC1100" s="23" t="s">
        <v>2622</v>
      </c>
      <c r="AD1100">
        <v>0</v>
      </c>
    </row>
    <row r="1101" spans="29:30" x14ac:dyDescent="0.25">
      <c r="AC1101" s="23" t="s">
        <v>2425</v>
      </c>
      <c r="AD1101">
        <v>0</v>
      </c>
    </row>
    <row r="1102" spans="29:30" x14ac:dyDescent="0.25">
      <c r="AC1102" s="23" t="s">
        <v>2797</v>
      </c>
      <c r="AD1102">
        <v>0</v>
      </c>
    </row>
    <row r="1103" spans="29:30" x14ac:dyDescent="0.25">
      <c r="AC1103" s="23" t="s">
        <v>2514</v>
      </c>
      <c r="AD1103">
        <v>0</v>
      </c>
    </row>
    <row r="1104" spans="29:30" x14ac:dyDescent="0.25">
      <c r="AC1104" s="23" t="s">
        <v>2697</v>
      </c>
      <c r="AD1104">
        <v>0</v>
      </c>
    </row>
    <row r="1105" spans="29:30" x14ac:dyDescent="0.25">
      <c r="AC1105" s="23" t="s">
        <v>2492</v>
      </c>
      <c r="AD1105">
        <v>0</v>
      </c>
    </row>
    <row r="1106" spans="29:30" x14ac:dyDescent="0.25">
      <c r="AC1106" s="23" t="s">
        <v>2682</v>
      </c>
      <c r="AD1106">
        <v>0</v>
      </c>
    </row>
    <row r="1107" spans="29:30" x14ac:dyDescent="0.25">
      <c r="AC1107" s="23" t="s">
        <v>176</v>
      </c>
      <c r="AD1107">
        <v>0</v>
      </c>
    </row>
    <row r="1108" spans="29:30" x14ac:dyDescent="0.25">
      <c r="AC1108" s="23" t="s">
        <v>2684</v>
      </c>
      <c r="AD1108">
        <v>0</v>
      </c>
    </row>
    <row r="1109" spans="29:30" x14ac:dyDescent="0.25">
      <c r="AC1109" s="23" t="s">
        <v>2496</v>
      </c>
      <c r="AD1109">
        <v>0</v>
      </c>
    </row>
    <row r="1110" spans="29:30" x14ac:dyDescent="0.25">
      <c r="AC1110" s="23" t="s">
        <v>2654</v>
      </c>
      <c r="AD1110">
        <v>0</v>
      </c>
    </row>
    <row r="1111" spans="29:30" x14ac:dyDescent="0.25">
      <c r="AC1111" s="23" t="s">
        <v>2494</v>
      </c>
      <c r="AD1111">
        <v>0</v>
      </c>
    </row>
    <row r="1112" spans="29:30" x14ac:dyDescent="0.25">
      <c r="AC1112" s="23" t="s">
        <v>3040</v>
      </c>
      <c r="AD1112">
        <v>0</v>
      </c>
    </row>
    <row r="1113" spans="29:30" x14ac:dyDescent="0.25">
      <c r="AC1113" s="23" t="s">
        <v>2486</v>
      </c>
      <c r="AD1113">
        <v>0</v>
      </c>
    </row>
    <row r="1114" spans="29:30" x14ac:dyDescent="0.25">
      <c r="AC1114" s="23" t="s">
        <v>2787</v>
      </c>
      <c r="AD1114">
        <v>0</v>
      </c>
    </row>
    <row r="1115" spans="29:30" x14ac:dyDescent="0.25">
      <c r="AC1115" s="23" t="s">
        <v>2498</v>
      </c>
      <c r="AD1115">
        <v>0</v>
      </c>
    </row>
    <row r="1116" spans="29:30" x14ac:dyDescent="0.25">
      <c r="AC1116" s="23" t="s">
        <v>5017</v>
      </c>
      <c r="AD1116">
        <v>0</v>
      </c>
    </row>
    <row r="1117" spans="29:30" x14ac:dyDescent="0.25">
      <c r="AC1117" s="23" t="s">
        <v>2466</v>
      </c>
      <c r="AD1117">
        <v>0</v>
      </c>
    </row>
    <row r="1118" spans="29:30" x14ac:dyDescent="0.25">
      <c r="AC1118" s="23" t="s">
        <v>2769</v>
      </c>
      <c r="AD1118">
        <v>0</v>
      </c>
    </row>
    <row r="1119" spans="29:30" x14ac:dyDescent="0.25">
      <c r="AC1119" s="23" t="s">
        <v>2500</v>
      </c>
      <c r="AD1119">
        <v>0</v>
      </c>
    </row>
    <row r="1120" spans="29:30" x14ac:dyDescent="0.25">
      <c r="AC1120" s="23" t="s">
        <v>2638</v>
      </c>
      <c r="AD1120">
        <v>0</v>
      </c>
    </row>
    <row r="1121" spans="29:30" x14ac:dyDescent="0.25">
      <c r="AC1121" s="23" t="s">
        <v>4987</v>
      </c>
      <c r="AD1121">
        <v>0</v>
      </c>
    </row>
    <row r="1122" spans="29:30" x14ac:dyDescent="0.25">
      <c r="AC1122" s="23" t="s">
        <v>2956</v>
      </c>
      <c r="AD1122">
        <v>0</v>
      </c>
    </row>
    <row r="1123" spans="29:30" x14ac:dyDescent="0.25">
      <c r="AC1123" s="23" t="s">
        <v>2536</v>
      </c>
      <c r="AD1123">
        <v>0</v>
      </c>
    </row>
    <row r="1124" spans="29:30" x14ac:dyDescent="0.25">
      <c r="AC1124" s="23" t="s">
        <v>2868</v>
      </c>
      <c r="AD1124">
        <v>0</v>
      </c>
    </row>
    <row r="1125" spans="29:30" x14ac:dyDescent="0.25">
      <c r="AC1125" s="23" t="s">
        <v>2451</v>
      </c>
      <c r="AD1125">
        <v>0</v>
      </c>
    </row>
    <row r="1126" spans="29:30" x14ac:dyDescent="0.25">
      <c r="AC1126" s="23" t="s">
        <v>5027</v>
      </c>
      <c r="AD1126">
        <v>0</v>
      </c>
    </row>
    <row r="1127" spans="29:30" x14ac:dyDescent="0.25">
      <c r="AC1127" s="23" t="s">
        <v>2534</v>
      </c>
      <c r="AD1127">
        <v>0</v>
      </c>
    </row>
    <row r="1128" spans="29:30" x14ac:dyDescent="0.25">
      <c r="AC1128" s="23" t="s">
        <v>2717</v>
      </c>
      <c r="AD1128">
        <v>0</v>
      </c>
    </row>
    <row r="1129" spans="29:30" x14ac:dyDescent="0.25">
      <c r="AC1129" s="23" t="s">
        <v>2540</v>
      </c>
      <c r="AD1129">
        <v>0</v>
      </c>
    </row>
    <row r="1130" spans="29:30" x14ac:dyDescent="0.25">
      <c r="AC1130" s="23" t="s">
        <v>2755</v>
      </c>
      <c r="AD1130">
        <v>0</v>
      </c>
    </row>
    <row r="1131" spans="29:30" x14ac:dyDescent="0.25">
      <c r="AC1131" s="23" t="s">
        <v>2522</v>
      </c>
      <c r="AD1131">
        <v>0</v>
      </c>
    </row>
    <row r="1132" spans="29:30" x14ac:dyDescent="0.25">
      <c r="AC1132" s="23" t="s">
        <v>2832</v>
      </c>
      <c r="AD1132">
        <v>0</v>
      </c>
    </row>
    <row r="1133" spans="29:30" x14ac:dyDescent="0.25">
      <c r="AC1133" s="23" t="s">
        <v>4977</v>
      </c>
      <c r="AD1133">
        <v>0</v>
      </c>
    </row>
    <row r="1134" spans="29:30" x14ac:dyDescent="0.25">
      <c r="AC1134" s="23" t="s">
        <v>3260</v>
      </c>
      <c r="AD1134">
        <v>0</v>
      </c>
    </row>
    <row r="1135" spans="29:30" x14ac:dyDescent="0.25">
      <c r="AC1135" s="23" t="s">
        <v>2431</v>
      </c>
      <c r="AD1135">
        <v>0</v>
      </c>
    </row>
    <row r="1136" spans="29:30" x14ac:dyDescent="0.25">
      <c r="AC1136" s="23" t="s">
        <v>2803</v>
      </c>
      <c r="AD1136">
        <v>0</v>
      </c>
    </row>
    <row r="1137" spans="29:30" x14ac:dyDescent="0.25">
      <c r="AC1137" s="23" t="s">
        <v>2556</v>
      </c>
      <c r="AD1137">
        <v>0</v>
      </c>
    </row>
    <row r="1138" spans="29:30" x14ac:dyDescent="0.25">
      <c r="AC1138" s="23" t="s">
        <v>2980</v>
      </c>
      <c r="AD1138">
        <v>0</v>
      </c>
    </row>
    <row r="1139" spans="29:30" x14ac:dyDescent="0.25">
      <c r="AC1139" s="23" t="s">
        <v>2558</v>
      </c>
      <c r="AD1139">
        <v>0</v>
      </c>
    </row>
    <row r="1140" spans="29:30" x14ac:dyDescent="0.25">
      <c r="AC1140" s="23" t="s">
        <v>3320</v>
      </c>
      <c r="AD1140">
        <v>0</v>
      </c>
    </row>
    <row r="1141" spans="29:30" x14ac:dyDescent="0.25">
      <c r="AC1141" s="23" t="s">
        <v>2574</v>
      </c>
      <c r="AD1141">
        <v>0</v>
      </c>
    </row>
    <row r="1142" spans="29:30" x14ac:dyDescent="0.25">
      <c r="AC1142" s="23" t="s">
        <v>3328</v>
      </c>
      <c r="AD1142">
        <v>0</v>
      </c>
    </row>
    <row r="1143" spans="29:30" x14ac:dyDescent="0.25">
      <c r="AC1143" s="23" t="s">
        <v>2562</v>
      </c>
      <c r="AD1143">
        <v>0</v>
      </c>
    </row>
    <row r="1144" spans="29:30" x14ac:dyDescent="0.25">
      <c r="AC1144" s="23" t="s">
        <v>2884</v>
      </c>
      <c r="AD1144">
        <v>0</v>
      </c>
    </row>
    <row r="1145" spans="29:30" x14ac:dyDescent="0.25">
      <c r="AC1145" s="23" t="s">
        <v>2660</v>
      </c>
      <c r="AD1145">
        <v>0</v>
      </c>
    </row>
    <row r="1146" spans="29:30" x14ac:dyDescent="0.25">
      <c r="AC1146" s="23" t="s">
        <v>311</v>
      </c>
      <c r="AD1146">
        <v>0</v>
      </c>
    </row>
    <row r="1147" spans="29:30" x14ac:dyDescent="0.25">
      <c r="AC1147" s="23" t="s">
        <v>575</v>
      </c>
      <c r="AD1147">
        <v>0</v>
      </c>
    </row>
    <row r="1148" spans="29:30" x14ac:dyDescent="0.25">
      <c r="AC1148" s="23" t="s">
        <v>206</v>
      </c>
      <c r="AD1148">
        <v>0</v>
      </c>
    </row>
    <row r="1149" spans="29:30" x14ac:dyDescent="0.25">
      <c r="AC1149" s="23" t="s">
        <v>2783</v>
      </c>
      <c r="AD1149">
        <v>0</v>
      </c>
    </row>
    <row r="1150" spans="29:30" x14ac:dyDescent="0.25">
      <c r="AC1150" s="23" t="s">
        <v>2972</v>
      </c>
      <c r="AD1150">
        <v>0</v>
      </c>
    </row>
    <row r="1151" spans="29:30" x14ac:dyDescent="0.25">
      <c r="AC1151" s="23" t="s">
        <v>4306</v>
      </c>
      <c r="AD1151">
        <v>0</v>
      </c>
    </row>
    <row r="1152" spans="29:30" x14ac:dyDescent="0.25">
      <c r="AC1152" s="23" t="s">
        <v>2942</v>
      </c>
      <c r="AD1152">
        <v>0</v>
      </c>
    </row>
    <row r="1153" spans="29:30" x14ac:dyDescent="0.25">
      <c r="AC1153" s="23" t="s">
        <v>5005</v>
      </c>
      <c r="AD1153">
        <v>0</v>
      </c>
    </row>
    <row r="1154" spans="29:30" x14ac:dyDescent="0.25">
      <c r="AC1154" s="23" t="s">
        <v>5009</v>
      </c>
      <c r="AD1154">
        <v>0</v>
      </c>
    </row>
    <row r="1155" spans="29:30" x14ac:dyDescent="0.25">
      <c r="AC1155" s="23" t="s">
        <v>4993</v>
      </c>
      <c r="AD1155">
        <v>0</v>
      </c>
    </row>
    <row r="1156" spans="29:30" x14ac:dyDescent="0.25">
      <c r="AC1156" s="23" t="s">
        <v>4753</v>
      </c>
      <c r="AD1156">
        <v>0</v>
      </c>
    </row>
    <row r="1157" spans="29:30" x14ac:dyDescent="0.25">
      <c r="AC1157" s="23" t="s">
        <v>4989</v>
      </c>
      <c r="AD1157">
        <v>0</v>
      </c>
    </row>
    <row r="1158" spans="29:30" x14ac:dyDescent="0.25">
      <c r="AC1158" s="23" t="s">
        <v>3051</v>
      </c>
      <c r="AD1158">
        <v>0</v>
      </c>
    </row>
    <row r="1159" spans="29:30" x14ac:dyDescent="0.25">
      <c r="AC1159" s="23" t="s">
        <v>1637</v>
      </c>
      <c r="AD1159">
        <v>0</v>
      </c>
    </row>
    <row r="1160" spans="29:30" x14ac:dyDescent="0.25">
      <c r="AC1160" s="23" t="s">
        <v>4203</v>
      </c>
      <c r="AD1160">
        <v>0</v>
      </c>
    </row>
    <row r="1161" spans="29:30" x14ac:dyDescent="0.25">
      <c r="AC1161" s="23" t="s">
        <v>1705</v>
      </c>
      <c r="AD1161">
        <v>0</v>
      </c>
    </row>
    <row r="1162" spans="29:30" x14ac:dyDescent="0.25">
      <c r="AC1162" s="23" t="s">
        <v>2795</v>
      </c>
      <c r="AD1162">
        <v>0</v>
      </c>
    </row>
    <row r="1163" spans="29:30" x14ac:dyDescent="0.25">
      <c r="AC1163" s="23" t="s">
        <v>2912</v>
      </c>
      <c r="AD1163">
        <v>0</v>
      </c>
    </row>
    <row r="1164" spans="29:30" x14ac:dyDescent="0.25">
      <c r="AC1164" s="23" t="s">
        <v>2580</v>
      </c>
      <c r="AD1164">
        <v>0</v>
      </c>
    </row>
    <row r="1165" spans="29:30" x14ac:dyDescent="0.25">
      <c r="AC1165" s="23" t="s">
        <v>5190</v>
      </c>
      <c r="AD1165">
        <v>0</v>
      </c>
    </row>
    <row r="1166" spans="29:30" x14ac:dyDescent="0.25">
      <c r="AC1166" s="23" t="s">
        <v>2610</v>
      </c>
      <c r="AD1166">
        <v>0</v>
      </c>
    </row>
    <row r="1167" spans="29:30" x14ac:dyDescent="0.25">
      <c r="AC1167" s="23" t="s">
        <v>2636</v>
      </c>
      <c r="AD1167">
        <v>0</v>
      </c>
    </row>
    <row r="1168" spans="29:30" x14ac:dyDescent="0.25">
      <c r="AC1168" s="23" t="s">
        <v>2904</v>
      </c>
      <c r="AD1168">
        <v>0</v>
      </c>
    </row>
    <row r="1169" spans="29:30" x14ac:dyDescent="0.25">
      <c r="AC1169" s="23" t="s">
        <v>2564</v>
      </c>
      <c r="AD1169">
        <v>0</v>
      </c>
    </row>
    <row r="1170" spans="29:30" x14ac:dyDescent="0.25">
      <c r="AC1170" s="23" t="s">
        <v>2576</v>
      </c>
      <c r="AD1170">
        <v>0</v>
      </c>
    </row>
    <row r="1171" spans="29:30" x14ac:dyDescent="0.25">
      <c r="AC1171" s="23" t="s">
        <v>2566</v>
      </c>
      <c r="AD1171">
        <v>0</v>
      </c>
    </row>
    <row r="1172" spans="29:30" x14ac:dyDescent="0.25">
      <c r="AC1172" s="23" t="s">
        <v>2739</v>
      </c>
      <c r="AD1172">
        <v>0</v>
      </c>
    </row>
    <row r="1173" spans="29:30" x14ac:dyDescent="0.25">
      <c r="AC1173" s="23" t="s">
        <v>2719</v>
      </c>
      <c r="AD1173">
        <v>0</v>
      </c>
    </row>
    <row r="1174" spans="29:30" x14ac:dyDescent="0.25">
      <c r="AC1174" s="23" t="s">
        <v>2626</v>
      </c>
      <c r="AD1174">
        <v>0</v>
      </c>
    </row>
    <row r="1175" spans="29:30" x14ac:dyDescent="0.25">
      <c r="AC1175" s="23" t="s">
        <v>2624</v>
      </c>
      <c r="AD1175">
        <v>0</v>
      </c>
    </row>
    <row r="1176" spans="29:30" x14ac:dyDescent="0.25">
      <c r="AC1176" s="23" t="s">
        <v>2686</v>
      </c>
      <c r="AD1176">
        <v>0</v>
      </c>
    </row>
    <row r="1177" spans="29:30" x14ac:dyDescent="0.25">
      <c r="AC1177" s="23" t="s">
        <v>2872</v>
      </c>
      <c r="AD1177">
        <v>0</v>
      </c>
    </row>
    <row r="1178" spans="29:30" x14ac:dyDescent="0.25">
      <c r="AC1178" s="23" t="s">
        <v>2828</v>
      </c>
      <c r="AD1178">
        <v>0</v>
      </c>
    </row>
    <row r="1179" spans="29:30" x14ac:dyDescent="0.25">
      <c r="AC1179" s="23" t="s">
        <v>3042</v>
      </c>
      <c r="AD1179">
        <v>0</v>
      </c>
    </row>
    <row r="1180" spans="29:30" x14ac:dyDescent="0.25">
      <c r="AC1180" s="23" t="s">
        <v>2688</v>
      </c>
      <c r="AD1180">
        <v>0</v>
      </c>
    </row>
    <row r="1181" spans="29:30" x14ac:dyDescent="0.25">
      <c r="AC1181" s="23" t="s">
        <v>2866</v>
      </c>
      <c r="AD1181">
        <v>0</v>
      </c>
    </row>
    <row r="1182" spans="29:30" x14ac:dyDescent="0.25">
      <c r="AC1182" s="23" t="s">
        <v>2608</v>
      </c>
      <c r="AD1182">
        <v>0</v>
      </c>
    </row>
    <row r="1183" spans="29:30" x14ac:dyDescent="0.25">
      <c r="AC1183" s="23" t="s">
        <v>2844</v>
      </c>
      <c r="AD1183">
        <v>0</v>
      </c>
    </row>
    <row r="1184" spans="29:30" x14ac:dyDescent="0.25">
      <c r="AC1184" s="23" t="s">
        <v>2678</v>
      </c>
      <c r="AD1184">
        <v>0</v>
      </c>
    </row>
    <row r="1185" spans="29:30" x14ac:dyDescent="0.25">
      <c r="AC1185" s="23" t="s">
        <v>2793</v>
      </c>
      <c r="AD1185">
        <v>0</v>
      </c>
    </row>
    <row r="1186" spans="29:30" x14ac:dyDescent="0.25">
      <c r="AC1186" s="23" t="s">
        <v>5001</v>
      </c>
      <c r="AD1186">
        <v>0</v>
      </c>
    </row>
    <row r="1187" spans="29:30" x14ac:dyDescent="0.25">
      <c r="AC1187" s="23" t="s">
        <v>2666</v>
      </c>
      <c r="AD1187">
        <v>0</v>
      </c>
    </row>
    <row r="1188" spans="29:30" x14ac:dyDescent="0.25">
      <c r="AC1188" s="23" t="s">
        <v>2902</v>
      </c>
      <c r="AD1188">
        <v>0</v>
      </c>
    </row>
    <row r="1189" spans="29:30" x14ac:dyDescent="0.25">
      <c r="AC1189" s="23" t="s">
        <v>5019</v>
      </c>
      <c r="AD1189">
        <v>0</v>
      </c>
    </row>
    <row r="1190" spans="29:30" x14ac:dyDescent="0.25">
      <c r="AC1190" s="23" t="s">
        <v>2693</v>
      </c>
      <c r="AD1190">
        <v>0</v>
      </c>
    </row>
    <row r="1191" spans="29:30" x14ac:dyDescent="0.25">
      <c r="AC1191" s="23" t="s">
        <v>5013</v>
      </c>
      <c r="AD1191">
        <v>0</v>
      </c>
    </row>
    <row r="1192" spans="29:30" x14ac:dyDescent="0.25">
      <c r="AC1192" s="23" t="s">
        <v>2699</v>
      </c>
      <c r="AD1192">
        <v>0</v>
      </c>
    </row>
    <row r="1193" spans="29:30" x14ac:dyDescent="0.25">
      <c r="AC1193" s="23" t="s">
        <v>2777</v>
      </c>
      <c r="AD1193">
        <v>0</v>
      </c>
    </row>
    <row r="1194" spans="29:30" x14ac:dyDescent="0.25">
      <c r="AC1194" s="23" t="s">
        <v>3685</v>
      </c>
      <c r="AD1194">
        <v>0</v>
      </c>
    </row>
    <row r="1195" spans="29:30" x14ac:dyDescent="0.25">
      <c r="AC1195" s="23" t="s">
        <v>2878</v>
      </c>
      <c r="AD1195">
        <v>0</v>
      </c>
    </row>
    <row r="1196" spans="29:30" x14ac:dyDescent="0.25">
      <c r="AC1196" s="23" t="s">
        <v>5025</v>
      </c>
      <c r="AD1196">
        <v>0</v>
      </c>
    </row>
    <row r="1197" spans="29:30" x14ac:dyDescent="0.25">
      <c r="AC1197" s="23" t="s">
        <v>2791</v>
      </c>
      <c r="AD1197">
        <v>0</v>
      </c>
    </row>
    <row r="1198" spans="29:30" x14ac:dyDescent="0.25">
      <c r="AC1198" s="23" t="s">
        <v>2767</v>
      </c>
      <c r="AD1198">
        <v>0</v>
      </c>
    </row>
    <row r="1199" spans="29:30" x14ac:dyDescent="0.25">
      <c r="AC1199" s="23" t="s">
        <v>2632</v>
      </c>
      <c r="AD1199">
        <v>0</v>
      </c>
    </row>
    <row r="1200" spans="29:30" x14ac:dyDescent="0.25">
      <c r="AC1200" s="23" t="s">
        <v>2838</v>
      </c>
      <c r="AD1200">
        <v>0</v>
      </c>
    </row>
    <row r="1201" spans="29:30" x14ac:dyDescent="0.25">
      <c r="AC1201" s="23" t="s">
        <v>3053</v>
      </c>
      <c r="AD1201">
        <v>0</v>
      </c>
    </row>
    <row r="1202" spans="29:30" x14ac:dyDescent="0.25">
      <c r="AC1202" s="23" t="s">
        <v>2743</v>
      </c>
      <c r="AD1202">
        <v>0</v>
      </c>
    </row>
    <row r="1203" spans="29:30" x14ac:dyDescent="0.25">
      <c r="AC1203" s="23" t="s">
        <v>2305</v>
      </c>
      <c r="AD1203">
        <v>0</v>
      </c>
    </row>
    <row r="1204" spans="29:30" x14ac:dyDescent="0.25">
      <c r="AC1204" s="23" t="s">
        <v>2809</v>
      </c>
      <c r="AD1204">
        <v>0</v>
      </c>
    </row>
    <row r="1205" spans="29:30" x14ac:dyDescent="0.25">
      <c r="AC1205" s="23" t="s">
        <v>3049</v>
      </c>
      <c r="AD1205">
        <v>0</v>
      </c>
    </row>
    <row r="1206" spans="29:30" x14ac:dyDescent="0.25">
      <c r="AC1206" s="23" t="s">
        <v>3022</v>
      </c>
      <c r="AD1206">
        <v>0</v>
      </c>
    </row>
    <row r="1207" spans="29:30" x14ac:dyDescent="0.25">
      <c r="AC1207" s="23" t="s">
        <v>2817</v>
      </c>
      <c r="AD1207">
        <v>0</v>
      </c>
    </row>
    <row r="1208" spans="29:30" x14ac:dyDescent="0.25">
      <c r="AC1208" s="23" t="s">
        <v>2753</v>
      </c>
      <c r="AD1208">
        <v>0</v>
      </c>
    </row>
    <row r="1209" spans="29:30" x14ac:dyDescent="0.25">
      <c r="AC1209" s="23" t="s">
        <v>2590</v>
      </c>
      <c r="AD1209">
        <v>0</v>
      </c>
    </row>
    <row r="1210" spans="29:30" x14ac:dyDescent="0.25">
      <c r="AC1210" s="23" t="s">
        <v>2805</v>
      </c>
      <c r="AD1210">
        <v>0</v>
      </c>
    </row>
    <row r="1211" spans="29:30" x14ac:dyDescent="0.25">
      <c r="AC1211" s="23" t="s">
        <v>2834</v>
      </c>
      <c r="AD1211">
        <v>0</v>
      </c>
    </row>
    <row r="1212" spans="29:30" x14ac:dyDescent="0.25">
      <c r="AC1212" s="23" t="s">
        <v>2749</v>
      </c>
      <c r="AD1212">
        <v>0</v>
      </c>
    </row>
    <row r="1213" spans="29:30" x14ac:dyDescent="0.25">
      <c r="AC1213" s="23" t="s">
        <v>2858</v>
      </c>
      <c r="AD1213">
        <v>0</v>
      </c>
    </row>
    <row r="1214" spans="29:30" x14ac:dyDescent="0.25">
      <c r="AC1214" s="23" t="s">
        <v>2830</v>
      </c>
      <c r="AD1214">
        <v>0</v>
      </c>
    </row>
    <row r="1215" spans="29:30" x14ac:dyDescent="0.25">
      <c r="AC1215" s="23" t="s">
        <v>2848</v>
      </c>
      <c r="AD1215">
        <v>0</v>
      </c>
    </row>
    <row r="1216" spans="29:30" x14ac:dyDescent="0.25">
      <c r="AC1216" s="23" t="s">
        <v>2759</v>
      </c>
      <c r="AD1216">
        <v>0</v>
      </c>
    </row>
    <row r="1217" spans="29:30" x14ac:dyDescent="0.25">
      <c r="AC1217" s="23" t="s">
        <v>2850</v>
      </c>
      <c r="AD1217">
        <v>0</v>
      </c>
    </row>
    <row r="1218" spans="29:30" x14ac:dyDescent="0.25">
      <c r="AC1218" s="23" t="s">
        <v>2801</v>
      </c>
      <c r="AD1218">
        <v>0</v>
      </c>
    </row>
    <row r="1219" spans="29:30" x14ac:dyDescent="0.25">
      <c r="AC1219" s="23" t="s">
        <v>2630</v>
      </c>
      <c r="AD1219">
        <v>0</v>
      </c>
    </row>
    <row r="1220" spans="29:30" x14ac:dyDescent="0.25">
      <c r="AC1220" s="23" t="s">
        <v>2815</v>
      </c>
      <c r="AD1220">
        <v>0</v>
      </c>
    </row>
    <row r="1221" spans="29:30" x14ac:dyDescent="0.25">
      <c r="AC1221" s="23" t="s">
        <v>3026</v>
      </c>
      <c r="AD1221">
        <v>0</v>
      </c>
    </row>
    <row r="1222" spans="29:30" x14ac:dyDescent="0.25">
      <c r="AC1222" s="23" t="s">
        <v>2658</v>
      </c>
      <c r="AD1222">
        <v>0</v>
      </c>
    </row>
    <row r="1223" spans="29:30" x14ac:dyDescent="0.25">
      <c r="AC1223" s="23" t="s">
        <v>2570</v>
      </c>
      <c r="AD1223">
        <v>0</v>
      </c>
    </row>
    <row r="1224" spans="29:30" x14ac:dyDescent="0.25">
      <c r="AC1224" s="23" t="s">
        <v>2751</v>
      </c>
      <c r="AD1224">
        <v>0</v>
      </c>
    </row>
    <row r="1225" spans="29:30" x14ac:dyDescent="0.25">
      <c r="AC1225" s="23" t="s">
        <v>5031</v>
      </c>
      <c r="AD1225">
        <v>0</v>
      </c>
    </row>
    <row r="1226" spans="29:30" x14ac:dyDescent="0.25">
      <c r="AC1226" s="23" t="s">
        <v>2799</v>
      </c>
      <c r="AD1226">
        <v>0</v>
      </c>
    </row>
    <row r="1227" spans="29:30" x14ac:dyDescent="0.25">
      <c r="AC1227" s="23" t="s">
        <v>2582</v>
      </c>
      <c r="AD1227">
        <v>0</v>
      </c>
    </row>
    <row r="1228" spans="29:30" x14ac:dyDescent="0.25">
      <c r="AC1228" s="23" t="s">
        <v>2757</v>
      </c>
      <c r="AD1228">
        <v>0</v>
      </c>
    </row>
    <row r="1229" spans="29:30" x14ac:dyDescent="0.25">
      <c r="AC1229" s="23" t="s">
        <v>2709</v>
      </c>
      <c r="AD1229">
        <v>0</v>
      </c>
    </row>
    <row r="1230" spans="29:30" x14ac:dyDescent="0.25">
      <c r="AC1230" s="23" t="s">
        <v>2263</v>
      </c>
      <c r="AD1230">
        <v>0</v>
      </c>
    </row>
    <row r="1231" spans="29:30" x14ac:dyDescent="0.25">
      <c r="AC1231" s="23" t="s">
        <v>2775</v>
      </c>
      <c r="AD1231">
        <v>0</v>
      </c>
    </row>
    <row r="1232" spans="29:30" x14ac:dyDescent="0.25">
      <c r="AC1232" s="23" t="s">
        <v>2761</v>
      </c>
      <c r="AD1232">
        <v>0</v>
      </c>
    </row>
    <row r="1233" spans="29:30" x14ac:dyDescent="0.25">
      <c r="AC1233" s="23" t="s">
        <v>2840</v>
      </c>
      <c r="AD1233">
        <v>0</v>
      </c>
    </row>
    <row r="1234" spans="29:30" x14ac:dyDescent="0.25">
      <c r="AC1234" s="23" t="s">
        <v>2063</v>
      </c>
      <c r="AD1234">
        <v>0</v>
      </c>
    </row>
    <row r="1235" spans="29:30" x14ac:dyDescent="0.25">
      <c r="AC1235" s="23" t="s">
        <v>2634</v>
      </c>
      <c r="AD1235">
        <v>0</v>
      </c>
    </row>
    <row r="1236" spans="29:30" x14ac:dyDescent="0.25">
      <c r="AC1236" s="23" t="s">
        <v>2962</v>
      </c>
      <c r="AD1236">
        <v>0</v>
      </c>
    </row>
    <row r="1237" spans="29:30" x14ac:dyDescent="0.25">
      <c r="AC1237" s="23" t="s">
        <v>5007</v>
      </c>
      <c r="AD1237">
        <v>0</v>
      </c>
    </row>
    <row r="1238" spans="29:30" x14ac:dyDescent="0.25">
      <c r="AC1238" s="23" t="s">
        <v>2460</v>
      </c>
      <c r="AD1238">
        <v>0</v>
      </c>
    </row>
    <row r="1239" spans="29:30" x14ac:dyDescent="0.25">
      <c r="AC1239" s="23" t="s">
        <v>2705</v>
      </c>
      <c r="AD1239">
        <v>0</v>
      </c>
    </row>
    <row r="1240" spans="29:30" x14ac:dyDescent="0.25">
      <c r="AC1240" s="23" t="s">
        <v>5023</v>
      </c>
      <c r="AD1240">
        <v>0</v>
      </c>
    </row>
    <row r="1241" spans="29:30" x14ac:dyDescent="0.25">
      <c r="AC1241" s="23" t="s">
        <v>3020</v>
      </c>
      <c r="AD1241">
        <v>0</v>
      </c>
    </row>
    <row r="1242" spans="29:30" x14ac:dyDescent="0.25">
      <c r="AC1242" s="23" t="s">
        <v>5232</v>
      </c>
      <c r="AD1242">
        <v>0</v>
      </c>
    </row>
    <row r="1243" spans="29:30" x14ac:dyDescent="0.25">
      <c r="AC1243" s="23" t="s">
        <v>2994</v>
      </c>
      <c r="AD1243">
        <v>0</v>
      </c>
    </row>
    <row r="1244" spans="29:30" x14ac:dyDescent="0.25">
      <c r="AC1244" s="23" t="s">
        <v>2852</v>
      </c>
      <c r="AD1244">
        <v>0</v>
      </c>
    </row>
    <row r="1245" spans="29:30" x14ac:dyDescent="0.25">
      <c r="AC1245" s="23" t="s">
        <v>2906</v>
      </c>
      <c r="AD1245">
        <v>0</v>
      </c>
    </row>
    <row r="1246" spans="29:30" x14ac:dyDescent="0.25">
      <c r="AC1246" s="23" t="s">
        <v>3030</v>
      </c>
      <c r="AD1246">
        <v>0</v>
      </c>
    </row>
    <row r="1247" spans="29:30" x14ac:dyDescent="0.25">
      <c r="AC1247" s="23" t="s">
        <v>2914</v>
      </c>
      <c r="AD1247">
        <v>0</v>
      </c>
    </row>
    <row r="1248" spans="29:30" x14ac:dyDescent="0.25">
      <c r="AC1248" s="23" t="s">
        <v>2974</v>
      </c>
      <c r="AD1248">
        <v>0</v>
      </c>
    </row>
    <row r="1249" spans="29:30" x14ac:dyDescent="0.25">
      <c r="AC1249" s="23" t="s">
        <v>2602</v>
      </c>
      <c r="AD1249">
        <v>0</v>
      </c>
    </row>
    <row r="1250" spans="29:30" x14ac:dyDescent="0.25">
      <c r="AC1250" s="23" t="s">
        <v>5079</v>
      </c>
      <c r="AD1250">
        <v>0</v>
      </c>
    </row>
    <row r="1251" spans="29:30" x14ac:dyDescent="0.25">
      <c r="AC1251" s="23" t="s">
        <v>2924</v>
      </c>
      <c r="AD1251">
        <v>0</v>
      </c>
    </row>
    <row r="1252" spans="29:30" x14ac:dyDescent="0.25">
      <c r="AC1252" s="23" t="s">
        <v>2538</v>
      </c>
      <c r="AD1252">
        <v>0</v>
      </c>
    </row>
    <row r="1253" spans="29:30" x14ac:dyDescent="0.25">
      <c r="AC1253" s="23" t="s">
        <v>2918</v>
      </c>
      <c r="AD1253">
        <v>0</v>
      </c>
    </row>
    <row r="1254" spans="29:30" x14ac:dyDescent="0.25">
      <c r="AC1254" s="23" t="s">
        <v>3318</v>
      </c>
      <c r="AD1254">
        <v>0</v>
      </c>
    </row>
    <row r="1255" spans="29:30" x14ac:dyDescent="0.25">
      <c r="AC1255" s="23" t="s">
        <v>2672</v>
      </c>
      <c r="AD1255">
        <v>0</v>
      </c>
    </row>
    <row r="1256" spans="29:30" x14ac:dyDescent="0.25">
      <c r="AC1256" s="23" t="s">
        <v>2656</v>
      </c>
      <c r="AD1256">
        <v>0</v>
      </c>
    </row>
    <row r="1257" spans="29:30" x14ac:dyDescent="0.25">
      <c r="AC1257" s="23" t="s">
        <v>2594</v>
      </c>
      <c r="AD1257">
        <v>0</v>
      </c>
    </row>
    <row r="1258" spans="29:30" x14ac:dyDescent="0.25">
      <c r="AC1258" s="23" t="s">
        <v>2984</v>
      </c>
      <c r="AD1258">
        <v>0</v>
      </c>
    </row>
    <row r="1259" spans="29:30" x14ac:dyDescent="0.25">
      <c r="AC1259" s="23" t="s">
        <v>4991</v>
      </c>
      <c r="AD1259">
        <v>0</v>
      </c>
    </row>
    <row r="1260" spans="29:30" x14ac:dyDescent="0.25">
      <c r="AC1260" s="23" t="s">
        <v>5315</v>
      </c>
      <c r="AD1260">
        <v>0</v>
      </c>
    </row>
    <row r="1261" spans="29:30" x14ac:dyDescent="0.25">
      <c r="AC1261" s="23" t="s">
        <v>2725</v>
      </c>
      <c r="AD1261">
        <v>0</v>
      </c>
    </row>
    <row r="1262" spans="29:30" x14ac:dyDescent="0.25">
      <c r="AC1262" s="23" t="s">
        <v>2932</v>
      </c>
      <c r="AD1262">
        <v>0</v>
      </c>
    </row>
    <row r="1263" spans="29:30" x14ac:dyDescent="0.25">
      <c r="AC1263" s="23" t="s">
        <v>2572</v>
      </c>
      <c r="AD1263">
        <v>0</v>
      </c>
    </row>
    <row r="1264" spans="29:30" x14ac:dyDescent="0.25">
      <c r="AC1264" s="23" t="s">
        <v>2916</v>
      </c>
      <c r="AD1264">
        <v>0</v>
      </c>
    </row>
    <row r="1265" spans="29:30" x14ac:dyDescent="0.25">
      <c r="AC1265" s="23" t="s">
        <v>1388</v>
      </c>
      <c r="AD1265">
        <v>0</v>
      </c>
    </row>
    <row r="1266" spans="29:30" x14ac:dyDescent="0.25">
      <c r="AC1266" s="23" t="s">
        <v>2936</v>
      </c>
      <c r="AD1266">
        <v>0</v>
      </c>
    </row>
    <row r="1267" spans="29:30" x14ac:dyDescent="0.25">
      <c r="AC1267" s="23" t="s">
        <v>210</v>
      </c>
      <c r="AD1267">
        <v>0</v>
      </c>
    </row>
    <row r="1268" spans="29:30" x14ac:dyDescent="0.25">
      <c r="AC1268" s="23" t="s">
        <v>4829</v>
      </c>
      <c r="AD1268">
        <v>0</v>
      </c>
    </row>
    <row r="1269" spans="29:30" x14ac:dyDescent="0.25">
      <c r="AC1269" s="23" t="s">
        <v>2600</v>
      </c>
      <c r="AD1269">
        <v>0</v>
      </c>
    </row>
    <row r="1270" spans="29:30" x14ac:dyDescent="0.25">
      <c r="AC1270" s="23" t="s">
        <v>3627</v>
      </c>
      <c r="AD1270">
        <v>0</v>
      </c>
    </row>
    <row r="1271" spans="29:30" x14ac:dyDescent="0.25">
      <c r="AC1271" s="23" t="s">
        <v>2926</v>
      </c>
      <c r="AD1271">
        <v>0</v>
      </c>
    </row>
    <row r="1272" spans="29:30" x14ac:dyDescent="0.25">
      <c r="AC1272" s="23" t="s">
        <v>2870</v>
      </c>
      <c r="AD1272">
        <v>0</v>
      </c>
    </row>
    <row r="1273" spans="29:30" x14ac:dyDescent="0.25">
      <c r="AC1273" s="23" t="s">
        <v>4336</v>
      </c>
      <c r="AD1273">
        <v>0</v>
      </c>
    </row>
    <row r="1274" spans="29:30" x14ac:dyDescent="0.25">
      <c r="AC1274" s="23" t="s">
        <v>2864</v>
      </c>
      <c r="AD1274">
        <v>0</v>
      </c>
    </row>
    <row r="1275" spans="29:30" x14ac:dyDescent="0.25">
      <c r="AC1275" s="23" t="s">
        <v>2928</v>
      </c>
      <c r="AD1275">
        <v>0</v>
      </c>
    </row>
    <row r="1276" spans="29:30" x14ac:dyDescent="0.25">
      <c r="AC1276" s="23" t="s">
        <v>2640</v>
      </c>
      <c r="AD1276">
        <v>0</v>
      </c>
    </row>
    <row r="1277" spans="29:30" x14ac:dyDescent="0.25">
      <c r="AC1277" s="23" t="s">
        <v>2606</v>
      </c>
      <c r="AD1277">
        <v>0</v>
      </c>
    </row>
    <row r="1278" spans="29:30" x14ac:dyDescent="0.25">
      <c r="AC1278" s="23" t="s">
        <v>2940</v>
      </c>
      <c r="AD1278">
        <v>0</v>
      </c>
    </row>
    <row r="1279" spans="29:30" x14ac:dyDescent="0.25">
      <c r="AC1279" s="23" t="s">
        <v>2938</v>
      </c>
      <c r="AD1279">
        <v>0</v>
      </c>
    </row>
    <row r="1280" spans="29:30" x14ac:dyDescent="0.25">
      <c r="AC1280" s="23" t="s">
        <v>3028</v>
      </c>
      <c r="AD1280">
        <v>0</v>
      </c>
    </row>
    <row r="1281" spans="29:30" x14ac:dyDescent="0.25">
      <c r="AC1281" s="23" t="s">
        <v>2578</v>
      </c>
      <c r="AD1281">
        <v>0</v>
      </c>
    </row>
    <row r="1282" spans="29:30" x14ac:dyDescent="0.25">
      <c r="AC1282" s="23" t="s">
        <v>2842</v>
      </c>
      <c r="AD1282">
        <v>0</v>
      </c>
    </row>
    <row r="1283" spans="29:30" x14ac:dyDescent="0.25">
      <c r="AC1283" s="23" t="s">
        <v>2910</v>
      </c>
      <c r="AD1283">
        <v>0</v>
      </c>
    </row>
    <row r="1284" spans="29:30" x14ac:dyDescent="0.25">
      <c r="AC1284" s="23" t="s">
        <v>2586</v>
      </c>
      <c r="AD1284">
        <v>0</v>
      </c>
    </row>
    <row r="1285" spans="29:30" x14ac:dyDescent="0.25">
      <c r="AC1285" s="23" t="s">
        <v>2920</v>
      </c>
      <c r="AD1285">
        <v>0</v>
      </c>
    </row>
    <row r="1286" spans="29:30" x14ac:dyDescent="0.25">
      <c r="AC1286" s="23" t="s">
        <v>2401</v>
      </c>
      <c r="AD1286">
        <v>0</v>
      </c>
    </row>
    <row r="1287" spans="29:30" x14ac:dyDescent="0.25">
      <c r="AC1287" s="23" t="s">
        <v>2986</v>
      </c>
      <c r="AD1287">
        <v>0</v>
      </c>
    </row>
    <row r="1288" spans="29:30" x14ac:dyDescent="0.25">
      <c r="AC1288" s="23" t="s">
        <v>2393</v>
      </c>
      <c r="AD1288">
        <v>0</v>
      </c>
    </row>
    <row r="1289" spans="29:30" x14ac:dyDescent="0.25">
      <c r="AC1289" s="23" t="s">
        <v>2327</v>
      </c>
      <c r="AD1289">
        <v>0</v>
      </c>
    </row>
    <row r="1290" spans="29:30" x14ac:dyDescent="0.25">
      <c r="AC1290" s="23" t="s">
        <v>4949</v>
      </c>
      <c r="AD1290">
        <v>0</v>
      </c>
    </row>
    <row r="1291" spans="29:30" x14ac:dyDescent="0.25">
      <c r="AC1291" s="23" t="s">
        <v>1985</v>
      </c>
      <c r="AD1291">
        <v>0</v>
      </c>
    </row>
    <row r="1292" spans="29:30" x14ac:dyDescent="0.25">
      <c r="AC1292" s="23" t="s">
        <v>2456</v>
      </c>
      <c r="AD1292">
        <v>0</v>
      </c>
    </row>
    <row r="1293" spans="29:30" x14ac:dyDescent="0.25">
      <c r="AC1293" s="23" t="s">
        <v>1947</v>
      </c>
      <c r="AD1293">
        <v>0</v>
      </c>
    </row>
    <row r="1294" spans="29:30" x14ac:dyDescent="0.25">
      <c r="AC1294" s="23" t="s">
        <v>2227</v>
      </c>
      <c r="AD1294">
        <v>0</v>
      </c>
    </row>
    <row r="1295" spans="29:30" x14ac:dyDescent="0.25">
      <c r="AC1295" s="23" t="s">
        <v>2003</v>
      </c>
      <c r="AD1295">
        <v>0</v>
      </c>
    </row>
    <row r="1296" spans="29:30" x14ac:dyDescent="0.25">
      <c r="AC1296" s="23" t="s">
        <v>3094</v>
      </c>
      <c r="AD1296">
        <v>0</v>
      </c>
    </row>
    <row r="1297" spans="29:30" x14ac:dyDescent="0.25">
      <c r="AC1297" s="23" t="s">
        <v>1921</v>
      </c>
      <c r="AD1297">
        <v>0</v>
      </c>
    </row>
    <row r="1298" spans="29:30" x14ac:dyDescent="0.25">
      <c r="AC1298" s="23" t="s">
        <v>2411</v>
      </c>
      <c r="AD1298">
        <v>0</v>
      </c>
    </row>
    <row r="1299" spans="29:30" x14ac:dyDescent="0.25">
      <c r="AC1299" s="23" t="s">
        <v>1901</v>
      </c>
      <c r="AD1299">
        <v>0</v>
      </c>
    </row>
    <row r="1300" spans="29:30" x14ac:dyDescent="0.25">
      <c r="AC1300" s="23" t="s">
        <v>4981</v>
      </c>
      <c r="AD1300">
        <v>0</v>
      </c>
    </row>
    <row r="1301" spans="29:30" x14ac:dyDescent="0.25">
      <c r="AC1301" s="23" t="s">
        <v>1999</v>
      </c>
      <c r="AD1301">
        <v>0</v>
      </c>
    </row>
    <row r="1302" spans="29:30" x14ac:dyDescent="0.25">
      <c r="AC1302" s="23" t="s">
        <v>2149</v>
      </c>
      <c r="AD1302">
        <v>0</v>
      </c>
    </row>
    <row r="1303" spans="29:30" x14ac:dyDescent="0.25">
      <c r="AC1303" s="23" t="s">
        <v>4909</v>
      </c>
      <c r="AD1303">
        <v>0</v>
      </c>
    </row>
    <row r="1304" spans="29:30" x14ac:dyDescent="0.25">
      <c r="AC1304" s="23" t="s">
        <v>2215</v>
      </c>
      <c r="AD1304">
        <v>0</v>
      </c>
    </row>
    <row r="1305" spans="29:30" x14ac:dyDescent="0.25">
      <c r="AC1305" s="23" t="s">
        <v>1903</v>
      </c>
      <c r="AD1305">
        <v>0</v>
      </c>
    </row>
    <row r="1306" spans="29:30" x14ac:dyDescent="0.25">
      <c r="AC1306" s="23" t="s">
        <v>2221</v>
      </c>
      <c r="AD1306">
        <v>0</v>
      </c>
    </row>
    <row r="1307" spans="29:30" x14ac:dyDescent="0.25">
      <c r="AC1307" s="23" t="s">
        <v>1875</v>
      </c>
      <c r="AD1307">
        <v>0</v>
      </c>
    </row>
    <row r="1308" spans="29:30" x14ac:dyDescent="0.25">
      <c r="AC1308" s="23" t="s">
        <v>2247</v>
      </c>
      <c r="AD1308">
        <v>0</v>
      </c>
    </row>
    <row r="1309" spans="29:30" x14ac:dyDescent="0.25">
      <c r="AC1309" s="23" t="s">
        <v>1971</v>
      </c>
      <c r="AD1309">
        <v>0</v>
      </c>
    </row>
    <row r="1310" spans="29:30" x14ac:dyDescent="0.25">
      <c r="AC1310" s="23" t="s">
        <v>2345</v>
      </c>
      <c r="AD1310">
        <v>0</v>
      </c>
    </row>
    <row r="1311" spans="29:30" x14ac:dyDescent="0.25">
      <c r="AC1311" s="23" t="s">
        <v>1991</v>
      </c>
      <c r="AD1311">
        <v>0</v>
      </c>
    </row>
    <row r="1312" spans="29:30" x14ac:dyDescent="0.25">
      <c r="AC1312" s="23" t="s">
        <v>2377</v>
      </c>
      <c r="AD1312">
        <v>0</v>
      </c>
    </row>
    <row r="1313" spans="29:30" x14ac:dyDescent="0.25">
      <c r="AC1313" s="23" t="s">
        <v>2001</v>
      </c>
      <c r="AD1313">
        <v>0</v>
      </c>
    </row>
    <row r="1314" spans="29:30" x14ac:dyDescent="0.25">
      <c r="AC1314" s="23" t="s">
        <v>2383</v>
      </c>
      <c r="AD1314">
        <v>0</v>
      </c>
    </row>
    <row r="1315" spans="29:30" x14ac:dyDescent="0.25">
      <c r="AC1315" s="23" t="s">
        <v>1847</v>
      </c>
      <c r="AD1315">
        <v>0</v>
      </c>
    </row>
    <row r="1316" spans="29:30" x14ac:dyDescent="0.25">
      <c r="AC1316" s="23" t="s">
        <v>2369</v>
      </c>
      <c r="AD1316">
        <v>0</v>
      </c>
    </row>
    <row r="1317" spans="29:30" x14ac:dyDescent="0.25">
      <c r="AC1317" s="23" t="s">
        <v>2013</v>
      </c>
      <c r="AD1317">
        <v>0</v>
      </c>
    </row>
    <row r="1318" spans="29:30" x14ac:dyDescent="0.25">
      <c r="AC1318" s="23" t="s">
        <v>2347</v>
      </c>
      <c r="AD1318">
        <v>0</v>
      </c>
    </row>
    <row r="1319" spans="29:30" x14ac:dyDescent="0.25">
      <c r="AC1319" s="23" t="s">
        <v>2019</v>
      </c>
      <c r="AD1319">
        <v>0</v>
      </c>
    </row>
    <row r="1320" spans="29:30" x14ac:dyDescent="0.25">
      <c r="AC1320" s="23" t="s">
        <v>2309</v>
      </c>
      <c r="AD1320">
        <v>0</v>
      </c>
    </row>
    <row r="1321" spans="29:30" x14ac:dyDescent="0.25">
      <c r="AC1321" s="23" t="s">
        <v>2015</v>
      </c>
      <c r="AD1321">
        <v>0</v>
      </c>
    </row>
    <row r="1322" spans="29:30" x14ac:dyDescent="0.25">
      <c r="AC1322" s="23" t="s">
        <v>2255</v>
      </c>
      <c r="AD1322">
        <v>0</v>
      </c>
    </row>
    <row r="1323" spans="29:30" x14ac:dyDescent="0.25">
      <c r="AC1323" s="23" t="s">
        <v>2031</v>
      </c>
      <c r="AD1323">
        <v>0</v>
      </c>
    </row>
    <row r="1324" spans="29:30" x14ac:dyDescent="0.25">
      <c r="AC1324" s="23" t="s">
        <v>2139</v>
      </c>
      <c r="AD1324">
        <v>0</v>
      </c>
    </row>
    <row r="1325" spans="29:30" x14ac:dyDescent="0.25">
      <c r="AC1325" s="23" t="s">
        <v>2033</v>
      </c>
      <c r="AD1325">
        <v>0</v>
      </c>
    </row>
    <row r="1326" spans="29:30" x14ac:dyDescent="0.25">
      <c r="AC1326" s="23" t="s">
        <v>2173</v>
      </c>
      <c r="AD1326">
        <v>0</v>
      </c>
    </row>
    <row r="1327" spans="29:30" x14ac:dyDescent="0.25">
      <c r="AC1327" s="23" t="s">
        <v>2043</v>
      </c>
      <c r="AD1327">
        <v>0</v>
      </c>
    </row>
    <row r="1328" spans="29:30" x14ac:dyDescent="0.25">
      <c r="AC1328" s="23" t="s">
        <v>2229</v>
      </c>
      <c r="AD1328">
        <v>0</v>
      </c>
    </row>
    <row r="1329" spans="29:30" x14ac:dyDescent="0.25">
      <c r="AC1329" s="23" t="s">
        <v>2039</v>
      </c>
      <c r="AD1329">
        <v>0</v>
      </c>
    </row>
    <row r="1330" spans="29:30" x14ac:dyDescent="0.25">
      <c r="AC1330" s="23" t="s">
        <v>2287</v>
      </c>
      <c r="AD1330">
        <v>0</v>
      </c>
    </row>
    <row r="1331" spans="29:30" x14ac:dyDescent="0.25">
      <c r="AC1331" s="23" t="s">
        <v>2045</v>
      </c>
      <c r="AD1331">
        <v>0</v>
      </c>
    </row>
    <row r="1332" spans="29:30" x14ac:dyDescent="0.25">
      <c r="AC1332" s="23" t="s">
        <v>2273</v>
      </c>
      <c r="AD1332">
        <v>0</v>
      </c>
    </row>
    <row r="1333" spans="29:30" x14ac:dyDescent="0.25">
      <c r="AC1333" s="23" t="s">
        <v>2021</v>
      </c>
      <c r="AD1333">
        <v>0</v>
      </c>
    </row>
    <row r="1334" spans="29:30" x14ac:dyDescent="0.25">
      <c r="AC1334" s="23" t="s">
        <v>2275</v>
      </c>
      <c r="AD1334">
        <v>0</v>
      </c>
    </row>
    <row r="1335" spans="29:30" x14ac:dyDescent="0.25">
      <c r="AC1335" s="23" t="s">
        <v>4873</v>
      </c>
      <c r="AD1335">
        <v>0</v>
      </c>
    </row>
    <row r="1336" spans="29:30" x14ac:dyDescent="0.25">
      <c r="AC1336" s="23" t="s">
        <v>4957</v>
      </c>
      <c r="AD1336">
        <v>0</v>
      </c>
    </row>
    <row r="1337" spans="29:30" x14ac:dyDescent="0.25">
      <c r="AC1337" s="23" t="s">
        <v>2035</v>
      </c>
      <c r="AD1337">
        <v>0</v>
      </c>
    </row>
    <row r="1338" spans="29:30" x14ac:dyDescent="0.25">
      <c r="AC1338" s="23" t="s">
        <v>2470</v>
      </c>
      <c r="AD1338">
        <v>0</v>
      </c>
    </row>
    <row r="1339" spans="29:30" x14ac:dyDescent="0.25">
      <c r="AC1339" s="23" t="s">
        <v>4925</v>
      </c>
      <c r="AD1339">
        <v>0</v>
      </c>
    </row>
    <row r="1340" spans="29:30" x14ac:dyDescent="0.25">
      <c r="AC1340" s="23" t="s">
        <v>2449</v>
      </c>
      <c r="AD1340">
        <v>0</v>
      </c>
    </row>
    <row r="1341" spans="29:30" x14ac:dyDescent="0.25">
      <c r="AC1341" s="23" t="s">
        <v>2023</v>
      </c>
      <c r="AD1341">
        <v>0</v>
      </c>
    </row>
    <row r="1342" spans="29:30" x14ac:dyDescent="0.25">
      <c r="AC1342" s="23" t="s">
        <v>2405</v>
      </c>
      <c r="AD1342">
        <v>0</v>
      </c>
    </row>
    <row r="1343" spans="29:30" x14ac:dyDescent="0.25">
      <c r="AC1343" s="23" t="s">
        <v>2047</v>
      </c>
      <c r="AD1343">
        <v>0</v>
      </c>
    </row>
    <row r="1344" spans="29:30" x14ac:dyDescent="0.25">
      <c r="AC1344" s="23" t="s">
        <v>2363</v>
      </c>
      <c r="AD1344">
        <v>0</v>
      </c>
    </row>
    <row r="1345" spans="29:30" x14ac:dyDescent="0.25">
      <c r="AC1345" s="23" t="s">
        <v>2027</v>
      </c>
      <c r="AD1345">
        <v>0</v>
      </c>
    </row>
    <row r="1346" spans="29:30" x14ac:dyDescent="0.25">
      <c r="AC1346" s="23" t="s">
        <v>2508</v>
      </c>
      <c r="AD1346">
        <v>0</v>
      </c>
    </row>
    <row r="1347" spans="29:30" x14ac:dyDescent="0.25">
      <c r="AC1347" s="23" t="s">
        <v>2049</v>
      </c>
      <c r="AD1347">
        <v>0</v>
      </c>
    </row>
    <row r="1348" spans="29:30" x14ac:dyDescent="0.25">
      <c r="AC1348" s="23" t="s">
        <v>2397</v>
      </c>
      <c r="AD1348">
        <v>0</v>
      </c>
    </row>
    <row r="1349" spans="29:30" x14ac:dyDescent="0.25">
      <c r="AC1349" s="23" t="s">
        <v>2041</v>
      </c>
      <c r="AD1349">
        <v>0</v>
      </c>
    </row>
    <row r="1350" spans="29:30" x14ac:dyDescent="0.25">
      <c r="AC1350" s="23" t="s">
        <v>2199</v>
      </c>
      <c r="AD1350">
        <v>0</v>
      </c>
    </row>
    <row r="1351" spans="29:30" x14ac:dyDescent="0.25">
      <c r="AC1351" s="23" t="s">
        <v>4921</v>
      </c>
      <c r="AD1351">
        <v>0</v>
      </c>
    </row>
    <row r="1352" spans="29:30" x14ac:dyDescent="0.25">
      <c r="AC1352" s="23" t="s">
        <v>2209</v>
      </c>
      <c r="AD1352">
        <v>0</v>
      </c>
    </row>
    <row r="1353" spans="29:30" x14ac:dyDescent="0.25">
      <c r="AC1353" s="23" t="s">
        <v>2017</v>
      </c>
      <c r="AD1353">
        <v>0</v>
      </c>
    </row>
    <row r="1354" spans="29:30" x14ac:dyDescent="0.25">
      <c r="AC1354" s="23" t="s">
        <v>2189</v>
      </c>
      <c r="AD1354">
        <v>0</v>
      </c>
    </row>
    <row r="1355" spans="29:30" x14ac:dyDescent="0.25">
      <c r="AC1355" s="23" t="s">
        <v>2053</v>
      </c>
      <c r="AD1355">
        <v>0</v>
      </c>
    </row>
    <row r="1356" spans="29:30" x14ac:dyDescent="0.25">
      <c r="AC1356" s="23" t="s">
        <v>2181</v>
      </c>
      <c r="AD1356">
        <v>0</v>
      </c>
    </row>
    <row r="1357" spans="29:30" x14ac:dyDescent="0.25">
      <c r="AC1357" s="23" t="s">
        <v>2071</v>
      </c>
      <c r="AD1357">
        <v>0</v>
      </c>
    </row>
    <row r="1358" spans="29:30" x14ac:dyDescent="0.25">
      <c r="AC1358" s="23" t="s">
        <v>2249</v>
      </c>
      <c r="AD1358">
        <v>0</v>
      </c>
    </row>
    <row r="1359" spans="29:30" x14ac:dyDescent="0.25">
      <c r="AC1359" s="23" t="s">
        <v>4923</v>
      </c>
      <c r="AD1359">
        <v>0</v>
      </c>
    </row>
    <row r="1360" spans="29:30" x14ac:dyDescent="0.25">
      <c r="AC1360" s="23" t="s">
        <v>2037</v>
      </c>
      <c r="AD1360">
        <v>0</v>
      </c>
    </row>
    <row r="1361" spans="29:30" x14ac:dyDescent="0.25">
      <c r="AC1361" s="23" t="s">
        <v>2051</v>
      </c>
      <c r="AD1361">
        <v>0</v>
      </c>
    </row>
    <row r="1362" spans="29:30" x14ac:dyDescent="0.25">
      <c r="AC1362" s="23" t="s">
        <v>2269</v>
      </c>
      <c r="AD1362">
        <v>0</v>
      </c>
    </row>
    <row r="1363" spans="29:30" x14ac:dyDescent="0.25">
      <c r="AC1363" s="23" t="s">
        <v>2055</v>
      </c>
      <c r="AD1363">
        <v>0</v>
      </c>
    </row>
    <row r="1364" spans="29:30" x14ac:dyDescent="0.25">
      <c r="AC1364" s="23" t="s">
        <v>2235</v>
      </c>
      <c r="AD1364">
        <v>0</v>
      </c>
    </row>
    <row r="1365" spans="29:30" x14ac:dyDescent="0.25">
      <c r="AC1365" s="23" t="s">
        <v>2067</v>
      </c>
      <c r="AD1365">
        <v>0</v>
      </c>
    </row>
    <row r="1366" spans="29:30" x14ac:dyDescent="0.25">
      <c r="AC1366" s="23" t="s">
        <v>4302</v>
      </c>
      <c r="AD1366">
        <v>0</v>
      </c>
    </row>
    <row r="1367" spans="29:30" x14ac:dyDescent="0.25">
      <c r="AC1367" s="23" t="s">
        <v>2057</v>
      </c>
      <c r="AD1367">
        <v>0</v>
      </c>
    </row>
    <row r="1368" spans="29:30" x14ac:dyDescent="0.25">
      <c r="AC1368" s="23" t="s">
        <v>4939</v>
      </c>
      <c r="AD1368">
        <v>0</v>
      </c>
    </row>
    <row r="1369" spans="29:30" x14ac:dyDescent="0.25">
      <c r="AC1369" s="23" t="s">
        <v>4919</v>
      </c>
      <c r="AD1369">
        <v>0</v>
      </c>
    </row>
    <row r="1370" spans="29:30" x14ac:dyDescent="0.25">
      <c r="AC1370" s="23" t="s">
        <v>2277</v>
      </c>
      <c r="AD1370">
        <v>0</v>
      </c>
    </row>
    <row r="1371" spans="29:30" x14ac:dyDescent="0.25">
      <c r="AC1371" s="23" t="s">
        <v>2009</v>
      </c>
      <c r="AD1371">
        <v>0</v>
      </c>
    </row>
    <row r="1372" spans="29:30" x14ac:dyDescent="0.25">
      <c r="AC1372" s="23" t="s">
        <v>2217</v>
      </c>
      <c r="AD1372">
        <v>0</v>
      </c>
    </row>
    <row r="1373" spans="29:30" x14ac:dyDescent="0.25">
      <c r="AC1373" s="23" t="s">
        <v>2007</v>
      </c>
      <c r="AD1373">
        <v>0</v>
      </c>
    </row>
    <row r="1374" spans="29:30" x14ac:dyDescent="0.25">
      <c r="AC1374" s="23" t="s">
        <v>2283</v>
      </c>
      <c r="AD1374">
        <v>0</v>
      </c>
    </row>
    <row r="1375" spans="29:30" x14ac:dyDescent="0.25">
      <c r="AC1375" s="23" t="s">
        <v>1572</v>
      </c>
      <c r="AD1375">
        <v>0</v>
      </c>
    </row>
    <row r="1376" spans="29:30" x14ac:dyDescent="0.25">
      <c r="AC1376" s="23" t="s">
        <v>2285</v>
      </c>
      <c r="AD1376">
        <v>0</v>
      </c>
    </row>
    <row r="1377" spans="29:30" x14ac:dyDescent="0.25">
      <c r="AC1377" s="23" t="s">
        <v>2059</v>
      </c>
      <c r="AD1377">
        <v>0</v>
      </c>
    </row>
    <row r="1378" spans="29:30" x14ac:dyDescent="0.25">
      <c r="AC1378" s="23" t="s">
        <v>2245</v>
      </c>
      <c r="AD1378">
        <v>0</v>
      </c>
    </row>
    <row r="1379" spans="29:30" x14ac:dyDescent="0.25">
      <c r="AC1379" s="23" t="s">
        <v>2061</v>
      </c>
      <c r="AD1379">
        <v>0</v>
      </c>
    </row>
    <row r="1380" spans="29:30" x14ac:dyDescent="0.25">
      <c r="AC1380" s="23" t="s">
        <v>2291</v>
      </c>
      <c r="AD1380">
        <v>0</v>
      </c>
    </row>
    <row r="1381" spans="29:30" x14ac:dyDescent="0.25">
      <c r="AC1381" s="23" t="s">
        <v>2073</v>
      </c>
      <c r="AD1381">
        <v>0</v>
      </c>
    </row>
    <row r="1382" spans="29:30" x14ac:dyDescent="0.25">
      <c r="AC1382" s="23" t="s">
        <v>2329</v>
      </c>
      <c r="AD1382">
        <v>0</v>
      </c>
    </row>
    <row r="1383" spans="29:30" x14ac:dyDescent="0.25">
      <c r="AC1383" s="23" t="s">
        <v>2065</v>
      </c>
      <c r="AD1383">
        <v>0</v>
      </c>
    </row>
    <row r="1384" spans="29:30" x14ac:dyDescent="0.25">
      <c r="AC1384" s="23" t="s">
        <v>2297</v>
      </c>
      <c r="AD1384">
        <v>0</v>
      </c>
    </row>
    <row r="1385" spans="29:30" x14ac:dyDescent="0.25">
      <c r="AC1385" s="23" t="s">
        <v>2069</v>
      </c>
      <c r="AD1385">
        <v>0</v>
      </c>
    </row>
    <row r="1386" spans="29:30" x14ac:dyDescent="0.25">
      <c r="AC1386" s="23" t="s">
        <v>2341</v>
      </c>
      <c r="AD1386">
        <v>0</v>
      </c>
    </row>
    <row r="1387" spans="29:30" x14ac:dyDescent="0.25">
      <c r="AC1387" s="23" t="s">
        <v>2075</v>
      </c>
      <c r="AD1387">
        <v>0</v>
      </c>
    </row>
    <row r="1388" spans="29:30" x14ac:dyDescent="0.25">
      <c r="AC1388" s="23" t="s">
        <v>4951</v>
      </c>
      <c r="AD1388">
        <v>0</v>
      </c>
    </row>
    <row r="1389" spans="29:30" x14ac:dyDescent="0.25">
      <c r="AC1389" s="23" t="s">
        <v>2077</v>
      </c>
      <c r="AD1389">
        <v>0</v>
      </c>
    </row>
    <row r="1390" spans="29:30" x14ac:dyDescent="0.25">
      <c r="AC1390" s="23" t="s">
        <v>2381</v>
      </c>
      <c r="AD1390">
        <v>0</v>
      </c>
    </row>
    <row r="1391" spans="29:30" x14ac:dyDescent="0.25">
      <c r="AC1391" s="23" t="s">
        <v>2115</v>
      </c>
      <c r="AD1391">
        <v>0</v>
      </c>
    </row>
    <row r="1392" spans="29:30" x14ac:dyDescent="0.25">
      <c r="AC1392" s="23" t="s">
        <v>2355</v>
      </c>
      <c r="AD1392">
        <v>0</v>
      </c>
    </row>
    <row r="1393" spans="29:30" x14ac:dyDescent="0.25">
      <c r="AC1393" s="23" t="s">
        <v>2079</v>
      </c>
      <c r="AD1393">
        <v>0</v>
      </c>
    </row>
    <row r="1394" spans="29:30" x14ac:dyDescent="0.25">
      <c r="AC1394" s="23" t="s">
        <v>2548</v>
      </c>
      <c r="AD1394">
        <v>0</v>
      </c>
    </row>
    <row r="1395" spans="29:30" x14ac:dyDescent="0.25">
      <c r="AC1395" s="23" t="s">
        <v>2081</v>
      </c>
      <c r="AD1395">
        <v>0</v>
      </c>
    </row>
    <row r="1396" spans="29:30" x14ac:dyDescent="0.25">
      <c r="AC1396" s="23" t="s">
        <v>2472</v>
      </c>
      <c r="AD1396">
        <v>0</v>
      </c>
    </row>
    <row r="1397" spans="29:30" x14ac:dyDescent="0.25">
      <c r="AC1397" s="23" t="s">
        <v>2129</v>
      </c>
      <c r="AD1397">
        <v>0</v>
      </c>
    </row>
    <row r="1398" spans="29:30" x14ac:dyDescent="0.25">
      <c r="AC1398" s="23" t="s">
        <v>2409</v>
      </c>
      <c r="AD1398">
        <v>0</v>
      </c>
    </row>
    <row r="1399" spans="29:30" x14ac:dyDescent="0.25">
      <c r="AC1399" s="23" t="s">
        <v>4927</v>
      </c>
      <c r="AD1399">
        <v>0</v>
      </c>
    </row>
    <row r="1400" spans="29:30" x14ac:dyDescent="0.25">
      <c r="AC1400" s="23" t="s">
        <v>2361</v>
      </c>
      <c r="AD1400">
        <v>0</v>
      </c>
    </row>
    <row r="1401" spans="29:30" x14ac:dyDescent="0.25">
      <c r="AC1401" s="23" t="s">
        <v>4933</v>
      </c>
      <c r="AD1401">
        <v>0</v>
      </c>
    </row>
    <row r="1402" spans="29:30" x14ac:dyDescent="0.25">
      <c r="AC1402" s="23" t="s">
        <v>2387</v>
      </c>
      <c r="AD1402">
        <v>0</v>
      </c>
    </row>
    <row r="1403" spans="29:30" x14ac:dyDescent="0.25">
      <c r="AC1403" s="23" t="s">
        <v>2117</v>
      </c>
      <c r="AD1403">
        <v>0</v>
      </c>
    </row>
    <row r="1404" spans="29:30" x14ac:dyDescent="0.25">
      <c r="AC1404" s="23" t="s">
        <v>2367</v>
      </c>
      <c r="AD1404">
        <v>0</v>
      </c>
    </row>
    <row r="1405" spans="29:30" x14ac:dyDescent="0.25">
      <c r="AC1405" s="23" t="s">
        <v>2123</v>
      </c>
      <c r="AD1405">
        <v>0</v>
      </c>
    </row>
    <row r="1406" spans="29:30" x14ac:dyDescent="0.25">
      <c r="AC1406" s="23" t="s">
        <v>2811</v>
      </c>
      <c r="AD1406">
        <v>0</v>
      </c>
    </row>
    <row r="1407" spans="29:30" x14ac:dyDescent="0.25">
      <c r="AC1407" s="23" t="s">
        <v>2083</v>
      </c>
      <c r="AD1407">
        <v>0</v>
      </c>
    </row>
    <row r="1408" spans="29:30" x14ac:dyDescent="0.25">
      <c r="AC1408" s="23" t="s">
        <v>2550</v>
      </c>
      <c r="AD1408">
        <v>0</v>
      </c>
    </row>
    <row r="1409" spans="29:30" x14ac:dyDescent="0.25">
      <c r="AC1409" s="23" t="s">
        <v>2095</v>
      </c>
      <c r="AD1409">
        <v>0</v>
      </c>
    </row>
    <row r="1410" spans="29:30" x14ac:dyDescent="0.25">
      <c r="AC1410" s="23" t="s">
        <v>3493</v>
      </c>
      <c r="AD1410">
        <v>0</v>
      </c>
    </row>
    <row r="1411" spans="29:30" x14ac:dyDescent="0.25">
      <c r="AC1411" s="23" t="s">
        <v>2099</v>
      </c>
      <c r="AD1411">
        <v>0</v>
      </c>
    </row>
    <row r="1412" spans="29:30" x14ac:dyDescent="0.25">
      <c r="AC1412" s="23" t="s">
        <v>2544</v>
      </c>
      <c r="AD1412">
        <v>0</v>
      </c>
    </row>
    <row r="1413" spans="29:30" x14ac:dyDescent="0.25">
      <c r="AC1413" s="23" t="s">
        <v>2125</v>
      </c>
      <c r="AD1413">
        <v>0</v>
      </c>
    </row>
    <row r="1414" spans="29:30" x14ac:dyDescent="0.25">
      <c r="AC1414" s="23" t="s">
        <v>2427</v>
      </c>
      <c r="AD1414">
        <v>0</v>
      </c>
    </row>
    <row r="1415" spans="29:30" x14ac:dyDescent="0.25">
      <c r="AC1415" s="23" t="s">
        <v>2089</v>
      </c>
      <c r="AD1415">
        <v>0</v>
      </c>
    </row>
    <row r="1416" spans="29:30" x14ac:dyDescent="0.25">
      <c r="AC1416" s="23" t="s">
        <v>2315</v>
      </c>
      <c r="AD1416">
        <v>0</v>
      </c>
    </row>
    <row r="1417" spans="29:30" x14ac:dyDescent="0.25">
      <c r="AC1417" s="23" t="s">
        <v>2097</v>
      </c>
      <c r="AD1417">
        <v>0</v>
      </c>
    </row>
    <row r="1418" spans="29:30" x14ac:dyDescent="0.25">
      <c r="AC1418" s="23" t="s">
        <v>2201</v>
      </c>
      <c r="AD1418">
        <v>0</v>
      </c>
    </row>
    <row r="1419" spans="29:30" x14ac:dyDescent="0.25">
      <c r="AC1419" s="23" t="s">
        <v>2101</v>
      </c>
      <c r="AD1419">
        <v>0</v>
      </c>
    </row>
    <row r="1420" spans="29:30" x14ac:dyDescent="0.25">
      <c r="AC1420" s="23" t="s">
        <v>2211</v>
      </c>
      <c r="AD1420">
        <v>0</v>
      </c>
    </row>
    <row r="1421" spans="29:30" x14ac:dyDescent="0.25">
      <c r="AC1421" s="23" t="s">
        <v>2087</v>
      </c>
      <c r="AD1421">
        <v>0</v>
      </c>
    </row>
    <row r="1422" spans="29:30" x14ac:dyDescent="0.25">
      <c r="AC1422" s="23" t="s">
        <v>2213</v>
      </c>
      <c r="AD1422">
        <v>0</v>
      </c>
    </row>
    <row r="1423" spans="29:30" x14ac:dyDescent="0.25">
      <c r="AC1423" s="23" t="s">
        <v>2103</v>
      </c>
      <c r="AD1423">
        <v>0</v>
      </c>
    </row>
    <row r="1424" spans="29:30" x14ac:dyDescent="0.25">
      <c r="AC1424" s="23" t="s">
        <v>2219</v>
      </c>
      <c r="AD1424">
        <v>0</v>
      </c>
    </row>
    <row r="1425" spans="29:30" x14ac:dyDescent="0.25">
      <c r="AC1425" s="23" t="s">
        <v>2105</v>
      </c>
      <c r="AD1425">
        <v>0</v>
      </c>
    </row>
    <row r="1426" spans="29:30" x14ac:dyDescent="0.25">
      <c r="AC1426" s="23" t="s">
        <v>2223</v>
      </c>
      <c r="AD1426">
        <v>0</v>
      </c>
    </row>
    <row r="1427" spans="29:30" x14ac:dyDescent="0.25">
      <c r="AC1427" s="23" t="s">
        <v>2111</v>
      </c>
      <c r="AD1427">
        <v>0</v>
      </c>
    </row>
    <row r="1428" spans="29:30" x14ac:dyDescent="0.25">
      <c r="AC1428" s="23" t="s">
        <v>4945</v>
      </c>
      <c r="AD1428">
        <v>0</v>
      </c>
    </row>
    <row r="1429" spans="29:30" x14ac:dyDescent="0.25">
      <c r="AC1429" s="23" t="s">
        <v>2085</v>
      </c>
      <c r="AD1429">
        <v>0</v>
      </c>
    </row>
    <row r="1430" spans="29:30" x14ac:dyDescent="0.25">
      <c r="AC1430" s="23" t="s">
        <v>4947</v>
      </c>
      <c r="AD1430">
        <v>0</v>
      </c>
    </row>
    <row r="1431" spans="29:30" x14ac:dyDescent="0.25">
      <c r="AC1431" s="23" t="s">
        <v>2107</v>
      </c>
      <c r="AD1431">
        <v>0</v>
      </c>
    </row>
    <row r="1432" spans="29:30" x14ac:dyDescent="0.25">
      <c r="AC1432" s="23" t="s">
        <v>4937</v>
      </c>
      <c r="AD1432">
        <v>0</v>
      </c>
    </row>
    <row r="1433" spans="29:30" x14ac:dyDescent="0.25">
      <c r="AC1433" s="23" t="s">
        <v>4929</v>
      </c>
      <c r="AD1433">
        <v>0</v>
      </c>
    </row>
    <row r="1434" spans="29:30" x14ac:dyDescent="0.25">
      <c r="AC1434" s="23" t="s">
        <v>2177</v>
      </c>
      <c r="AD1434">
        <v>0</v>
      </c>
    </row>
    <row r="1435" spans="29:30" x14ac:dyDescent="0.25">
      <c r="AC1435" s="23" t="s">
        <v>2093</v>
      </c>
      <c r="AD1435">
        <v>0</v>
      </c>
    </row>
    <row r="1436" spans="29:30" x14ac:dyDescent="0.25">
      <c r="AC1436" s="23" t="s">
        <v>2167</v>
      </c>
      <c r="AD1436">
        <v>0</v>
      </c>
    </row>
    <row r="1437" spans="29:30" x14ac:dyDescent="0.25">
      <c r="AC1437" s="23" t="s">
        <v>2127</v>
      </c>
      <c r="AD1437">
        <v>0</v>
      </c>
    </row>
    <row r="1438" spans="29:30" x14ac:dyDescent="0.25">
      <c r="AC1438" s="23" t="s">
        <v>2241</v>
      </c>
      <c r="AD1438">
        <v>0</v>
      </c>
    </row>
    <row r="1439" spans="29:30" x14ac:dyDescent="0.25">
      <c r="AC1439" s="23" t="s">
        <v>2131</v>
      </c>
      <c r="AD1439">
        <v>0</v>
      </c>
    </row>
    <row r="1440" spans="29:30" x14ac:dyDescent="0.25">
      <c r="AC1440" s="23" t="s">
        <v>2203</v>
      </c>
      <c r="AD1440">
        <v>0</v>
      </c>
    </row>
    <row r="1441" spans="29:30" x14ac:dyDescent="0.25">
      <c r="AC1441" s="23" t="s">
        <v>2109</v>
      </c>
      <c r="AD1441">
        <v>0</v>
      </c>
    </row>
    <row r="1442" spans="29:30" x14ac:dyDescent="0.25">
      <c r="AC1442" s="23" t="s">
        <v>2225</v>
      </c>
      <c r="AD1442">
        <v>0</v>
      </c>
    </row>
    <row r="1443" spans="29:30" x14ac:dyDescent="0.25">
      <c r="AC1443" s="23" t="s">
        <v>4931</v>
      </c>
      <c r="AD1443">
        <v>0</v>
      </c>
    </row>
    <row r="1444" spans="29:30" x14ac:dyDescent="0.25">
      <c r="AC1444" s="23" t="s">
        <v>2311</v>
      </c>
      <c r="AD1444">
        <v>0</v>
      </c>
    </row>
    <row r="1445" spans="29:30" x14ac:dyDescent="0.25">
      <c r="AC1445" s="23" t="s">
        <v>2121</v>
      </c>
      <c r="AD1445">
        <v>0</v>
      </c>
    </row>
    <row r="1446" spans="29:30" x14ac:dyDescent="0.25">
      <c r="AC1446" s="23" t="s">
        <v>4300</v>
      </c>
      <c r="AD1446">
        <v>0</v>
      </c>
    </row>
    <row r="1447" spans="29:30" x14ac:dyDescent="0.25">
      <c r="AC1447" s="23" t="s">
        <v>2119</v>
      </c>
      <c r="AD1447">
        <v>0</v>
      </c>
    </row>
    <row r="1448" spans="29:30" x14ac:dyDescent="0.25">
      <c r="AC1448" s="23" t="s">
        <v>2205</v>
      </c>
      <c r="AD1448">
        <v>0</v>
      </c>
    </row>
    <row r="1449" spans="29:30" x14ac:dyDescent="0.25">
      <c r="AC1449" s="23" t="s">
        <v>5085</v>
      </c>
      <c r="AD1449">
        <v>0</v>
      </c>
    </row>
    <row r="1450" spans="29:30" x14ac:dyDescent="0.25">
      <c r="AC1450" s="23" t="s">
        <v>2179</v>
      </c>
      <c r="AD1450">
        <v>0</v>
      </c>
    </row>
    <row r="1451" spans="29:30" x14ac:dyDescent="0.25">
      <c r="AC1451" s="23" t="s">
        <v>2113</v>
      </c>
      <c r="AD1451">
        <v>0</v>
      </c>
    </row>
    <row r="1452" spans="29:30" x14ac:dyDescent="0.25">
      <c r="AC1452" s="23" t="s">
        <v>2313</v>
      </c>
      <c r="AD1452">
        <v>0</v>
      </c>
    </row>
    <row r="1453" spans="29:30" x14ac:dyDescent="0.25">
      <c r="AC1453" s="23" t="s">
        <v>2091</v>
      </c>
      <c r="AD1453">
        <v>0</v>
      </c>
    </row>
    <row r="1454" spans="29:30" x14ac:dyDescent="0.25">
      <c r="AC1454" s="23" t="s">
        <v>2335</v>
      </c>
      <c r="AD1454">
        <v>0</v>
      </c>
    </row>
    <row r="1455" spans="29:30" x14ac:dyDescent="0.25">
      <c r="AC1455" s="23" t="s">
        <v>2135</v>
      </c>
      <c r="AD1455">
        <v>0</v>
      </c>
    </row>
    <row r="1456" spans="29:30" x14ac:dyDescent="0.25">
      <c r="AC1456" s="23" t="s">
        <v>2301</v>
      </c>
      <c r="AD1456">
        <v>0</v>
      </c>
    </row>
    <row r="1457" spans="29:30" x14ac:dyDescent="0.25">
      <c r="AC1457" s="23" t="s">
        <v>4935</v>
      </c>
      <c r="AD1457">
        <v>0</v>
      </c>
    </row>
    <row r="1458" spans="29:30" x14ac:dyDescent="0.25">
      <c r="AC1458" s="23" t="s">
        <v>2175</v>
      </c>
      <c r="AD1458">
        <v>0</v>
      </c>
    </row>
    <row r="1459" spans="29:30" x14ac:dyDescent="0.25">
      <c r="AC1459" s="23" t="s">
        <v>2137</v>
      </c>
      <c r="AD1459">
        <v>0</v>
      </c>
    </row>
    <row r="1460" spans="29:30" x14ac:dyDescent="0.25">
      <c r="AC1460" s="23" t="s">
        <v>2183</v>
      </c>
      <c r="AD1460">
        <v>0</v>
      </c>
    </row>
    <row r="1461" spans="29:30" x14ac:dyDescent="0.25">
      <c r="AC1461" s="23" t="s">
        <v>2187</v>
      </c>
      <c r="AD1461">
        <v>0</v>
      </c>
    </row>
    <row r="1462" spans="29:30" x14ac:dyDescent="0.25">
      <c r="AC1462" s="23" t="s">
        <v>2281</v>
      </c>
      <c r="AD1462">
        <v>0</v>
      </c>
    </row>
    <row r="1463" spans="29:30" x14ac:dyDescent="0.25">
      <c r="AC1463" s="23" t="s">
        <v>2207</v>
      </c>
      <c r="AD1463">
        <v>0</v>
      </c>
    </row>
    <row r="1464" spans="29:30" x14ac:dyDescent="0.25">
      <c r="AC1464" s="23" t="s">
        <v>2239</v>
      </c>
      <c r="AD1464">
        <v>0</v>
      </c>
    </row>
    <row r="1465" spans="29:30" x14ac:dyDescent="0.25">
      <c r="AC1465" s="23" t="s">
        <v>2143</v>
      </c>
      <c r="AD1465">
        <v>0</v>
      </c>
    </row>
    <row r="1466" spans="29:30" x14ac:dyDescent="0.25">
      <c r="AC1466" s="23" t="s">
        <v>2191</v>
      </c>
      <c r="AD1466">
        <v>0</v>
      </c>
    </row>
    <row r="1467" spans="29:30" x14ac:dyDescent="0.25">
      <c r="AC1467" s="23" t="s">
        <v>2259</v>
      </c>
      <c r="AD1467">
        <v>0</v>
      </c>
    </row>
    <row r="1468" spans="29:30" x14ac:dyDescent="0.25">
      <c r="AC1468" s="23" t="s">
        <v>2289</v>
      </c>
      <c r="AD1468">
        <v>0</v>
      </c>
    </row>
    <row r="1469" spans="29:30" x14ac:dyDescent="0.25">
      <c r="AC1469" s="23" t="s">
        <v>2233</v>
      </c>
      <c r="AD1469">
        <v>0</v>
      </c>
    </row>
    <row r="1470" spans="29:30" x14ac:dyDescent="0.25">
      <c r="AC1470" s="23" t="s">
        <v>2243</v>
      </c>
      <c r="AD1470">
        <v>0</v>
      </c>
    </row>
    <row r="1471" spans="29:30" x14ac:dyDescent="0.25">
      <c r="AC1471" s="23" t="s">
        <v>2145</v>
      </c>
      <c r="AD1471">
        <v>0</v>
      </c>
    </row>
    <row r="1472" spans="29:30" x14ac:dyDescent="0.25">
      <c r="AC1472" s="23" t="s">
        <v>2159</v>
      </c>
      <c r="AD1472">
        <v>0</v>
      </c>
    </row>
    <row r="1473" spans="29:30" x14ac:dyDescent="0.25">
      <c r="AC1473" s="23" t="s">
        <v>2169</v>
      </c>
      <c r="AD1473">
        <v>0</v>
      </c>
    </row>
    <row r="1474" spans="29:30" x14ac:dyDescent="0.25">
      <c r="AC1474" s="23" t="s">
        <v>419</v>
      </c>
      <c r="AD1474">
        <v>0</v>
      </c>
    </row>
    <row r="1475" spans="29:30" x14ac:dyDescent="0.25">
      <c r="AC1475" s="23" t="s">
        <v>2257</v>
      </c>
      <c r="AD1475">
        <v>0</v>
      </c>
    </row>
    <row r="1476" spans="29:30" x14ac:dyDescent="0.25">
      <c r="AC1476" s="23" t="s">
        <v>2325</v>
      </c>
      <c r="AD1476">
        <v>0</v>
      </c>
    </row>
    <row r="1477" spans="29:30" x14ac:dyDescent="0.25">
      <c r="AC1477" s="23" t="s">
        <v>2141</v>
      </c>
      <c r="AD1477">
        <v>0</v>
      </c>
    </row>
    <row r="1478" spans="29:30" x14ac:dyDescent="0.25">
      <c r="AC1478" s="23" t="s">
        <v>2323</v>
      </c>
      <c r="AD1478">
        <v>0</v>
      </c>
    </row>
    <row r="1479" spans="29:30" x14ac:dyDescent="0.25">
      <c r="AC1479" s="23" t="s">
        <v>2165</v>
      </c>
      <c r="AD1479">
        <v>0</v>
      </c>
    </row>
    <row r="1480" spans="29:30" x14ac:dyDescent="0.25">
      <c r="AC1480" s="23" t="s">
        <v>2331</v>
      </c>
      <c r="AD1480">
        <v>0</v>
      </c>
    </row>
    <row r="1481" spans="29:30" x14ac:dyDescent="0.25">
      <c r="AC1481" s="23" t="s">
        <v>3471</v>
      </c>
      <c r="AD1481">
        <v>0</v>
      </c>
    </row>
    <row r="1482" spans="29:30" x14ac:dyDescent="0.25">
      <c r="AC1482" s="23" t="s">
        <v>3483</v>
      </c>
      <c r="AD1482">
        <v>0</v>
      </c>
    </row>
    <row r="1483" spans="29:30" x14ac:dyDescent="0.25">
      <c r="AC1483" s="23" t="s">
        <v>2251</v>
      </c>
      <c r="AD1483">
        <v>0</v>
      </c>
    </row>
    <row r="1484" spans="29:30" x14ac:dyDescent="0.25">
      <c r="AC1484" s="23" t="s">
        <v>2333</v>
      </c>
      <c r="AD1484">
        <v>0</v>
      </c>
    </row>
    <row r="1485" spans="29:30" x14ac:dyDescent="0.25">
      <c r="AC1485" s="23" t="s">
        <v>2237</v>
      </c>
      <c r="AD1485">
        <v>0</v>
      </c>
    </row>
    <row r="1486" spans="29:30" x14ac:dyDescent="0.25">
      <c r="AC1486" s="23" t="s">
        <v>2163</v>
      </c>
      <c r="AD1486">
        <v>0</v>
      </c>
    </row>
    <row r="1487" spans="29:30" x14ac:dyDescent="0.25">
      <c r="AC1487" s="23" t="s">
        <v>2253</v>
      </c>
      <c r="AD1487">
        <v>0</v>
      </c>
    </row>
    <row r="1488" spans="29:30" x14ac:dyDescent="0.25">
      <c r="AC1488" s="23" t="s">
        <v>2321</v>
      </c>
      <c r="AD1488">
        <v>0</v>
      </c>
    </row>
    <row r="1489" spans="29:30" x14ac:dyDescent="0.25">
      <c r="AC1489" s="23" t="s">
        <v>2293</v>
      </c>
      <c r="AD1489">
        <v>0</v>
      </c>
    </row>
    <row r="1490" spans="29:30" x14ac:dyDescent="0.25">
      <c r="AC1490" s="23" t="s">
        <v>2343</v>
      </c>
      <c r="AD1490">
        <v>0</v>
      </c>
    </row>
    <row r="1491" spans="29:30" x14ac:dyDescent="0.25">
      <c r="AC1491" s="23" t="s">
        <v>2147</v>
      </c>
      <c r="AD1491">
        <v>0</v>
      </c>
    </row>
    <row r="1492" spans="29:30" x14ac:dyDescent="0.25">
      <c r="AC1492" s="23" t="s">
        <v>2349</v>
      </c>
      <c r="AD1492">
        <v>0</v>
      </c>
    </row>
    <row r="1493" spans="29:30" x14ac:dyDescent="0.25">
      <c r="AC1493" s="23" t="s">
        <v>2161</v>
      </c>
      <c r="AD1493">
        <v>0</v>
      </c>
    </row>
    <row r="1494" spans="29:30" x14ac:dyDescent="0.25">
      <c r="AC1494" s="23" t="s">
        <v>2353</v>
      </c>
      <c r="AD1494">
        <v>0</v>
      </c>
    </row>
    <row r="1495" spans="29:30" x14ac:dyDescent="0.25">
      <c r="AC1495" s="23" t="s">
        <v>2265</v>
      </c>
      <c r="AD1495">
        <v>0</v>
      </c>
    </row>
    <row r="1496" spans="29:30" x14ac:dyDescent="0.25">
      <c r="AC1496" s="23" t="s">
        <v>2530</v>
      </c>
      <c r="AD1496">
        <v>0</v>
      </c>
    </row>
    <row r="1497" spans="29:30" x14ac:dyDescent="0.25">
      <c r="AC1497" s="23" t="s">
        <v>2151</v>
      </c>
      <c r="AD1497">
        <v>0</v>
      </c>
    </row>
    <row r="1498" spans="29:30" x14ac:dyDescent="0.25">
      <c r="AC1498" s="23" t="s">
        <v>2419</v>
      </c>
      <c r="AD1498">
        <v>0</v>
      </c>
    </row>
    <row r="1499" spans="29:30" x14ac:dyDescent="0.25">
      <c r="AC1499" s="23" t="s">
        <v>4941</v>
      </c>
      <c r="AD1499">
        <v>0</v>
      </c>
    </row>
    <row r="1500" spans="29:30" x14ac:dyDescent="0.25">
      <c r="AC1500" s="23" t="s">
        <v>4961</v>
      </c>
      <c r="AD1500">
        <v>0</v>
      </c>
    </row>
    <row r="1501" spans="29:30" x14ac:dyDescent="0.25">
      <c r="AC1501" s="23" t="s">
        <v>2231</v>
      </c>
      <c r="AD1501">
        <v>0</v>
      </c>
    </row>
    <row r="1502" spans="29:30" x14ac:dyDescent="0.25">
      <c r="AC1502" s="23" t="s">
        <v>2407</v>
      </c>
      <c r="AD1502">
        <v>0</v>
      </c>
    </row>
    <row r="1503" spans="29:30" x14ac:dyDescent="0.25">
      <c r="AC1503" s="23" t="s">
        <v>2339</v>
      </c>
      <c r="AD1503">
        <v>0</v>
      </c>
    </row>
    <row r="1504" spans="29:30" x14ac:dyDescent="0.25">
      <c r="AC1504" s="23" t="s">
        <v>2413</v>
      </c>
      <c r="AD1504">
        <v>0</v>
      </c>
    </row>
    <row r="1505" spans="29:30" x14ac:dyDescent="0.25">
      <c r="AC1505" s="23" t="s">
        <v>2279</v>
      </c>
      <c r="AD1505">
        <v>0</v>
      </c>
    </row>
    <row r="1506" spans="29:30" x14ac:dyDescent="0.25">
      <c r="AC1506" s="23" t="s">
        <v>2197</v>
      </c>
      <c r="AD1506">
        <v>0</v>
      </c>
    </row>
    <row r="1507" spans="29:30" x14ac:dyDescent="0.25">
      <c r="AC1507" s="23" t="s">
        <v>2153</v>
      </c>
      <c r="AD1507">
        <v>0</v>
      </c>
    </row>
    <row r="1508" spans="29:30" x14ac:dyDescent="0.25">
      <c r="AC1508" s="23" t="s">
        <v>2454</v>
      </c>
      <c r="AD1508">
        <v>0</v>
      </c>
    </row>
    <row r="1509" spans="29:30" x14ac:dyDescent="0.25">
      <c r="AC1509" s="23" t="s">
        <v>4943</v>
      </c>
      <c r="AD1509">
        <v>0</v>
      </c>
    </row>
    <row r="1510" spans="29:30" x14ac:dyDescent="0.25">
      <c r="AC1510" s="23" t="s">
        <v>2554</v>
      </c>
      <c r="AD1510">
        <v>0</v>
      </c>
    </row>
    <row r="1511" spans="29:30" x14ac:dyDescent="0.25">
      <c r="AC1511" s="23" t="s">
        <v>2155</v>
      </c>
      <c r="AD1511">
        <v>0</v>
      </c>
    </row>
    <row r="1512" spans="29:30" x14ac:dyDescent="0.25">
      <c r="AC1512" s="23" t="s">
        <v>2476</v>
      </c>
      <c r="AD1512">
        <v>0</v>
      </c>
    </row>
    <row r="1513" spans="29:30" x14ac:dyDescent="0.25">
      <c r="AC1513" s="23" t="s">
        <v>2337</v>
      </c>
      <c r="AD1513">
        <v>0</v>
      </c>
    </row>
    <row r="1514" spans="29:30" x14ac:dyDescent="0.25">
      <c r="AC1514" s="23" t="s">
        <v>2359</v>
      </c>
      <c r="AD1514">
        <v>0</v>
      </c>
    </row>
    <row r="1515" spans="29:30" x14ac:dyDescent="0.25">
      <c r="AC1515" s="23" t="s">
        <v>2295</v>
      </c>
      <c r="AD1515">
        <v>0</v>
      </c>
    </row>
    <row r="1516" spans="29:30" x14ac:dyDescent="0.25">
      <c r="AC1516" s="23" t="s">
        <v>2365</v>
      </c>
      <c r="AD1516">
        <v>0</v>
      </c>
    </row>
    <row r="1517" spans="29:30" x14ac:dyDescent="0.25">
      <c r="AC1517" s="23" t="s">
        <v>3467</v>
      </c>
      <c r="AD1517">
        <v>0</v>
      </c>
    </row>
    <row r="1518" spans="29:30" x14ac:dyDescent="0.25">
      <c r="AC1518" s="23" t="s">
        <v>2480</v>
      </c>
      <c r="AD1518">
        <v>0</v>
      </c>
    </row>
    <row r="1519" spans="29:30" x14ac:dyDescent="0.25">
      <c r="AC1519" s="23" t="s">
        <v>4955</v>
      </c>
      <c r="AD1519">
        <v>0</v>
      </c>
    </row>
    <row r="1520" spans="29:30" x14ac:dyDescent="0.25">
      <c r="AC1520" s="23" t="s">
        <v>2351</v>
      </c>
      <c r="AD1520">
        <v>0</v>
      </c>
    </row>
    <row r="1521" spans="29:30" x14ac:dyDescent="0.25">
      <c r="AC1521" s="23" t="s">
        <v>2261</v>
      </c>
      <c r="AD1521">
        <v>0</v>
      </c>
    </row>
    <row r="1522" spans="29:30" x14ac:dyDescent="0.25">
      <c r="AC1522" s="23" t="s">
        <v>2417</v>
      </c>
      <c r="AD1522">
        <v>0</v>
      </c>
    </row>
    <row r="1523" spans="29:30" x14ac:dyDescent="0.25">
      <c r="AC1523" s="23" t="s">
        <v>2299</v>
      </c>
      <c r="AD1523">
        <v>0</v>
      </c>
    </row>
    <row r="1524" spans="29:30" x14ac:dyDescent="0.25">
      <c r="AC1524" s="23" t="s">
        <v>4967</v>
      </c>
      <c r="AD1524">
        <v>0</v>
      </c>
    </row>
    <row r="1525" spans="29:30" x14ac:dyDescent="0.25">
      <c r="AC1525" s="23" t="s">
        <v>2271</v>
      </c>
      <c r="AD1525">
        <v>0</v>
      </c>
    </row>
    <row r="1526" spans="29:30" x14ac:dyDescent="0.25">
      <c r="AC1526" s="23" t="s">
        <v>2532</v>
      </c>
      <c r="AD1526">
        <v>0</v>
      </c>
    </row>
    <row r="1527" spans="29:30" x14ac:dyDescent="0.25">
      <c r="AC1527" s="23" t="s">
        <v>4711</v>
      </c>
      <c r="AD1527">
        <v>0</v>
      </c>
    </row>
    <row r="1528" spans="29:30" x14ac:dyDescent="0.25">
      <c r="AC1528" s="23" t="s">
        <v>4985</v>
      </c>
      <c r="AD1528">
        <v>0</v>
      </c>
    </row>
    <row r="1529" spans="29:30" x14ac:dyDescent="0.25">
      <c r="AC1529" s="23" t="s">
        <v>4953</v>
      </c>
      <c r="AD1529">
        <v>0</v>
      </c>
    </row>
    <row r="1530" spans="29:30" x14ac:dyDescent="0.25">
      <c r="AC1530" s="23" t="s">
        <v>2542</v>
      </c>
      <c r="AD1530">
        <v>0</v>
      </c>
    </row>
    <row r="1531" spans="29:30" x14ac:dyDescent="0.25">
      <c r="AC1531" s="23" t="s">
        <v>2303</v>
      </c>
      <c r="AD1531">
        <v>0</v>
      </c>
    </row>
    <row r="1532" spans="29:30" x14ac:dyDescent="0.25">
      <c r="AC1532" s="23" t="s">
        <v>2528</v>
      </c>
      <c r="AD1532">
        <v>0</v>
      </c>
    </row>
    <row r="1533" spans="29:30" x14ac:dyDescent="0.25">
      <c r="AC1533" s="23" t="s">
        <v>2319</v>
      </c>
      <c r="AD1533">
        <v>0</v>
      </c>
    </row>
    <row r="1534" spans="29:30" x14ac:dyDescent="0.25">
      <c r="AC1534" s="23" t="s">
        <v>2357</v>
      </c>
      <c r="AD1534">
        <v>0</v>
      </c>
    </row>
    <row r="1535" spans="29:30" x14ac:dyDescent="0.25">
      <c r="AC1535" s="23" t="s">
        <v>2193</v>
      </c>
      <c r="AD1535">
        <v>0</v>
      </c>
    </row>
    <row r="1536" spans="29:30" x14ac:dyDescent="0.25">
      <c r="AC1536" s="23" t="s">
        <v>2391</v>
      </c>
      <c r="AD1536">
        <v>0</v>
      </c>
    </row>
    <row r="1537" spans="29:30" x14ac:dyDescent="0.25">
      <c r="AC1537" s="23" t="s">
        <v>2267</v>
      </c>
      <c r="AD1537">
        <v>0</v>
      </c>
    </row>
    <row r="1538" spans="29:30" x14ac:dyDescent="0.25">
      <c r="AC1538" s="23" t="s">
        <v>4965</v>
      </c>
      <c r="AD1538">
        <v>0</v>
      </c>
    </row>
    <row r="1539" spans="29:30" x14ac:dyDescent="0.25">
      <c r="AC1539" s="23" t="s">
        <v>2307</v>
      </c>
      <c r="AD1539">
        <v>0</v>
      </c>
    </row>
    <row r="1540" spans="29:30" x14ac:dyDescent="0.25">
      <c r="AC1540" s="23" t="s">
        <v>2423</v>
      </c>
      <c r="AD1540">
        <v>0</v>
      </c>
    </row>
    <row r="1541" spans="29:30" x14ac:dyDescent="0.25">
      <c r="AC1541" s="23" t="s">
        <v>2195</v>
      </c>
      <c r="AD1541">
        <v>0</v>
      </c>
    </row>
    <row r="1542" spans="29:30" x14ac:dyDescent="0.25">
      <c r="AC1542" s="23" t="s">
        <v>2524</v>
      </c>
      <c r="AD1542">
        <v>0</v>
      </c>
    </row>
    <row r="1543" spans="29:30" x14ac:dyDescent="0.25">
      <c r="AC1543" s="23" t="s">
        <v>2317</v>
      </c>
      <c r="AD1543">
        <v>0</v>
      </c>
    </row>
    <row r="1544" spans="29:30" x14ac:dyDescent="0.25">
      <c r="AC1544" s="23" t="s">
        <v>1983</v>
      </c>
      <c r="AD1544">
        <v>0</v>
      </c>
    </row>
    <row r="1545" spans="29:30" x14ac:dyDescent="0.25">
      <c r="AC1545" s="23" t="s">
        <v>2157</v>
      </c>
      <c r="AD1545">
        <v>0</v>
      </c>
    </row>
    <row r="1546" spans="29:30" x14ac:dyDescent="0.25">
      <c r="AC1546" s="23" t="s">
        <v>1967</v>
      </c>
      <c r="AD1546">
        <v>0</v>
      </c>
    </row>
    <row r="1547" spans="29:30" x14ac:dyDescent="0.25">
      <c r="AC1547" s="23" t="s">
        <v>1942</v>
      </c>
      <c r="AD1547">
        <v>0</v>
      </c>
    </row>
    <row r="1548" spans="29:30" x14ac:dyDescent="0.25">
      <c r="AC1548" s="23" t="s">
        <v>1773</v>
      </c>
      <c r="AD1548">
        <v>0</v>
      </c>
    </row>
    <row r="1549" spans="29:30" x14ac:dyDescent="0.25">
      <c r="AC1549" s="23" t="s">
        <v>1492</v>
      </c>
      <c r="AD1549">
        <v>0</v>
      </c>
    </row>
    <row r="1550" spans="29:30" x14ac:dyDescent="0.25">
      <c r="AC1550" s="23" t="s">
        <v>1865</v>
      </c>
      <c r="AD1550">
        <v>0</v>
      </c>
    </row>
    <row r="1551" spans="29:30" x14ac:dyDescent="0.25">
      <c r="AC1551" s="23" t="s">
        <v>1506</v>
      </c>
      <c r="AD1551">
        <v>0</v>
      </c>
    </row>
    <row r="1552" spans="29:30" x14ac:dyDescent="0.25">
      <c r="AC1552" s="23" t="s">
        <v>1669</v>
      </c>
      <c r="AD1552">
        <v>0</v>
      </c>
    </row>
    <row r="1553" spans="29:30" x14ac:dyDescent="0.25">
      <c r="AC1553" s="23" t="s">
        <v>4843</v>
      </c>
      <c r="AD1553">
        <v>0</v>
      </c>
    </row>
    <row r="1554" spans="29:30" x14ac:dyDescent="0.25">
      <c r="AC1554" s="23" t="s">
        <v>4889</v>
      </c>
      <c r="AD1554">
        <v>0</v>
      </c>
    </row>
    <row r="1555" spans="29:30" x14ac:dyDescent="0.25">
      <c r="AC1555" s="23" t="s">
        <v>1516</v>
      </c>
      <c r="AD1555">
        <v>0</v>
      </c>
    </row>
    <row r="1556" spans="29:30" x14ac:dyDescent="0.25">
      <c r="AC1556" s="23" t="s">
        <v>1863</v>
      </c>
      <c r="AD1556">
        <v>0</v>
      </c>
    </row>
    <row r="1557" spans="29:30" x14ac:dyDescent="0.25">
      <c r="AC1557" s="23" t="s">
        <v>5314</v>
      </c>
      <c r="AD1557">
        <v>0</v>
      </c>
    </row>
    <row r="1558" spans="29:30" x14ac:dyDescent="0.25">
      <c r="AC1558" s="23" t="s">
        <v>1881</v>
      </c>
      <c r="AD1558">
        <v>0</v>
      </c>
    </row>
    <row r="1559" spans="29:30" x14ac:dyDescent="0.25">
      <c r="AC1559" s="23" t="s">
        <v>1416</v>
      </c>
      <c r="AD1559">
        <v>0</v>
      </c>
    </row>
    <row r="1560" spans="29:30" x14ac:dyDescent="0.25">
      <c r="AC1560" s="23" t="s">
        <v>1837</v>
      </c>
      <c r="AD1560">
        <v>0</v>
      </c>
    </row>
    <row r="1561" spans="29:30" x14ac:dyDescent="0.25">
      <c r="AC1561" s="23" t="s">
        <v>1398</v>
      </c>
      <c r="AD1561">
        <v>0</v>
      </c>
    </row>
    <row r="1562" spans="29:30" x14ac:dyDescent="0.25">
      <c r="AC1562" s="23" t="s">
        <v>4879</v>
      </c>
      <c r="AD1562">
        <v>0</v>
      </c>
    </row>
    <row r="1563" spans="29:30" x14ac:dyDescent="0.25">
      <c r="AC1563" s="23" t="s">
        <v>1522</v>
      </c>
      <c r="AD1563">
        <v>0</v>
      </c>
    </row>
    <row r="1564" spans="29:30" x14ac:dyDescent="0.25">
      <c r="AC1564" s="23" t="s">
        <v>1793</v>
      </c>
      <c r="AD1564">
        <v>0</v>
      </c>
    </row>
    <row r="1565" spans="29:30" x14ac:dyDescent="0.25">
      <c r="AC1565" s="23" t="s">
        <v>1412</v>
      </c>
      <c r="AD1565">
        <v>0</v>
      </c>
    </row>
    <row r="1566" spans="29:30" x14ac:dyDescent="0.25">
      <c r="AC1566" s="23" t="s">
        <v>1845</v>
      </c>
      <c r="AD1566">
        <v>0</v>
      </c>
    </row>
    <row r="1567" spans="29:30" x14ac:dyDescent="0.25">
      <c r="AC1567" s="23" t="s">
        <v>1524</v>
      </c>
      <c r="AD1567">
        <v>0</v>
      </c>
    </row>
    <row r="1568" spans="29:30" x14ac:dyDescent="0.25">
      <c r="AC1568" s="23" t="s">
        <v>1987</v>
      </c>
      <c r="AD1568">
        <v>0</v>
      </c>
    </row>
    <row r="1569" spans="29:30" x14ac:dyDescent="0.25">
      <c r="AC1569" s="23" t="s">
        <v>1420</v>
      </c>
      <c r="AD1569">
        <v>0</v>
      </c>
    </row>
    <row r="1570" spans="29:30" x14ac:dyDescent="0.25">
      <c r="AC1570" s="23" t="s">
        <v>1887</v>
      </c>
      <c r="AD1570">
        <v>0</v>
      </c>
    </row>
    <row r="1571" spans="29:30" x14ac:dyDescent="0.25">
      <c r="AC1571" s="23" t="s">
        <v>1530</v>
      </c>
      <c r="AD1571">
        <v>0</v>
      </c>
    </row>
    <row r="1572" spans="29:30" x14ac:dyDescent="0.25">
      <c r="AC1572" s="23" t="s">
        <v>1940</v>
      </c>
      <c r="AD1572">
        <v>0</v>
      </c>
    </row>
    <row r="1573" spans="29:30" x14ac:dyDescent="0.25">
      <c r="AC1573" s="23" t="s">
        <v>1528</v>
      </c>
      <c r="AD1573">
        <v>0</v>
      </c>
    </row>
    <row r="1574" spans="29:30" x14ac:dyDescent="0.25">
      <c r="AC1574" s="23" t="s">
        <v>3890</v>
      </c>
      <c r="AD1574">
        <v>0</v>
      </c>
    </row>
    <row r="1575" spans="29:30" x14ac:dyDescent="0.25">
      <c r="AC1575" s="23" t="s">
        <v>1520</v>
      </c>
      <c r="AD1575">
        <v>0</v>
      </c>
    </row>
    <row r="1576" spans="29:30" x14ac:dyDescent="0.25">
      <c r="AC1576" s="23" t="s">
        <v>1689</v>
      </c>
      <c r="AD1576">
        <v>0</v>
      </c>
    </row>
    <row r="1577" spans="29:30" x14ac:dyDescent="0.25">
      <c r="AC1577" s="23" t="s">
        <v>1526</v>
      </c>
      <c r="AD1577">
        <v>0</v>
      </c>
    </row>
    <row r="1578" spans="29:30" x14ac:dyDescent="0.25">
      <c r="AC1578" s="23" t="s">
        <v>1769</v>
      </c>
      <c r="AD1578">
        <v>0</v>
      </c>
    </row>
    <row r="1579" spans="29:30" x14ac:dyDescent="0.25">
      <c r="AC1579" s="23" t="s">
        <v>1532</v>
      </c>
      <c r="AD1579">
        <v>0</v>
      </c>
    </row>
    <row r="1580" spans="29:30" x14ac:dyDescent="0.25">
      <c r="AC1580" s="23" t="s">
        <v>1729</v>
      </c>
      <c r="AD1580">
        <v>0</v>
      </c>
    </row>
    <row r="1581" spans="29:30" x14ac:dyDescent="0.25">
      <c r="AC1581" s="23" t="s">
        <v>1540</v>
      </c>
      <c r="AD1581">
        <v>0</v>
      </c>
    </row>
    <row r="1582" spans="29:30" x14ac:dyDescent="0.25">
      <c r="AC1582" s="23" t="s">
        <v>1725</v>
      </c>
      <c r="AD1582">
        <v>0</v>
      </c>
    </row>
    <row r="1583" spans="29:30" x14ac:dyDescent="0.25">
      <c r="AC1583" s="23" t="s">
        <v>1534</v>
      </c>
      <c r="AD1583">
        <v>0</v>
      </c>
    </row>
    <row r="1584" spans="29:30" x14ac:dyDescent="0.25">
      <c r="AC1584" s="23" t="s">
        <v>1757</v>
      </c>
      <c r="AD1584">
        <v>0</v>
      </c>
    </row>
    <row r="1585" spans="29:30" x14ac:dyDescent="0.25">
      <c r="AC1585" s="23" t="s">
        <v>1552</v>
      </c>
      <c r="AD1585">
        <v>0</v>
      </c>
    </row>
    <row r="1586" spans="29:30" x14ac:dyDescent="0.25">
      <c r="AC1586" s="23" t="s">
        <v>4885</v>
      </c>
      <c r="AD1586">
        <v>0</v>
      </c>
    </row>
    <row r="1587" spans="29:30" x14ac:dyDescent="0.25">
      <c r="AC1587" s="23" t="s">
        <v>1538</v>
      </c>
      <c r="AD1587">
        <v>0</v>
      </c>
    </row>
    <row r="1588" spans="29:30" x14ac:dyDescent="0.25">
      <c r="AC1588" s="23" t="s">
        <v>4887</v>
      </c>
      <c r="AD1588">
        <v>0</v>
      </c>
    </row>
    <row r="1589" spans="29:30" x14ac:dyDescent="0.25">
      <c r="AC1589" s="23" t="s">
        <v>1536</v>
      </c>
      <c r="AD1589">
        <v>0</v>
      </c>
    </row>
    <row r="1590" spans="29:30" x14ac:dyDescent="0.25">
      <c r="AC1590" s="23" t="s">
        <v>4284</v>
      </c>
      <c r="AD1590">
        <v>0</v>
      </c>
    </row>
    <row r="1591" spans="29:30" x14ac:dyDescent="0.25">
      <c r="AC1591" s="23" t="s">
        <v>1550</v>
      </c>
      <c r="AD1591">
        <v>0</v>
      </c>
    </row>
    <row r="1592" spans="29:30" x14ac:dyDescent="0.25">
      <c r="AC1592" s="23" t="s">
        <v>1979</v>
      </c>
      <c r="AD1592">
        <v>0</v>
      </c>
    </row>
    <row r="1593" spans="29:30" x14ac:dyDescent="0.25">
      <c r="AC1593" s="23" t="s">
        <v>1574</v>
      </c>
      <c r="AD1593">
        <v>0</v>
      </c>
    </row>
    <row r="1594" spans="29:30" x14ac:dyDescent="0.25">
      <c r="AC1594" s="23" t="s">
        <v>1965</v>
      </c>
      <c r="AD1594">
        <v>0</v>
      </c>
    </row>
    <row r="1595" spans="29:30" x14ac:dyDescent="0.25">
      <c r="AC1595" s="23" t="s">
        <v>1583</v>
      </c>
      <c r="AD1595">
        <v>0</v>
      </c>
    </row>
    <row r="1596" spans="29:30" x14ac:dyDescent="0.25">
      <c r="AC1596" s="23" t="s">
        <v>1895</v>
      </c>
      <c r="AD1596">
        <v>0</v>
      </c>
    </row>
    <row r="1597" spans="29:30" x14ac:dyDescent="0.25">
      <c r="AC1597" s="23" t="s">
        <v>1556</v>
      </c>
      <c r="AD1597">
        <v>0</v>
      </c>
    </row>
    <row r="1598" spans="29:30" x14ac:dyDescent="0.25">
      <c r="AC1598" s="23" t="s">
        <v>1995</v>
      </c>
      <c r="AD1598">
        <v>0</v>
      </c>
    </row>
    <row r="1599" spans="29:30" x14ac:dyDescent="0.25">
      <c r="AC1599" s="23" t="s">
        <v>1578</v>
      </c>
      <c r="AD1599">
        <v>0</v>
      </c>
    </row>
    <row r="1600" spans="29:30" x14ac:dyDescent="0.25">
      <c r="AC1600" s="23" t="s">
        <v>1919</v>
      </c>
      <c r="AD1600">
        <v>0</v>
      </c>
    </row>
    <row r="1601" spans="29:30" x14ac:dyDescent="0.25">
      <c r="AC1601" s="23" t="s">
        <v>1625</v>
      </c>
      <c r="AD1601">
        <v>0</v>
      </c>
    </row>
    <row r="1602" spans="29:30" x14ac:dyDescent="0.25">
      <c r="AC1602" s="23" t="s">
        <v>1989</v>
      </c>
      <c r="AD1602">
        <v>0</v>
      </c>
    </row>
    <row r="1603" spans="29:30" x14ac:dyDescent="0.25">
      <c r="AC1603" s="23" t="s">
        <v>1554</v>
      </c>
      <c r="AD1603">
        <v>0</v>
      </c>
    </row>
    <row r="1604" spans="29:30" x14ac:dyDescent="0.25">
      <c r="AC1604" s="23" t="s">
        <v>1959</v>
      </c>
      <c r="AD1604">
        <v>0</v>
      </c>
    </row>
    <row r="1605" spans="29:30" x14ac:dyDescent="0.25">
      <c r="AC1605" s="23" t="s">
        <v>1564</v>
      </c>
      <c r="AD1605">
        <v>0</v>
      </c>
    </row>
    <row r="1606" spans="29:30" x14ac:dyDescent="0.25">
      <c r="AC1606" s="23" t="s">
        <v>1899</v>
      </c>
      <c r="AD1606">
        <v>0</v>
      </c>
    </row>
    <row r="1607" spans="29:30" x14ac:dyDescent="0.25">
      <c r="AC1607" s="23" t="s">
        <v>1570</v>
      </c>
      <c r="AD1607">
        <v>0</v>
      </c>
    </row>
    <row r="1608" spans="29:30" x14ac:dyDescent="0.25">
      <c r="AC1608" s="23" t="s">
        <v>1707</v>
      </c>
      <c r="AD1608">
        <v>0</v>
      </c>
    </row>
    <row r="1609" spans="29:30" x14ac:dyDescent="0.25">
      <c r="AC1609" s="23" t="s">
        <v>1589</v>
      </c>
      <c r="AD1609">
        <v>0</v>
      </c>
    </row>
    <row r="1610" spans="29:30" x14ac:dyDescent="0.25">
      <c r="AC1610" s="23" t="s">
        <v>1841</v>
      </c>
      <c r="AD1610">
        <v>0</v>
      </c>
    </row>
    <row r="1611" spans="29:30" x14ac:dyDescent="0.25">
      <c r="AC1611" s="23" t="s">
        <v>4847</v>
      </c>
      <c r="AD1611">
        <v>0</v>
      </c>
    </row>
    <row r="1612" spans="29:30" x14ac:dyDescent="0.25">
      <c r="AC1612" s="23" t="s">
        <v>1665</v>
      </c>
      <c r="AD1612">
        <v>0</v>
      </c>
    </row>
    <row r="1613" spans="29:30" x14ac:dyDescent="0.25">
      <c r="AC1613" s="23" t="s">
        <v>1611</v>
      </c>
      <c r="AD1613">
        <v>0</v>
      </c>
    </row>
    <row r="1614" spans="29:30" x14ac:dyDescent="0.25">
      <c r="AC1614" s="23" t="s">
        <v>4875</v>
      </c>
      <c r="AD1614">
        <v>0</v>
      </c>
    </row>
    <row r="1615" spans="29:30" x14ac:dyDescent="0.25">
      <c r="AC1615" s="23" t="s">
        <v>1621</v>
      </c>
      <c r="AD1615">
        <v>0</v>
      </c>
    </row>
    <row r="1616" spans="29:30" x14ac:dyDescent="0.25">
      <c r="AC1616" s="23" t="s">
        <v>1781</v>
      </c>
      <c r="AD1616">
        <v>0</v>
      </c>
    </row>
    <row r="1617" spans="29:30" x14ac:dyDescent="0.25">
      <c r="AC1617" s="23" t="s">
        <v>1585</v>
      </c>
      <c r="AD1617">
        <v>0</v>
      </c>
    </row>
    <row r="1618" spans="29:30" x14ac:dyDescent="0.25">
      <c r="AC1618" s="23" t="s">
        <v>3441</v>
      </c>
      <c r="AD1618">
        <v>0</v>
      </c>
    </row>
    <row r="1619" spans="29:30" x14ac:dyDescent="0.25">
      <c r="AC1619" s="23" t="s">
        <v>1576</v>
      </c>
      <c r="AD1619">
        <v>0</v>
      </c>
    </row>
    <row r="1620" spans="29:30" x14ac:dyDescent="0.25">
      <c r="AC1620" s="23" t="s">
        <v>1763</v>
      </c>
      <c r="AD1620">
        <v>0</v>
      </c>
    </row>
    <row r="1621" spans="29:30" x14ac:dyDescent="0.25">
      <c r="AC1621" s="23" t="s">
        <v>4849</v>
      </c>
      <c r="AD1621">
        <v>0</v>
      </c>
    </row>
    <row r="1622" spans="29:30" x14ac:dyDescent="0.25">
      <c r="AC1622" s="23" t="s">
        <v>1767</v>
      </c>
      <c r="AD1622">
        <v>0</v>
      </c>
    </row>
    <row r="1623" spans="29:30" x14ac:dyDescent="0.25">
      <c r="AC1623" s="23" t="s">
        <v>1587</v>
      </c>
      <c r="AD1623">
        <v>0</v>
      </c>
    </row>
    <row r="1624" spans="29:30" x14ac:dyDescent="0.25">
      <c r="AC1624" s="23" t="s">
        <v>1699</v>
      </c>
      <c r="AD1624">
        <v>0</v>
      </c>
    </row>
    <row r="1625" spans="29:30" x14ac:dyDescent="0.25">
      <c r="AC1625" s="23" t="s">
        <v>1580</v>
      </c>
      <c r="AD1625">
        <v>0</v>
      </c>
    </row>
    <row r="1626" spans="29:30" x14ac:dyDescent="0.25">
      <c r="AC1626" s="23" t="s">
        <v>1815</v>
      </c>
      <c r="AD1626">
        <v>0</v>
      </c>
    </row>
    <row r="1627" spans="29:30" x14ac:dyDescent="0.25">
      <c r="AC1627" s="23" t="s">
        <v>4312</v>
      </c>
      <c r="AD1627">
        <v>0</v>
      </c>
    </row>
    <row r="1628" spans="29:30" x14ac:dyDescent="0.25">
      <c r="AC1628" s="23" t="s">
        <v>1819</v>
      </c>
      <c r="AD1628">
        <v>0</v>
      </c>
    </row>
    <row r="1629" spans="29:30" x14ac:dyDescent="0.25">
      <c r="AC1629" s="23" t="s">
        <v>1558</v>
      </c>
      <c r="AD1629">
        <v>0</v>
      </c>
    </row>
    <row r="1630" spans="29:30" x14ac:dyDescent="0.25">
      <c r="AC1630" s="23" t="s">
        <v>1827</v>
      </c>
      <c r="AD1630">
        <v>0</v>
      </c>
    </row>
    <row r="1631" spans="29:30" x14ac:dyDescent="0.25">
      <c r="AC1631" s="23" t="s">
        <v>4851</v>
      </c>
      <c r="AD1631">
        <v>0</v>
      </c>
    </row>
    <row r="1632" spans="29:30" x14ac:dyDescent="0.25">
      <c r="AC1632" s="23" t="s">
        <v>1833</v>
      </c>
      <c r="AD1632">
        <v>0</v>
      </c>
    </row>
    <row r="1633" spans="29:30" x14ac:dyDescent="0.25">
      <c r="AC1633" s="23" t="s">
        <v>1607</v>
      </c>
      <c r="AD1633">
        <v>0</v>
      </c>
    </row>
    <row r="1634" spans="29:30" x14ac:dyDescent="0.25">
      <c r="AC1634" s="23" t="s">
        <v>1843</v>
      </c>
      <c r="AD1634">
        <v>0</v>
      </c>
    </row>
    <row r="1635" spans="29:30" x14ac:dyDescent="0.25">
      <c r="AC1635" s="23" t="s">
        <v>1603</v>
      </c>
      <c r="AD1635">
        <v>0</v>
      </c>
    </row>
    <row r="1636" spans="29:30" x14ac:dyDescent="0.25">
      <c r="AC1636" s="23" t="s">
        <v>1907</v>
      </c>
      <c r="AD1636">
        <v>0</v>
      </c>
    </row>
    <row r="1637" spans="29:30" x14ac:dyDescent="0.25">
      <c r="AC1637" s="23" t="s">
        <v>1605</v>
      </c>
      <c r="AD1637">
        <v>0</v>
      </c>
    </row>
    <row r="1638" spans="29:30" x14ac:dyDescent="0.25">
      <c r="AC1638" s="23" t="s">
        <v>1925</v>
      </c>
      <c r="AD1638">
        <v>0</v>
      </c>
    </row>
    <row r="1639" spans="29:30" x14ac:dyDescent="0.25">
      <c r="AC1639" s="23" t="s">
        <v>1613</v>
      </c>
      <c r="AD1639">
        <v>0</v>
      </c>
    </row>
    <row r="1640" spans="29:30" x14ac:dyDescent="0.25">
      <c r="AC1640" s="23" t="s">
        <v>1969</v>
      </c>
      <c r="AD1640">
        <v>0</v>
      </c>
    </row>
    <row r="1641" spans="29:30" x14ac:dyDescent="0.25">
      <c r="AC1641" s="23" t="s">
        <v>1609</v>
      </c>
      <c r="AD1641">
        <v>0</v>
      </c>
    </row>
    <row r="1642" spans="29:30" x14ac:dyDescent="0.25">
      <c r="AC1642" s="23" t="s">
        <v>1977</v>
      </c>
      <c r="AD1642">
        <v>0</v>
      </c>
    </row>
    <row r="1643" spans="29:30" x14ac:dyDescent="0.25">
      <c r="AC1643" s="23" t="s">
        <v>1560</v>
      </c>
      <c r="AD1643">
        <v>0</v>
      </c>
    </row>
    <row r="1644" spans="29:30" x14ac:dyDescent="0.25">
      <c r="AC1644" s="23" t="s">
        <v>1861</v>
      </c>
      <c r="AD1644">
        <v>0</v>
      </c>
    </row>
    <row r="1645" spans="29:30" x14ac:dyDescent="0.25">
      <c r="AC1645" s="23" t="s">
        <v>1615</v>
      </c>
      <c r="AD1645">
        <v>0</v>
      </c>
    </row>
    <row r="1646" spans="29:30" x14ac:dyDescent="0.25">
      <c r="AC1646" s="23" t="s">
        <v>1897</v>
      </c>
      <c r="AD1646">
        <v>0</v>
      </c>
    </row>
    <row r="1647" spans="29:30" x14ac:dyDescent="0.25">
      <c r="AC1647" s="23" t="s">
        <v>1562</v>
      </c>
      <c r="AD1647">
        <v>0</v>
      </c>
    </row>
    <row r="1648" spans="29:30" x14ac:dyDescent="0.25">
      <c r="AC1648" s="23" t="s">
        <v>1993</v>
      </c>
      <c r="AD1648">
        <v>0</v>
      </c>
    </row>
    <row r="1649" spans="29:30" x14ac:dyDescent="0.25">
      <c r="AC1649" s="23" t="s">
        <v>4348</v>
      </c>
      <c r="AD1649">
        <v>0</v>
      </c>
    </row>
    <row r="1650" spans="29:30" x14ac:dyDescent="0.25">
      <c r="AC1650" s="23" t="s">
        <v>1932</v>
      </c>
      <c r="AD1650">
        <v>0</v>
      </c>
    </row>
    <row r="1651" spans="29:30" x14ac:dyDescent="0.25">
      <c r="AC1651" s="23" t="s">
        <v>1591</v>
      </c>
      <c r="AD1651">
        <v>0</v>
      </c>
    </row>
    <row r="1652" spans="29:30" x14ac:dyDescent="0.25">
      <c r="AC1652" s="23" t="s">
        <v>1923</v>
      </c>
      <c r="AD1652">
        <v>0</v>
      </c>
    </row>
    <row r="1653" spans="29:30" x14ac:dyDescent="0.25">
      <c r="AC1653" s="23" t="s">
        <v>1593</v>
      </c>
      <c r="AD1653">
        <v>0</v>
      </c>
    </row>
    <row r="1654" spans="29:30" x14ac:dyDescent="0.25">
      <c r="AC1654" s="23" t="s">
        <v>1938</v>
      </c>
      <c r="AD1654">
        <v>0</v>
      </c>
    </row>
    <row r="1655" spans="29:30" x14ac:dyDescent="0.25">
      <c r="AC1655" s="23" t="s">
        <v>1619</v>
      </c>
      <c r="AD1655">
        <v>0</v>
      </c>
    </row>
    <row r="1656" spans="29:30" x14ac:dyDescent="0.25">
      <c r="AC1656" s="23" t="s">
        <v>1893</v>
      </c>
      <c r="AD1656">
        <v>0</v>
      </c>
    </row>
    <row r="1657" spans="29:30" x14ac:dyDescent="0.25">
      <c r="AC1657" s="23" t="s">
        <v>1601</v>
      </c>
      <c r="AD1657">
        <v>0</v>
      </c>
    </row>
    <row r="1658" spans="29:30" x14ac:dyDescent="0.25">
      <c r="AC1658" s="23" t="s">
        <v>1909</v>
      </c>
      <c r="AD1658">
        <v>0</v>
      </c>
    </row>
    <row r="1659" spans="29:30" x14ac:dyDescent="0.25">
      <c r="AC1659" s="23" t="s">
        <v>4855</v>
      </c>
      <c r="AD1659">
        <v>0</v>
      </c>
    </row>
    <row r="1660" spans="29:30" x14ac:dyDescent="0.25">
      <c r="AC1660" s="23" t="s">
        <v>1913</v>
      </c>
      <c r="AD1660">
        <v>0</v>
      </c>
    </row>
    <row r="1661" spans="29:30" x14ac:dyDescent="0.25">
      <c r="AC1661" s="23" t="s">
        <v>1597</v>
      </c>
      <c r="AD1661">
        <v>0</v>
      </c>
    </row>
    <row r="1662" spans="29:30" x14ac:dyDescent="0.25">
      <c r="AC1662" s="23" t="s">
        <v>2729</v>
      </c>
      <c r="AD1662">
        <v>0</v>
      </c>
    </row>
    <row r="1663" spans="29:30" x14ac:dyDescent="0.25">
      <c r="AC1663" s="23" t="s">
        <v>1617</v>
      </c>
      <c r="AD1663">
        <v>0</v>
      </c>
    </row>
    <row r="1664" spans="29:30" x14ac:dyDescent="0.25">
      <c r="AC1664" s="23" t="s">
        <v>1871</v>
      </c>
      <c r="AD1664">
        <v>0</v>
      </c>
    </row>
    <row r="1665" spans="29:30" x14ac:dyDescent="0.25">
      <c r="AC1665" s="23" t="s">
        <v>1623</v>
      </c>
      <c r="AD1665">
        <v>0</v>
      </c>
    </row>
    <row r="1666" spans="29:30" x14ac:dyDescent="0.25">
      <c r="AC1666" s="23" t="s">
        <v>3036</v>
      </c>
      <c r="AD1666">
        <v>0</v>
      </c>
    </row>
    <row r="1667" spans="29:30" x14ac:dyDescent="0.25">
      <c r="AC1667" s="23" t="s">
        <v>4853</v>
      </c>
      <c r="AD1667">
        <v>0</v>
      </c>
    </row>
    <row r="1668" spans="29:30" x14ac:dyDescent="0.25">
      <c r="AC1668" s="23" t="s">
        <v>1905</v>
      </c>
      <c r="AD1668">
        <v>0</v>
      </c>
    </row>
    <row r="1669" spans="29:30" x14ac:dyDescent="0.25">
      <c r="AC1669" s="23" t="s">
        <v>1599</v>
      </c>
      <c r="AD1669">
        <v>0</v>
      </c>
    </row>
    <row r="1670" spans="29:30" x14ac:dyDescent="0.25">
      <c r="AC1670" s="23" t="s">
        <v>1953</v>
      </c>
      <c r="AD1670">
        <v>0</v>
      </c>
    </row>
    <row r="1671" spans="29:30" x14ac:dyDescent="0.25">
      <c r="AC1671" s="23" t="s">
        <v>1568</v>
      </c>
      <c r="AD1671">
        <v>0</v>
      </c>
    </row>
    <row r="1672" spans="29:30" x14ac:dyDescent="0.25">
      <c r="AC1672" s="23" t="s">
        <v>4903</v>
      </c>
      <c r="AD1672">
        <v>0</v>
      </c>
    </row>
    <row r="1673" spans="29:30" x14ac:dyDescent="0.25">
      <c r="AC1673" s="23" t="s">
        <v>1595</v>
      </c>
      <c r="AD1673">
        <v>0</v>
      </c>
    </row>
    <row r="1674" spans="29:30" x14ac:dyDescent="0.25">
      <c r="AC1674" s="23" t="s">
        <v>4899</v>
      </c>
      <c r="AD1674">
        <v>0</v>
      </c>
    </row>
    <row r="1675" spans="29:30" x14ac:dyDescent="0.25">
      <c r="AC1675" s="23" t="s">
        <v>2433</v>
      </c>
      <c r="AD1675">
        <v>0</v>
      </c>
    </row>
    <row r="1676" spans="29:30" x14ac:dyDescent="0.25">
      <c r="AC1676" s="23" t="s">
        <v>1661</v>
      </c>
      <c r="AD1676">
        <v>0</v>
      </c>
    </row>
    <row r="1677" spans="29:30" x14ac:dyDescent="0.25">
      <c r="AC1677" s="23" t="s">
        <v>1653</v>
      </c>
      <c r="AD1677">
        <v>0</v>
      </c>
    </row>
    <row r="1678" spans="29:30" x14ac:dyDescent="0.25">
      <c r="AC1678" s="23" t="s">
        <v>1693</v>
      </c>
      <c r="AD1678">
        <v>0</v>
      </c>
    </row>
    <row r="1679" spans="29:30" x14ac:dyDescent="0.25">
      <c r="AC1679" s="23" t="s">
        <v>1747</v>
      </c>
      <c r="AD1679">
        <v>0</v>
      </c>
    </row>
    <row r="1680" spans="29:30" x14ac:dyDescent="0.25">
      <c r="AC1680" s="23" t="s">
        <v>1777</v>
      </c>
      <c r="AD1680">
        <v>0</v>
      </c>
    </row>
    <row r="1681" spans="29:30" x14ac:dyDescent="0.25">
      <c r="AC1681" s="23" t="s">
        <v>1839</v>
      </c>
      <c r="AD1681">
        <v>0</v>
      </c>
    </row>
    <row r="1682" spans="29:30" x14ac:dyDescent="0.25">
      <c r="AC1682" s="23" t="s">
        <v>4877</v>
      </c>
      <c r="AD1682">
        <v>0</v>
      </c>
    </row>
    <row r="1683" spans="29:30" x14ac:dyDescent="0.25">
      <c r="AC1683" s="23" t="s">
        <v>1633</v>
      </c>
      <c r="AD1683">
        <v>0</v>
      </c>
    </row>
    <row r="1684" spans="29:30" x14ac:dyDescent="0.25">
      <c r="AC1684" s="23" t="s">
        <v>1697</v>
      </c>
      <c r="AD1684">
        <v>0</v>
      </c>
    </row>
    <row r="1685" spans="29:30" x14ac:dyDescent="0.25">
      <c r="AC1685" s="23" t="s">
        <v>1753</v>
      </c>
      <c r="AD1685">
        <v>0</v>
      </c>
    </row>
    <row r="1686" spans="29:30" x14ac:dyDescent="0.25">
      <c r="AC1686" s="23" t="s">
        <v>1795</v>
      </c>
      <c r="AD1686">
        <v>0</v>
      </c>
    </row>
    <row r="1687" spans="29:30" x14ac:dyDescent="0.25">
      <c r="AC1687" s="23" t="s">
        <v>1635</v>
      </c>
      <c r="AD1687">
        <v>0</v>
      </c>
    </row>
    <row r="1688" spans="29:30" x14ac:dyDescent="0.25">
      <c r="AC1688" s="23" t="s">
        <v>1797</v>
      </c>
      <c r="AD1688">
        <v>0</v>
      </c>
    </row>
    <row r="1689" spans="29:30" x14ac:dyDescent="0.25">
      <c r="AC1689" s="23" t="s">
        <v>1629</v>
      </c>
      <c r="AD1689">
        <v>0</v>
      </c>
    </row>
    <row r="1690" spans="29:30" x14ac:dyDescent="0.25">
      <c r="AC1690" s="23" t="s">
        <v>4883</v>
      </c>
      <c r="AD1690">
        <v>0</v>
      </c>
    </row>
    <row r="1691" spans="29:30" x14ac:dyDescent="0.25">
      <c r="AC1691" s="23" t="s">
        <v>1787</v>
      </c>
      <c r="AD1691">
        <v>0</v>
      </c>
    </row>
    <row r="1692" spans="29:30" x14ac:dyDescent="0.25">
      <c r="AC1692" s="23" t="s">
        <v>4867</v>
      </c>
      <c r="AD1692">
        <v>0</v>
      </c>
    </row>
    <row r="1693" spans="29:30" x14ac:dyDescent="0.25">
      <c r="AC1693" s="23" t="s">
        <v>1761</v>
      </c>
      <c r="AD1693">
        <v>0</v>
      </c>
    </row>
    <row r="1694" spans="29:30" x14ac:dyDescent="0.25">
      <c r="AC1694" s="23" t="s">
        <v>1687</v>
      </c>
      <c r="AD1694">
        <v>0</v>
      </c>
    </row>
    <row r="1695" spans="29:30" x14ac:dyDescent="0.25">
      <c r="AC1695" s="23" t="s">
        <v>1631</v>
      </c>
      <c r="AD1695">
        <v>0</v>
      </c>
    </row>
    <row r="1696" spans="29:30" x14ac:dyDescent="0.25">
      <c r="AC1696" s="23" t="s">
        <v>1755</v>
      </c>
      <c r="AD1696">
        <v>0</v>
      </c>
    </row>
    <row r="1697" spans="29:30" x14ac:dyDescent="0.25">
      <c r="AC1697" s="23" t="s">
        <v>1811</v>
      </c>
      <c r="AD1697">
        <v>0</v>
      </c>
    </row>
    <row r="1698" spans="29:30" x14ac:dyDescent="0.25">
      <c r="AC1698" s="23" t="s">
        <v>1799</v>
      </c>
      <c r="AD1698">
        <v>0</v>
      </c>
    </row>
    <row r="1699" spans="29:30" x14ac:dyDescent="0.25">
      <c r="AC1699" s="23" t="s">
        <v>1789</v>
      </c>
      <c r="AD1699">
        <v>0</v>
      </c>
    </row>
    <row r="1700" spans="29:30" x14ac:dyDescent="0.25">
      <c r="AC1700" s="23" t="s">
        <v>1791</v>
      </c>
      <c r="AD1700">
        <v>0</v>
      </c>
    </row>
    <row r="1701" spans="29:30" x14ac:dyDescent="0.25">
      <c r="AC1701" s="23" t="s">
        <v>1803</v>
      </c>
      <c r="AD1701">
        <v>0</v>
      </c>
    </row>
    <row r="1702" spans="29:30" x14ac:dyDescent="0.25">
      <c r="AC1702" s="23" t="s">
        <v>1759</v>
      </c>
      <c r="AD1702">
        <v>0</v>
      </c>
    </row>
    <row r="1703" spans="29:30" x14ac:dyDescent="0.25">
      <c r="AC1703" s="23" t="s">
        <v>1639</v>
      </c>
      <c r="AD1703">
        <v>0</v>
      </c>
    </row>
    <row r="1704" spans="29:30" x14ac:dyDescent="0.25">
      <c r="AC1704" s="23" t="s">
        <v>1675</v>
      </c>
      <c r="AD1704">
        <v>0</v>
      </c>
    </row>
    <row r="1705" spans="29:30" x14ac:dyDescent="0.25">
      <c r="AC1705" s="23" t="s">
        <v>4859</v>
      </c>
      <c r="AD1705">
        <v>0</v>
      </c>
    </row>
    <row r="1706" spans="29:30" x14ac:dyDescent="0.25">
      <c r="AC1706" s="23" t="s">
        <v>4871</v>
      </c>
      <c r="AD1706">
        <v>0</v>
      </c>
    </row>
    <row r="1707" spans="29:30" x14ac:dyDescent="0.25">
      <c r="AC1707" s="23" t="s">
        <v>1627</v>
      </c>
      <c r="AD1707">
        <v>0</v>
      </c>
    </row>
    <row r="1708" spans="29:30" x14ac:dyDescent="0.25">
      <c r="AC1708" s="23" t="s">
        <v>1817</v>
      </c>
      <c r="AD1708">
        <v>0</v>
      </c>
    </row>
    <row r="1709" spans="29:30" x14ac:dyDescent="0.25">
      <c r="AC1709" s="23" t="s">
        <v>1641</v>
      </c>
      <c r="AD1709">
        <v>0</v>
      </c>
    </row>
    <row r="1710" spans="29:30" x14ac:dyDescent="0.25">
      <c r="AC1710" s="23" t="s">
        <v>1809</v>
      </c>
      <c r="AD1710">
        <v>0</v>
      </c>
    </row>
    <row r="1711" spans="29:30" x14ac:dyDescent="0.25">
      <c r="AC1711" s="23" t="s">
        <v>1643</v>
      </c>
      <c r="AD1711">
        <v>0</v>
      </c>
    </row>
    <row r="1712" spans="29:30" x14ac:dyDescent="0.25">
      <c r="AC1712" s="23" t="s">
        <v>2185</v>
      </c>
      <c r="AD1712">
        <v>0</v>
      </c>
    </row>
    <row r="1713" spans="29:30" x14ac:dyDescent="0.25">
      <c r="AC1713" s="23" t="s">
        <v>4869</v>
      </c>
      <c r="AD1713">
        <v>0</v>
      </c>
    </row>
    <row r="1714" spans="29:30" x14ac:dyDescent="0.25">
      <c r="AC1714" s="23" t="s">
        <v>1691</v>
      </c>
      <c r="AD1714">
        <v>0</v>
      </c>
    </row>
    <row r="1715" spans="29:30" x14ac:dyDescent="0.25">
      <c r="AC1715" s="23" t="s">
        <v>1679</v>
      </c>
      <c r="AD1715">
        <v>0</v>
      </c>
    </row>
    <row r="1716" spans="29:30" x14ac:dyDescent="0.25">
      <c r="AC1716" s="23" t="s">
        <v>1829</v>
      </c>
      <c r="AD1716">
        <v>0</v>
      </c>
    </row>
    <row r="1717" spans="29:30" x14ac:dyDescent="0.25">
      <c r="AC1717" s="23" t="s">
        <v>1681</v>
      </c>
      <c r="AD1717">
        <v>0</v>
      </c>
    </row>
    <row r="1718" spans="29:30" x14ac:dyDescent="0.25">
      <c r="AC1718" s="23" t="s">
        <v>1657</v>
      </c>
      <c r="AD1718">
        <v>0</v>
      </c>
    </row>
    <row r="1719" spans="29:30" x14ac:dyDescent="0.25">
      <c r="AC1719" s="23" t="s">
        <v>1825</v>
      </c>
      <c r="AD1719">
        <v>0</v>
      </c>
    </row>
    <row r="1720" spans="29:30" x14ac:dyDescent="0.25">
      <c r="AC1720" s="23" t="s">
        <v>1671</v>
      </c>
      <c r="AD1720">
        <v>0</v>
      </c>
    </row>
    <row r="1721" spans="29:30" x14ac:dyDescent="0.25">
      <c r="AC1721" s="23" t="s">
        <v>1823</v>
      </c>
      <c r="AD1721">
        <v>0</v>
      </c>
    </row>
    <row r="1722" spans="29:30" x14ac:dyDescent="0.25">
      <c r="AC1722" s="23" t="s">
        <v>1663</v>
      </c>
      <c r="AD1722">
        <v>0</v>
      </c>
    </row>
    <row r="1723" spans="29:30" x14ac:dyDescent="0.25">
      <c r="AC1723" s="23" t="s">
        <v>1683</v>
      </c>
      <c r="AD1723">
        <v>0</v>
      </c>
    </row>
    <row r="1724" spans="29:30" x14ac:dyDescent="0.25">
      <c r="AC1724" s="23" t="s">
        <v>1831</v>
      </c>
      <c r="AD1724">
        <v>0</v>
      </c>
    </row>
    <row r="1725" spans="29:30" x14ac:dyDescent="0.25">
      <c r="AC1725" s="23" t="s">
        <v>1711</v>
      </c>
      <c r="AD1725">
        <v>0</v>
      </c>
    </row>
    <row r="1726" spans="29:30" x14ac:dyDescent="0.25">
      <c r="AC1726" s="23" t="s">
        <v>4891</v>
      </c>
      <c r="AD1726">
        <v>0</v>
      </c>
    </row>
    <row r="1727" spans="29:30" x14ac:dyDescent="0.25">
      <c r="AC1727" s="23" t="s">
        <v>1713</v>
      </c>
      <c r="AD1727">
        <v>0</v>
      </c>
    </row>
    <row r="1728" spans="29:30" x14ac:dyDescent="0.25">
      <c r="AC1728" s="23" t="s">
        <v>1973</v>
      </c>
      <c r="AD1728">
        <v>0</v>
      </c>
    </row>
    <row r="1729" spans="29:30" x14ac:dyDescent="0.25">
      <c r="AC1729" s="23" t="s">
        <v>1715</v>
      </c>
      <c r="AD1729">
        <v>0</v>
      </c>
    </row>
    <row r="1730" spans="29:30" x14ac:dyDescent="0.25">
      <c r="AC1730" s="23" t="s">
        <v>1853</v>
      </c>
      <c r="AD1730">
        <v>0</v>
      </c>
    </row>
    <row r="1731" spans="29:30" x14ac:dyDescent="0.25">
      <c r="AC1731" s="23" t="s">
        <v>1655</v>
      </c>
      <c r="AD1731">
        <v>0</v>
      </c>
    </row>
    <row r="1732" spans="29:30" x14ac:dyDescent="0.25">
      <c r="AC1732" s="23" t="s">
        <v>1855</v>
      </c>
      <c r="AD1732">
        <v>0</v>
      </c>
    </row>
    <row r="1733" spans="29:30" x14ac:dyDescent="0.25">
      <c r="AC1733" s="23" t="s">
        <v>1751</v>
      </c>
      <c r="AD1733">
        <v>0</v>
      </c>
    </row>
    <row r="1734" spans="29:30" x14ac:dyDescent="0.25">
      <c r="AC1734" s="23" t="s">
        <v>1945</v>
      </c>
      <c r="AD1734">
        <v>0</v>
      </c>
    </row>
    <row r="1735" spans="29:30" x14ac:dyDescent="0.25">
      <c r="AC1735" s="23" t="s">
        <v>1719</v>
      </c>
      <c r="AD1735">
        <v>0</v>
      </c>
    </row>
    <row r="1736" spans="29:30" x14ac:dyDescent="0.25">
      <c r="AC1736" s="23" t="s">
        <v>497</v>
      </c>
      <c r="AD1736">
        <v>0</v>
      </c>
    </row>
    <row r="1737" spans="29:30" x14ac:dyDescent="0.25">
      <c r="AC1737" s="23" t="s">
        <v>4881</v>
      </c>
      <c r="AD1737">
        <v>0</v>
      </c>
    </row>
    <row r="1738" spans="29:30" x14ac:dyDescent="0.25">
      <c r="AC1738" s="23" t="s">
        <v>1851</v>
      </c>
      <c r="AD1738">
        <v>0</v>
      </c>
    </row>
    <row r="1739" spans="29:30" x14ac:dyDescent="0.25">
      <c r="AC1739" s="23" t="s">
        <v>1709</v>
      </c>
      <c r="AD1739">
        <v>0</v>
      </c>
    </row>
    <row r="1740" spans="29:30" x14ac:dyDescent="0.25">
      <c r="AC1740" s="23" t="s">
        <v>1857</v>
      </c>
      <c r="AD1740">
        <v>0</v>
      </c>
    </row>
    <row r="1741" spans="29:30" x14ac:dyDescent="0.25">
      <c r="AC1741" s="23" t="s">
        <v>1667</v>
      </c>
      <c r="AD1741">
        <v>0</v>
      </c>
    </row>
    <row r="1742" spans="29:30" x14ac:dyDescent="0.25">
      <c r="AC1742" s="23" t="s">
        <v>1997</v>
      </c>
      <c r="AD1742">
        <v>0</v>
      </c>
    </row>
    <row r="1743" spans="29:30" x14ac:dyDescent="0.25">
      <c r="AC1743" s="23" t="s">
        <v>1717</v>
      </c>
      <c r="AD1743">
        <v>0</v>
      </c>
    </row>
    <row r="1744" spans="29:30" x14ac:dyDescent="0.25">
      <c r="AC1744" s="23" t="s">
        <v>1859</v>
      </c>
      <c r="AD1744">
        <v>0</v>
      </c>
    </row>
    <row r="1745" spans="29:30" x14ac:dyDescent="0.25">
      <c r="AC1745" s="23" t="s">
        <v>1721</v>
      </c>
      <c r="AD1745">
        <v>0</v>
      </c>
    </row>
    <row r="1746" spans="29:30" x14ac:dyDescent="0.25">
      <c r="AC1746" s="23" t="s">
        <v>4911</v>
      </c>
      <c r="AD1746">
        <v>0</v>
      </c>
    </row>
    <row r="1747" spans="29:30" x14ac:dyDescent="0.25">
      <c r="AC1747" s="23" t="s">
        <v>1723</v>
      </c>
      <c r="AD1747">
        <v>0</v>
      </c>
    </row>
    <row r="1748" spans="29:30" x14ac:dyDescent="0.25">
      <c r="AC1748" s="23" t="s">
        <v>1849</v>
      </c>
      <c r="AD1748">
        <v>0</v>
      </c>
    </row>
    <row r="1749" spans="29:30" x14ac:dyDescent="0.25">
      <c r="AC1749" s="23" t="s">
        <v>1677</v>
      </c>
      <c r="AD1749">
        <v>0</v>
      </c>
    </row>
    <row r="1750" spans="29:30" x14ac:dyDescent="0.25">
      <c r="AC1750" s="23" t="s">
        <v>2005</v>
      </c>
      <c r="AD1750">
        <v>0</v>
      </c>
    </row>
    <row r="1751" spans="29:30" x14ac:dyDescent="0.25">
      <c r="AC1751" s="23" t="s">
        <v>1727</v>
      </c>
      <c r="AD1751">
        <v>0</v>
      </c>
    </row>
    <row r="1752" spans="29:30" x14ac:dyDescent="0.25">
      <c r="AC1752" s="23" t="s">
        <v>1883</v>
      </c>
      <c r="AD1752">
        <v>0</v>
      </c>
    </row>
    <row r="1753" spans="29:30" x14ac:dyDescent="0.25">
      <c r="AC1753" s="23" t="s">
        <v>4819</v>
      </c>
      <c r="AD1753">
        <v>0</v>
      </c>
    </row>
    <row r="1754" spans="29:30" x14ac:dyDescent="0.25">
      <c r="AC1754" s="23" t="s">
        <v>1885</v>
      </c>
      <c r="AD1754">
        <v>0</v>
      </c>
    </row>
    <row r="1755" spans="29:30" x14ac:dyDescent="0.25">
      <c r="AC1755" s="23" t="s">
        <v>3495</v>
      </c>
      <c r="AD1755">
        <v>0</v>
      </c>
    </row>
    <row r="1756" spans="29:30" x14ac:dyDescent="0.25">
      <c r="AC1756" s="23" t="s">
        <v>1869</v>
      </c>
      <c r="AD1756">
        <v>0</v>
      </c>
    </row>
    <row r="1757" spans="29:30" x14ac:dyDescent="0.25">
      <c r="AC1757" s="23" t="s">
        <v>1695</v>
      </c>
      <c r="AD1757">
        <v>0</v>
      </c>
    </row>
    <row r="1758" spans="29:30" x14ac:dyDescent="0.25">
      <c r="AC1758" s="23" t="s">
        <v>1891</v>
      </c>
      <c r="AD1758">
        <v>0</v>
      </c>
    </row>
    <row r="1759" spans="29:30" x14ac:dyDescent="0.25">
      <c r="AC1759" s="23" t="s">
        <v>1701</v>
      </c>
      <c r="AD1759">
        <v>0</v>
      </c>
    </row>
    <row r="1760" spans="29:30" x14ac:dyDescent="0.25">
      <c r="AC1760" s="23" t="s">
        <v>1877</v>
      </c>
      <c r="AD1760">
        <v>0</v>
      </c>
    </row>
    <row r="1761" spans="29:30" x14ac:dyDescent="0.25">
      <c r="AC1761" s="23" t="s">
        <v>1737</v>
      </c>
      <c r="AD1761">
        <v>0</v>
      </c>
    </row>
    <row r="1762" spans="29:30" x14ac:dyDescent="0.25">
      <c r="AC1762" s="23" t="s">
        <v>1867</v>
      </c>
      <c r="AD1762">
        <v>0</v>
      </c>
    </row>
    <row r="1763" spans="29:30" x14ac:dyDescent="0.25">
      <c r="AC1763" s="23" t="s">
        <v>1739</v>
      </c>
      <c r="AD1763">
        <v>0</v>
      </c>
    </row>
    <row r="1764" spans="29:30" x14ac:dyDescent="0.25">
      <c r="AC1764" s="23" t="s">
        <v>1879</v>
      </c>
      <c r="AD1764">
        <v>0</v>
      </c>
    </row>
    <row r="1765" spans="29:30" x14ac:dyDescent="0.25">
      <c r="AC1765" s="23" t="s">
        <v>4863</v>
      </c>
      <c r="AD1765">
        <v>0</v>
      </c>
    </row>
    <row r="1766" spans="29:30" x14ac:dyDescent="0.25">
      <c r="AC1766" s="23" t="s">
        <v>1975</v>
      </c>
      <c r="AD1766">
        <v>0</v>
      </c>
    </row>
    <row r="1767" spans="29:30" x14ac:dyDescent="0.25">
      <c r="AC1767" s="23" t="s">
        <v>1785</v>
      </c>
      <c r="AD1767">
        <v>0</v>
      </c>
    </row>
    <row r="1768" spans="29:30" x14ac:dyDescent="0.25">
      <c r="AC1768" s="23" t="s">
        <v>4897</v>
      </c>
      <c r="AD1768">
        <v>0</v>
      </c>
    </row>
    <row r="1769" spans="29:30" x14ac:dyDescent="0.25">
      <c r="AC1769" s="23" t="s">
        <v>1801</v>
      </c>
      <c r="AD1769">
        <v>0</v>
      </c>
    </row>
    <row r="1770" spans="29:30" x14ac:dyDescent="0.25">
      <c r="AC1770" s="23" t="s">
        <v>1889</v>
      </c>
      <c r="AD1770">
        <v>0</v>
      </c>
    </row>
    <row r="1771" spans="29:30" x14ac:dyDescent="0.25">
      <c r="AC1771" s="23" t="s">
        <v>1703</v>
      </c>
      <c r="AD1771">
        <v>0</v>
      </c>
    </row>
    <row r="1772" spans="29:30" x14ac:dyDescent="0.25">
      <c r="AC1772" s="23" t="s">
        <v>1917</v>
      </c>
      <c r="AD1772">
        <v>0</v>
      </c>
    </row>
    <row r="1773" spans="29:30" x14ac:dyDescent="0.25">
      <c r="AC1773" s="23" t="s">
        <v>1651</v>
      </c>
      <c r="AD1773">
        <v>0</v>
      </c>
    </row>
    <row r="1774" spans="29:30" x14ac:dyDescent="0.25">
      <c r="AC1774" s="23" t="s">
        <v>1928</v>
      </c>
      <c r="AD1774">
        <v>0</v>
      </c>
    </row>
    <row r="1775" spans="29:30" x14ac:dyDescent="0.25">
      <c r="AC1775" s="23" t="s">
        <v>1741</v>
      </c>
      <c r="AD1775">
        <v>0</v>
      </c>
    </row>
    <row r="1776" spans="29:30" x14ac:dyDescent="0.25">
      <c r="AC1776" s="23" t="s">
        <v>1930</v>
      </c>
      <c r="AD1776">
        <v>0</v>
      </c>
    </row>
    <row r="1777" spans="29:30" x14ac:dyDescent="0.25">
      <c r="AC1777" s="23" t="s">
        <v>1731</v>
      </c>
      <c r="AD1777">
        <v>0</v>
      </c>
    </row>
    <row r="1778" spans="29:30" x14ac:dyDescent="0.25">
      <c r="AC1778" s="23" t="s">
        <v>1934</v>
      </c>
      <c r="AD1778">
        <v>0</v>
      </c>
    </row>
    <row r="1779" spans="29:30" x14ac:dyDescent="0.25">
      <c r="AC1779" s="23" t="s">
        <v>1733</v>
      </c>
      <c r="AD1779">
        <v>0</v>
      </c>
    </row>
    <row r="1780" spans="29:30" x14ac:dyDescent="0.25">
      <c r="AC1780" s="23" t="s">
        <v>1961</v>
      </c>
      <c r="AD1780">
        <v>0</v>
      </c>
    </row>
    <row r="1781" spans="29:30" x14ac:dyDescent="0.25">
      <c r="AC1781" s="23" t="s">
        <v>1835</v>
      </c>
      <c r="AD1781">
        <v>0</v>
      </c>
    </row>
    <row r="1782" spans="29:30" x14ac:dyDescent="0.25">
      <c r="AC1782" s="23" t="s">
        <v>828</v>
      </c>
      <c r="AD1782">
        <v>0</v>
      </c>
    </row>
    <row r="1783" spans="29:30" x14ac:dyDescent="0.25">
      <c r="AC1783" s="23" t="s">
        <v>1735</v>
      </c>
      <c r="AD1783">
        <v>0</v>
      </c>
    </row>
    <row r="1784" spans="29:30" x14ac:dyDescent="0.25">
      <c r="AC1784" s="23" t="s">
        <v>1957</v>
      </c>
      <c r="AD1784">
        <v>0</v>
      </c>
    </row>
    <row r="1785" spans="29:30" x14ac:dyDescent="0.25">
      <c r="AC1785" s="23" t="s">
        <v>1771</v>
      </c>
      <c r="AD1785">
        <v>0</v>
      </c>
    </row>
    <row r="1786" spans="29:30" x14ac:dyDescent="0.25">
      <c r="AC1786" s="23" t="s">
        <v>4893</v>
      </c>
      <c r="AD1786">
        <v>0</v>
      </c>
    </row>
    <row r="1787" spans="29:30" x14ac:dyDescent="0.25">
      <c r="AC1787" s="23" t="s">
        <v>1745</v>
      </c>
      <c r="AD1787">
        <v>0</v>
      </c>
    </row>
    <row r="1788" spans="29:30" x14ac:dyDescent="0.25">
      <c r="AC1788" s="23" t="s">
        <v>1936</v>
      </c>
      <c r="AD1788">
        <v>0</v>
      </c>
    </row>
    <row r="1789" spans="29:30" x14ac:dyDescent="0.25">
      <c r="AC1789" s="23" t="s">
        <v>4865</v>
      </c>
      <c r="AD1789">
        <v>0</v>
      </c>
    </row>
    <row r="1790" spans="29:30" x14ac:dyDescent="0.25">
      <c r="AC1790" s="23" t="s">
        <v>1949</v>
      </c>
      <c r="AD1790">
        <v>0</v>
      </c>
    </row>
    <row r="1791" spans="29:30" x14ac:dyDescent="0.25">
      <c r="AC1791" s="23" t="s">
        <v>1743</v>
      </c>
      <c r="AD1791">
        <v>0</v>
      </c>
    </row>
    <row r="1792" spans="29:30" x14ac:dyDescent="0.25">
      <c r="AC1792" s="23" t="s">
        <v>1981</v>
      </c>
      <c r="AD1792">
        <v>0</v>
      </c>
    </row>
    <row r="1793" spans="29:30" x14ac:dyDescent="0.25">
      <c r="AC1793" s="23" t="s">
        <v>1749</v>
      </c>
      <c r="AD1793">
        <v>0</v>
      </c>
    </row>
    <row r="1794" spans="29:30" x14ac:dyDescent="0.25">
      <c r="AC1794" s="23" t="s">
        <v>1873</v>
      </c>
      <c r="AD1794">
        <v>0</v>
      </c>
    </row>
    <row r="1795" spans="29:30" x14ac:dyDescent="0.25">
      <c r="AC1795" s="23" t="s">
        <v>1659</v>
      </c>
      <c r="AD1795">
        <v>0</v>
      </c>
    </row>
    <row r="1796" spans="29:30" x14ac:dyDescent="0.25">
      <c r="AC1796" s="23" t="s">
        <v>1951</v>
      </c>
      <c r="AD1796">
        <v>0</v>
      </c>
    </row>
    <row r="1797" spans="29:30" x14ac:dyDescent="0.25">
      <c r="AC1797" s="23" t="s">
        <v>4861</v>
      </c>
      <c r="AD1797">
        <v>0</v>
      </c>
    </row>
    <row r="1798" spans="29:30" x14ac:dyDescent="0.25">
      <c r="AC1798" s="23" t="s">
        <v>1963</v>
      </c>
      <c r="AD1798">
        <v>0</v>
      </c>
    </row>
    <row r="1799" spans="29:30" x14ac:dyDescent="0.25">
      <c r="AC1799" s="23" t="s">
        <v>1765</v>
      </c>
      <c r="AD1799">
        <v>0</v>
      </c>
    </row>
    <row r="1800" spans="29:30" x14ac:dyDescent="0.25">
      <c r="AC1800" s="23" t="s">
        <v>1911</v>
      </c>
      <c r="AD1800">
        <v>0</v>
      </c>
    </row>
    <row r="1801" spans="29:30" x14ac:dyDescent="0.25">
      <c r="AC1801" s="23" t="s">
        <v>1775</v>
      </c>
      <c r="AD1801">
        <v>0</v>
      </c>
    </row>
    <row r="1802" spans="29:30" x14ac:dyDescent="0.25">
      <c r="AC1802" s="23" t="s">
        <v>1502</v>
      </c>
      <c r="AD1802">
        <v>0</v>
      </c>
    </row>
    <row r="1803" spans="29:30" x14ac:dyDescent="0.25">
      <c r="AC1803" s="23" t="s">
        <v>403</v>
      </c>
      <c r="AD1803">
        <v>0</v>
      </c>
    </row>
    <row r="1804" spans="29:30" x14ac:dyDescent="0.25">
      <c r="AC1804" s="23" t="s">
        <v>1500</v>
      </c>
      <c r="AD1804">
        <v>0</v>
      </c>
    </row>
    <row r="1805" spans="29:30" x14ac:dyDescent="0.25">
      <c r="AC1805" s="23" t="s">
        <v>1376</v>
      </c>
      <c r="AD1805">
        <v>0</v>
      </c>
    </row>
    <row r="1806" spans="29:30" x14ac:dyDescent="0.25">
      <c r="AC1806" s="23" t="s">
        <v>1304</v>
      </c>
      <c r="AD1806">
        <v>0</v>
      </c>
    </row>
    <row r="1807" spans="29:30" x14ac:dyDescent="0.25">
      <c r="AC1807" s="23" t="s">
        <v>950</v>
      </c>
      <c r="AD1807">
        <v>0</v>
      </c>
    </row>
    <row r="1808" spans="29:30" x14ac:dyDescent="0.25">
      <c r="AC1808" s="23" t="s">
        <v>1430</v>
      </c>
      <c r="AD1808">
        <v>0</v>
      </c>
    </row>
    <row r="1809" spans="29:30" x14ac:dyDescent="0.25">
      <c r="AC1809" s="23" t="s">
        <v>4785</v>
      </c>
      <c r="AD1809">
        <v>0</v>
      </c>
    </row>
    <row r="1810" spans="29:30" x14ac:dyDescent="0.25">
      <c r="AC1810" s="23" t="s">
        <v>1248</v>
      </c>
      <c r="AD1810">
        <v>0</v>
      </c>
    </row>
    <row r="1811" spans="29:30" x14ac:dyDescent="0.25">
      <c r="AC1811" s="23" t="s">
        <v>796</v>
      </c>
      <c r="AD1811">
        <v>0</v>
      </c>
    </row>
    <row r="1812" spans="29:30" x14ac:dyDescent="0.25">
      <c r="AC1812" s="23" t="s">
        <v>4803</v>
      </c>
      <c r="AD1812">
        <v>0</v>
      </c>
    </row>
    <row r="1813" spans="29:30" x14ac:dyDescent="0.25">
      <c r="AC1813" s="23" t="s">
        <v>5063</v>
      </c>
      <c r="AD1813">
        <v>0</v>
      </c>
    </row>
    <row r="1814" spans="29:30" x14ac:dyDescent="0.25">
      <c r="AC1814" s="23" t="s">
        <v>1410</v>
      </c>
      <c r="AD1814">
        <v>0</v>
      </c>
    </row>
    <row r="1815" spans="29:30" x14ac:dyDescent="0.25">
      <c r="AC1815" s="23" t="s">
        <v>4975</v>
      </c>
      <c r="AD1815">
        <v>0</v>
      </c>
    </row>
    <row r="1816" spans="29:30" x14ac:dyDescent="0.25">
      <c r="AC1816" s="23" t="s">
        <v>2785</v>
      </c>
      <c r="AD1816">
        <v>0</v>
      </c>
    </row>
    <row r="1817" spans="29:30" x14ac:dyDescent="0.25">
      <c r="AC1817" s="23" t="s">
        <v>1118</v>
      </c>
      <c r="AD1817">
        <v>0</v>
      </c>
    </row>
    <row r="1818" spans="29:30" x14ac:dyDescent="0.25">
      <c r="AC1818" s="23" t="s">
        <v>1254</v>
      </c>
      <c r="AD1818">
        <v>0</v>
      </c>
    </row>
    <row r="1819" spans="29:30" x14ac:dyDescent="0.25">
      <c r="AC1819" s="23" t="s">
        <v>1172</v>
      </c>
      <c r="AD1819">
        <v>0</v>
      </c>
    </row>
    <row r="1820" spans="29:30" x14ac:dyDescent="0.25">
      <c r="AC1820" s="23" t="s">
        <v>1316</v>
      </c>
      <c r="AD1820">
        <v>0</v>
      </c>
    </row>
    <row r="1821" spans="29:30" x14ac:dyDescent="0.25">
      <c r="AC1821" s="23" t="s">
        <v>960</v>
      </c>
      <c r="AD1821">
        <v>0</v>
      </c>
    </row>
    <row r="1822" spans="29:30" x14ac:dyDescent="0.25">
      <c r="AC1822" s="23" t="s">
        <v>4815</v>
      </c>
      <c r="AD1822">
        <v>0</v>
      </c>
    </row>
    <row r="1823" spans="29:30" x14ac:dyDescent="0.25">
      <c r="AC1823" s="23" t="s">
        <v>962</v>
      </c>
      <c r="AD1823">
        <v>0</v>
      </c>
    </row>
    <row r="1824" spans="29:30" x14ac:dyDescent="0.25">
      <c r="AC1824" s="23" t="s">
        <v>1372</v>
      </c>
      <c r="AD1824">
        <v>0</v>
      </c>
    </row>
    <row r="1825" spans="29:30" x14ac:dyDescent="0.25">
      <c r="AC1825" s="23" t="s">
        <v>4783</v>
      </c>
      <c r="AD1825">
        <v>0</v>
      </c>
    </row>
    <row r="1826" spans="29:30" x14ac:dyDescent="0.25">
      <c r="AC1826" s="23" t="s">
        <v>4827</v>
      </c>
      <c r="AD1826">
        <v>0</v>
      </c>
    </row>
    <row r="1827" spans="29:30" x14ac:dyDescent="0.25">
      <c r="AC1827" s="23" t="s">
        <v>848</v>
      </c>
      <c r="AD1827">
        <v>0</v>
      </c>
    </row>
    <row r="1828" spans="29:30" x14ac:dyDescent="0.25">
      <c r="AC1828" s="23" t="s">
        <v>1424</v>
      </c>
      <c r="AD1828">
        <v>0</v>
      </c>
    </row>
    <row r="1829" spans="29:30" x14ac:dyDescent="0.25">
      <c r="AC1829" s="23" t="s">
        <v>3437</v>
      </c>
      <c r="AD1829">
        <v>0</v>
      </c>
    </row>
    <row r="1830" spans="29:30" x14ac:dyDescent="0.25">
      <c r="AC1830" s="23" t="s">
        <v>1404</v>
      </c>
      <c r="AD1830">
        <v>0</v>
      </c>
    </row>
    <row r="1831" spans="29:30" x14ac:dyDescent="0.25">
      <c r="AC1831" s="23" t="s">
        <v>1030</v>
      </c>
      <c r="AD1831">
        <v>0</v>
      </c>
    </row>
    <row r="1832" spans="29:30" x14ac:dyDescent="0.25">
      <c r="AC1832" s="23" t="s">
        <v>1478</v>
      </c>
      <c r="AD1832">
        <v>0</v>
      </c>
    </row>
    <row r="1833" spans="29:30" x14ac:dyDescent="0.25">
      <c r="AC1833" s="23" t="s">
        <v>1048</v>
      </c>
      <c r="AD1833">
        <v>0</v>
      </c>
    </row>
    <row r="1834" spans="29:30" x14ac:dyDescent="0.25">
      <c r="AC1834" s="23" t="s">
        <v>1378</v>
      </c>
      <c r="AD1834">
        <v>0</v>
      </c>
    </row>
    <row r="1835" spans="29:30" x14ac:dyDescent="0.25">
      <c r="AC1835" s="23" t="s">
        <v>409</v>
      </c>
      <c r="AD1835">
        <v>0</v>
      </c>
    </row>
    <row r="1836" spans="29:30" x14ac:dyDescent="0.25">
      <c r="AC1836" s="23" t="s">
        <v>1258</v>
      </c>
      <c r="AD1836">
        <v>0</v>
      </c>
    </row>
    <row r="1837" spans="29:30" x14ac:dyDescent="0.25">
      <c r="AC1837" s="23" t="s">
        <v>822</v>
      </c>
      <c r="AD1837">
        <v>0</v>
      </c>
    </row>
    <row r="1838" spans="29:30" x14ac:dyDescent="0.25">
      <c r="AC1838" s="23" t="s">
        <v>2373</v>
      </c>
      <c r="AD1838">
        <v>0</v>
      </c>
    </row>
    <row r="1839" spans="29:30" x14ac:dyDescent="0.25">
      <c r="AC1839" s="23" t="s">
        <v>4709</v>
      </c>
      <c r="AD1839">
        <v>0</v>
      </c>
    </row>
    <row r="1840" spans="29:30" x14ac:dyDescent="0.25">
      <c r="AC1840" s="23" t="s">
        <v>1252</v>
      </c>
      <c r="AD1840">
        <v>0</v>
      </c>
    </row>
    <row r="1841" spans="29:30" x14ac:dyDescent="0.25">
      <c r="AC1841" s="23" t="s">
        <v>1178</v>
      </c>
      <c r="AD1841">
        <v>0</v>
      </c>
    </row>
    <row r="1842" spans="29:30" x14ac:dyDescent="0.25">
      <c r="AC1842" s="23" t="s">
        <v>1326</v>
      </c>
      <c r="AD1842">
        <v>0</v>
      </c>
    </row>
    <row r="1843" spans="29:30" x14ac:dyDescent="0.25">
      <c r="AC1843" s="23" t="s">
        <v>1004</v>
      </c>
      <c r="AD1843">
        <v>0</v>
      </c>
    </row>
    <row r="1844" spans="29:30" x14ac:dyDescent="0.25">
      <c r="AC1844" s="23" t="s">
        <v>1358</v>
      </c>
      <c r="AD1844">
        <v>0</v>
      </c>
    </row>
    <row r="1845" spans="29:30" x14ac:dyDescent="0.25">
      <c r="AC1845" s="23" t="s">
        <v>5073</v>
      </c>
      <c r="AD1845">
        <v>0</v>
      </c>
    </row>
    <row r="1846" spans="29:30" x14ac:dyDescent="0.25">
      <c r="AC1846" s="23" t="s">
        <v>1274</v>
      </c>
      <c r="AD1846">
        <v>0</v>
      </c>
    </row>
    <row r="1847" spans="29:30" x14ac:dyDescent="0.25">
      <c r="AC1847" s="23" t="s">
        <v>1006</v>
      </c>
      <c r="AD1847">
        <v>0</v>
      </c>
    </row>
    <row r="1848" spans="29:30" x14ac:dyDescent="0.25">
      <c r="AC1848" s="23" t="s">
        <v>1272</v>
      </c>
      <c r="AD1848">
        <v>0</v>
      </c>
    </row>
    <row r="1849" spans="29:30" x14ac:dyDescent="0.25">
      <c r="AC1849" s="23" t="s">
        <v>1010</v>
      </c>
      <c r="AD1849">
        <v>0</v>
      </c>
    </row>
    <row r="1850" spans="29:30" x14ac:dyDescent="0.25">
      <c r="AC1850" s="23" t="s">
        <v>1394</v>
      </c>
      <c r="AD1850">
        <v>0</v>
      </c>
    </row>
    <row r="1851" spans="29:30" x14ac:dyDescent="0.25">
      <c r="AC1851" s="23" t="s">
        <v>856</v>
      </c>
      <c r="AD1851">
        <v>0</v>
      </c>
    </row>
    <row r="1852" spans="29:30" x14ac:dyDescent="0.25">
      <c r="AC1852" s="23" t="s">
        <v>4845</v>
      </c>
      <c r="AD1852">
        <v>0</v>
      </c>
    </row>
    <row r="1853" spans="29:30" x14ac:dyDescent="0.25">
      <c r="AC1853" s="23" t="s">
        <v>1156</v>
      </c>
      <c r="AD1853">
        <v>0</v>
      </c>
    </row>
    <row r="1854" spans="29:30" x14ac:dyDescent="0.25">
      <c r="AC1854" s="23" t="s">
        <v>4837</v>
      </c>
      <c r="AD1854">
        <v>0</v>
      </c>
    </row>
    <row r="1855" spans="29:30" x14ac:dyDescent="0.25">
      <c r="AC1855" s="23" t="s">
        <v>1064</v>
      </c>
      <c r="AD1855">
        <v>0</v>
      </c>
    </row>
    <row r="1856" spans="29:30" x14ac:dyDescent="0.25">
      <c r="AC1856" s="23" t="s">
        <v>1438</v>
      </c>
      <c r="AD1856">
        <v>0</v>
      </c>
    </row>
    <row r="1857" spans="29:30" x14ac:dyDescent="0.25">
      <c r="AC1857" s="23" t="s">
        <v>998</v>
      </c>
      <c r="AD1857">
        <v>0</v>
      </c>
    </row>
    <row r="1858" spans="29:30" x14ac:dyDescent="0.25">
      <c r="AC1858" s="23" t="s">
        <v>1458</v>
      </c>
      <c r="AD1858">
        <v>0</v>
      </c>
    </row>
    <row r="1859" spans="29:30" x14ac:dyDescent="0.25">
      <c r="AC1859" s="23" t="s">
        <v>1126</v>
      </c>
      <c r="AD1859">
        <v>0</v>
      </c>
    </row>
    <row r="1860" spans="29:30" x14ac:dyDescent="0.25">
      <c r="AC1860" s="23" t="s">
        <v>1456</v>
      </c>
      <c r="AD1860">
        <v>0</v>
      </c>
    </row>
    <row r="1861" spans="29:30" x14ac:dyDescent="0.25">
      <c r="AC1861" s="23" t="s">
        <v>5075</v>
      </c>
      <c r="AD1861">
        <v>0</v>
      </c>
    </row>
    <row r="1862" spans="29:30" x14ac:dyDescent="0.25">
      <c r="AC1862" s="23" t="s">
        <v>1428</v>
      </c>
      <c r="AD1862">
        <v>0</v>
      </c>
    </row>
    <row r="1863" spans="29:30" x14ac:dyDescent="0.25">
      <c r="AC1863" s="23" t="s">
        <v>958</v>
      </c>
      <c r="AD1863">
        <v>0</v>
      </c>
    </row>
    <row r="1864" spans="29:30" x14ac:dyDescent="0.25">
      <c r="AC1864" s="23" t="s">
        <v>1482</v>
      </c>
      <c r="AD1864">
        <v>0</v>
      </c>
    </row>
    <row r="1865" spans="29:30" x14ac:dyDescent="0.25">
      <c r="AC1865" s="23" t="s">
        <v>1042</v>
      </c>
      <c r="AD1865">
        <v>0</v>
      </c>
    </row>
    <row r="1866" spans="29:30" x14ac:dyDescent="0.25">
      <c r="AC1866" s="23" t="s">
        <v>1228</v>
      </c>
      <c r="AD1866">
        <v>0</v>
      </c>
    </row>
    <row r="1867" spans="29:30" x14ac:dyDescent="0.25">
      <c r="AC1867" s="23" t="s">
        <v>1018</v>
      </c>
      <c r="AD1867">
        <v>0</v>
      </c>
    </row>
    <row r="1868" spans="29:30" x14ac:dyDescent="0.25">
      <c r="AC1868" s="23" t="s">
        <v>1332</v>
      </c>
      <c r="AD1868">
        <v>0</v>
      </c>
    </row>
    <row r="1869" spans="29:30" x14ac:dyDescent="0.25">
      <c r="AC1869" s="23" t="s">
        <v>1082</v>
      </c>
      <c r="AD1869">
        <v>0</v>
      </c>
    </row>
    <row r="1870" spans="29:30" x14ac:dyDescent="0.25">
      <c r="AC1870" s="23" t="s">
        <v>1256</v>
      </c>
      <c r="AD1870">
        <v>0</v>
      </c>
    </row>
    <row r="1871" spans="29:30" x14ac:dyDescent="0.25">
      <c r="AC1871" s="23" t="s">
        <v>890</v>
      </c>
      <c r="AD1871">
        <v>0</v>
      </c>
    </row>
    <row r="1872" spans="29:30" x14ac:dyDescent="0.25">
      <c r="AC1872" s="23" t="s">
        <v>1264</v>
      </c>
      <c r="AD1872">
        <v>0</v>
      </c>
    </row>
    <row r="1873" spans="29:30" x14ac:dyDescent="0.25">
      <c r="AC1873" s="23" t="s">
        <v>1136</v>
      </c>
      <c r="AD1873">
        <v>0</v>
      </c>
    </row>
    <row r="1874" spans="29:30" x14ac:dyDescent="0.25">
      <c r="AC1874" s="23" t="s">
        <v>2820</v>
      </c>
      <c r="AD1874">
        <v>0</v>
      </c>
    </row>
    <row r="1875" spans="29:30" x14ac:dyDescent="0.25">
      <c r="AC1875" s="23" t="s">
        <v>1040</v>
      </c>
      <c r="AD1875">
        <v>0</v>
      </c>
    </row>
    <row r="1876" spans="29:30" x14ac:dyDescent="0.25">
      <c r="AC1876" s="23" t="s">
        <v>1382</v>
      </c>
      <c r="AD1876">
        <v>0</v>
      </c>
    </row>
    <row r="1877" spans="29:30" x14ac:dyDescent="0.25">
      <c r="AC1877" s="23" t="s">
        <v>1034</v>
      </c>
      <c r="AD1877">
        <v>0</v>
      </c>
    </row>
    <row r="1878" spans="29:30" x14ac:dyDescent="0.25">
      <c r="AC1878" s="23" t="s">
        <v>1322</v>
      </c>
      <c r="AD1878">
        <v>0</v>
      </c>
    </row>
    <row r="1879" spans="29:30" x14ac:dyDescent="0.25">
      <c r="AC1879" s="23" t="s">
        <v>1036</v>
      </c>
      <c r="AD1879">
        <v>0</v>
      </c>
    </row>
    <row r="1880" spans="29:30" x14ac:dyDescent="0.25">
      <c r="AC1880" s="23" t="s">
        <v>1298</v>
      </c>
      <c r="AD1880">
        <v>0</v>
      </c>
    </row>
    <row r="1881" spans="29:30" x14ac:dyDescent="0.25">
      <c r="AC1881" s="23" t="s">
        <v>1166</v>
      </c>
      <c r="AD1881">
        <v>0</v>
      </c>
    </row>
    <row r="1882" spans="29:30" x14ac:dyDescent="0.25">
      <c r="AC1882" s="23" t="s">
        <v>4807</v>
      </c>
      <c r="AD1882">
        <v>0</v>
      </c>
    </row>
    <row r="1883" spans="29:30" x14ac:dyDescent="0.25">
      <c r="AC1883" s="23" t="s">
        <v>934</v>
      </c>
      <c r="AD1883">
        <v>0</v>
      </c>
    </row>
    <row r="1884" spans="29:30" x14ac:dyDescent="0.25">
      <c r="AC1884" s="23" t="s">
        <v>4823</v>
      </c>
      <c r="AD1884">
        <v>0</v>
      </c>
    </row>
    <row r="1885" spans="29:30" x14ac:dyDescent="0.25">
      <c r="AC1885" s="23" t="s">
        <v>1072</v>
      </c>
      <c r="AD1885">
        <v>0</v>
      </c>
    </row>
    <row r="1886" spans="29:30" x14ac:dyDescent="0.25">
      <c r="AC1886" s="23" t="s">
        <v>1212</v>
      </c>
      <c r="AD1886">
        <v>0</v>
      </c>
    </row>
    <row r="1887" spans="29:30" x14ac:dyDescent="0.25">
      <c r="AC1887" s="23" t="s">
        <v>1038</v>
      </c>
      <c r="AD1887">
        <v>0</v>
      </c>
    </row>
    <row r="1888" spans="29:30" x14ac:dyDescent="0.25">
      <c r="AC1888" s="23" t="s">
        <v>1346</v>
      </c>
      <c r="AD1888">
        <v>0</v>
      </c>
    </row>
    <row r="1889" spans="29:30" x14ac:dyDescent="0.25">
      <c r="AC1889" s="23" t="s">
        <v>906</v>
      </c>
      <c r="AD1889">
        <v>0</v>
      </c>
    </row>
    <row r="1890" spans="29:30" x14ac:dyDescent="0.25">
      <c r="AC1890" s="23" t="s">
        <v>1370</v>
      </c>
      <c r="AD1890">
        <v>0</v>
      </c>
    </row>
    <row r="1891" spans="29:30" x14ac:dyDescent="0.25">
      <c r="AC1891" s="23" t="s">
        <v>1120</v>
      </c>
      <c r="AD1891">
        <v>0</v>
      </c>
    </row>
    <row r="1892" spans="29:30" x14ac:dyDescent="0.25">
      <c r="AC1892" s="23" t="s">
        <v>1236</v>
      </c>
      <c r="AD1892">
        <v>0</v>
      </c>
    </row>
    <row r="1893" spans="29:30" x14ac:dyDescent="0.25">
      <c r="AC1893" s="23" t="s">
        <v>842</v>
      </c>
      <c r="AD1893">
        <v>0</v>
      </c>
    </row>
    <row r="1894" spans="29:30" x14ac:dyDescent="0.25">
      <c r="AC1894" s="23" t="s">
        <v>1216</v>
      </c>
      <c r="AD1894">
        <v>0</v>
      </c>
    </row>
    <row r="1895" spans="29:30" x14ac:dyDescent="0.25">
      <c r="AC1895" s="23" t="s">
        <v>1162</v>
      </c>
      <c r="AD1895">
        <v>0</v>
      </c>
    </row>
    <row r="1896" spans="29:30" x14ac:dyDescent="0.25">
      <c r="AC1896" s="23" t="s">
        <v>1374</v>
      </c>
      <c r="AD1896">
        <v>0</v>
      </c>
    </row>
    <row r="1897" spans="29:30" x14ac:dyDescent="0.25">
      <c r="AC1897" s="23" t="s">
        <v>1164</v>
      </c>
      <c r="AD1897">
        <v>0</v>
      </c>
    </row>
    <row r="1898" spans="29:30" x14ac:dyDescent="0.25">
      <c r="AC1898" s="23" t="s">
        <v>1350</v>
      </c>
      <c r="AD1898">
        <v>0</v>
      </c>
    </row>
    <row r="1899" spans="29:30" x14ac:dyDescent="0.25">
      <c r="AC1899" s="23" t="s">
        <v>1170</v>
      </c>
      <c r="AD1899">
        <v>0</v>
      </c>
    </row>
    <row r="1900" spans="29:30" x14ac:dyDescent="0.25">
      <c r="AC1900" s="23" t="s">
        <v>1396</v>
      </c>
      <c r="AD1900">
        <v>0</v>
      </c>
    </row>
    <row r="1901" spans="29:30" x14ac:dyDescent="0.25">
      <c r="AC1901" s="23" t="s">
        <v>968</v>
      </c>
      <c r="AD1901">
        <v>0</v>
      </c>
    </row>
    <row r="1902" spans="29:30" x14ac:dyDescent="0.25">
      <c r="AC1902" s="23" t="s">
        <v>1436</v>
      </c>
      <c r="AD1902">
        <v>0</v>
      </c>
    </row>
    <row r="1903" spans="29:30" x14ac:dyDescent="0.25">
      <c r="AC1903" s="23" t="s">
        <v>1168</v>
      </c>
      <c r="AD1903">
        <v>0</v>
      </c>
    </row>
    <row r="1904" spans="29:30" x14ac:dyDescent="0.25">
      <c r="AC1904" s="23" t="s">
        <v>1542</v>
      </c>
      <c r="AD1904">
        <v>0</v>
      </c>
    </row>
    <row r="1905" spans="29:30" x14ac:dyDescent="0.25">
      <c r="AC1905" s="23" t="s">
        <v>4799</v>
      </c>
      <c r="AD1905">
        <v>0</v>
      </c>
    </row>
    <row r="1906" spans="29:30" x14ac:dyDescent="0.25">
      <c r="AC1906" s="23" t="s">
        <v>1414</v>
      </c>
      <c r="AD1906">
        <v>0</v>
      </c>
    </row>
    <row r="1907" spans="29:30" x14ac:dyDescent="0.25">
      <c r="AC1907" s="23" t="s">
        <v>1174</v>
      </c>
      <c r="AD1907">
        <v>0</v>
      </c>
    </row>
    <row r="1908" spans="29:30" x14ac:dyDescent="0.25">
      <c r="AC1908" s="23" t="s">
        <v>3421</v>
      </c>
      <c r="AD1908">
        <v>0</v>
      </c>
    </row>
    <row r="1909" spans="29:30" x14ac:dyDescent="0.25">
      <c r="AC1909" s="23" t="s">
        <v>1076</v>
      </c>
      <c r="AD1909">
        <v>0</v>
      </c>
    </row>
    <row r="1910" spans="29:30" x14ac:dyDescent="0.25">
      <c r="AC1910" s="23" t="s">
        <v>4833</v>
      </c>
      <c r="AD1910">
        <v>0</v>
      </c>
    </row>
    <row r="1911" spans="29:30" x14ac:dyDescent="0.25">
      <c r="AC1911" s="23" t="s">
        <v>942</v>
      </c>
      <c r="AD1911">
        <v>0</v>
      </c>
    </row>
    <row r="1912" spans="29:30" x14ac:dyDescent="0.25">
      <c r="AC1912" s="23" t="s">
        <v>1512</v>
      </c>
      <c r="AD1912">
        <v>0</v>
      </c>
    </row>
    <row r="1913" spans="29:30" x14ac:dyDescent="0.25">
      <c r="AC1913" s="23" t="s">
        <v>1078</v>
      </c>
      <c r="AD1913">
        <v>0</v>
      </c>
    </row>
    <row r="1914" spans="29:30" x14ac:dyDescent="0.25">
      <c r="AC1914" s="23" t="s">
        <v>1432</v>
      </c>
      <c r="AD1914">
        <v>0</v>
      </c>
    </row>
    <row r="1915" spans="29:30" x14ac:dyDescent="0.25">
      <c r="AC1915" s="23" t="s">
        <v>4727</v>
      </c>
      <c r="AD1915">
        <v>0</v>
      </c>
    </row>
    <row r="1916" spans="29:30" x14ac:dyDescent="0.25">
      <c r="AC1916" s="23" t="s">
        <v>1450</v>
      </c>
      <c r="AD1916">
        <v>0</v>
      </c>
    </row>
    <row r="1917" spans="29:30" x14ac:dyDescent="0.25">
      <c r="AC1917" s="23" t="s">
        <v>1152</v>
      </c>
      <c r="AD1917">
        <v>0</v>
      </c>
    </row>
    <row r="1918" spans="29:30" x14ac:dyDescent="0.25">
      <c r="AC1918" s="23" t="s">
        <v>4841</v>
      </c>
      <c r="AD1918">
        <v>0</v>
      </c>
    </row>
    <row r="1919" spans="29:30" x14ac:dyDescent="0.25">
      <c r="AC1919" s="23" t="s">
        <v>1068</v>
      </c>
      <c r="AD1919">
        <v>0</v>
      </c>
    </row>
    <row r="1920" spans="29:30" x14ac:dyDescent="0.25">
      <c r="AC1920" s="23" t="s">
        <v>1510</v>
      </c>
      <c r="AD1920">
        <v>0</v>
      </c>
    </row>
    <row r="1921" spans="29:30" x14ac:dyDescent="0.25">
      <c r="AC1921" s="23" t="s">
        <v>948</v>
      </c>
      <c r="AD1921">
        <v>0</v>
      </c>
    </row>
    <row r="1922" spans="29:30" x14ac:dyDescent="0.25">
      <c r="AC1922" s="23" t="s">
        <v>1486</v>
      </c>
      <c r="AD1922">
        <v>0</v>
      </c>
    </row>
    <row r="1923" spans="29:30" x14ac:dyDescent="0.25">
      <c r="AC1923" s="23" t="s">
        <v>1074</v>
      </c>
      <c r="AD1923">
        <v>0</v>
      </c>
    </row>
    <row r="1924" spans="29:30" x14ac:dyDescent="0.25">
      <c r="AC1924" s="23" t="s">
        <v>1484</v>
      </c>
      <c r="AD1924">
        <v>0</v>
      </c>
    </row>
    <row r="1925" spans="29:30" x14ac:dyDescent="0.25">
      <c r="AC1925" s="23" t="s">
        <v>5067</v>
      </c>
      <c r="AD1925">
        <v>0</v>
      </c>
    </row>
    <row r="1926" spans="29:30" x14ac:dyDescent="0.25">
      <c r="AC1926" s="23" t="s">
        <v>1476</v>
      </c>
      <c r="AD1926">
        <v>0</v>
      </c>
    </row>
    <row r="1927" spans="29:30" x14ac:dyDescent="0.25">
      <c r="AC1927" s="23" t="s">
        <v>1108</v>
      </c>
      <c r="AD1927">
        <v>0</v>
      </c>
    </row>
    <row r="1928" spans="29:30" x14ac:dyDescent="0.25">
      <c r="AC1928" s="23" t="s">
        <v>1496</v>
      </c>
      <c r="AD1928">
        <v>0</v>
      </c>
    </row>
    <row r="1929" spans="29:30" x14ac:dyDescent="0.25">
      <c r="AC1929" s="23" t="s">
        <v>1080</v>
      </c>
      <c r="AD1929">
        <v>0</v>
      </c>
    </row>
    <row r="1930" spans="29:30" x14ac:dyDescent="0.25">
      <c r="AC1930" s="23" t="s">
        <v>1462</v>
      </c>
      <c r="AD1930">
        <v>0</v>
      </c>
    </row>
    <row r="1931" spans="29:30" x14ac:dyDescent="0.25">
      <c r="AC1931" s="23" t="s">
        <v>1012</v>
      </c>
      <c r="AD1931">
        <v>0</v>
      </c>
    </row>
    <row r="1932" spans="29:30" x14ac:dyDescent="0.25">
      <c r="AC1932" s="23" t="s">
        <v>1360</v>
      </c>
      <c r="AD1932">
        <v>0</v>
      </c>
    </row>
    <row r="1933" spans="29:30" x14ac:dyDescent="0.25">
      <c r="AC1933" s="23" t="s">
        <v>1088</v>
      </c>
      <c r="AD1933">
        <v>0</v>
      </c>
    </row>
    <row r="1934" spans="29:30" x14ac:dyDescent="0.25">
      <c r="AC1934" s="23" t="s">
        <v>1230</v>
      </c>
      <c r="AD1934">
        <v>0</v>
      </c>
    </row>
    <row r="1935" spans="29:30" x14ac:dyDescent="0.25">
      <c r="AC1935" s="23" t="s">
        <v>1182</v>
      </c>
      <c r="AD1935">
        <v>0</v>
      </c>
    </row>
    <row r="1936" spans="29:30" x14ac:dyDescent="0.25">
      <c r="AC1936" s="23" t="s">
        <v>1232</v>
      </c>
      <c r="AD1936">
        <v>0</v>
      </c>
    </row>
    <row r="1937" spans="29:30" x14ac:dyDescent="0.25">
      <c r="AC1937" s="23" t="s">
        <v>1184</v>
      </c>
      <c r="AD1937">
        <v>0</v>
      </c>
    </row>
    <row r="1938" spans="29:30" x14ac:dyDescent="0.25">
      <c r="AC1938" s="23" t="s">
        <v>1250</v>
      </c>
      <c r="AD1938">
        <v>0</v>
      </c>
    </row>
    <row r="1939" spans="29:30" x14ac:dyDescent="0.25">
      <c r="AC1939" s="23" t="s">
        <v>5188</v>
      </c>
      <c r="AD1939">
        <v>0</v>
      </c>
    </row>
    <row r="1940" spans="29:30" x14ac:dyDescent="0.25">
      <c r="AC1940" s="23" t="s">
        <v>1296</v>
      </c>
      <c r="AD1940">
        <v>0</v>
      </c>
    </row>
    <row r="1941" spans="29:30" x14ac:dyDescent="0.25">
      <c r="AC1941" s="23" t="s">
        <v>1138</v>
      </c>
      <c r="AD1941">
        <v>0</v>
      </c>
    </row>
    <row r="1942" spans="29:30" x14ac:dyDescent="0.25">
      <c r="AC1942" s="23" t="s">
        <v>1262</v>
      </c>
      <c r="AD1942">
        <v>0</v>
      </c>
    </row>
    <row r="1943" spans="29:30" x14ac:dyDescent="0.25">
      <c r="AC1943" s="23" t="s">
        <v>1140</v>
      </c>
      <c r="AD1943">
        <v>0</v>
      </c>
    </row>
    <row r="1944" spans="29:30" x14ac:dyDescent="0.25">
      <c r="AC1944" s="23" t="s">
        <v>1308</v>
      </c>
      <c r="AD1944">
        <v>0</v>
      </c>
    </row>
    <row r="1945" spans="29:30" x14ac:dyDescent="0.25">
      <c r="AC1945" s="23" t="s">
        <v>988</v>
      </c>
      <c r="AD1945">
        <v>0</v>
      </c>
    </row>
    <row r="1946" spans="29:30" x14ac:dyDescent="0.25">
      <c r="AC1946" s="23" t="s">
        <v>1204</v>
      </c>
      <c r="AD1946">
        <v>0</v>
      </c>
    </row>
    <row r="1947" spans="29:30" x14ac:dyDescent="0.25">
      <c r="AC1947" s="23" t="s">
        <v>1142</v>
      </c>
      <c r="AD1947">
        <v>0</v>
      </c>
    </row>
    <row r="1948" spans="29:30" x14ac:dyDescent="0.25">
      <c r="AC1948" s="23" t="s">
        <v>1266</v>
      </c>
      <c r="AD1948">
        <v>0</v>
      </c>
    </row>
    <row r="1949" spans="29:30" x14ac:dyDescent="0.25">
      <c r="AC1949" s="23" t="s">
        <v>902</v>
      </c>
      <c r="AD1949">
        <v>0</v>
      </c>
    </row>
    <row r="1950" spans="29:30" x14ac:dyDescent="0.25">
      <c r="AC1950" s="23" t="s">
        <v>1314</v>
      </c>
      <c r="AD1950">
        <v>0</v>
      </c>
    </row>
    <row r="1951" spans="29:30" x14ac:dyDescent="0.25">
      <c r="AC1951" s="23" t="s">
        <v>992</v>
      </c>
      <c r="AD1951">
        <v>0</v>
      </c>
    </row>
    <row r="1952" spans="29:30" x14ac:dyDescent="0.25">
      <c r="AC1952" s="23" t="s">
        <v>4328</v>
      </c>
      <c r="AD1952">
        <v>0</v>
      </c>
    </row>
    <row r="1953" spans="29:30" x14ac:dyDescent="0.25">
      <c r="AC1953" s="23" t="s">
        <v>4795</v>
      </c>
      <c r="AD1953">
        <v>0</v>
      </c>
    </row>
    <row r="1954" spans="29:30" x14ac:dyDescent="0.25">
      <c r="AC1954" s="23" t="s">
        <v>1338</v>
      </c>
      <c r="AD1954">
        <v>0</v>
      </c>
    </row>
    <row r="1955" spans="29:30" x14ac:dyDescent="0.25">
      <c r="AC1955" s="23" t="s">
        <v>1066</v>
      </c>
      <c r="AD1955">
        <v>0</v>
      </c>
    </row>
    <row r="1956" spans="29:30" x14ac:dyDescent="0.25">
      <c r="AC1956" s="23" t="s">
        <v>1320</v>
      </c>
      <c r="AD1956">
        <v>0</v>
      </c>
    </row>
    <row r="1957" spans="29:30" x14ac:dyDescent="0.25">
      <c r="AC1957" s="23" t="s">
        <v>1144</v>
      </c>
      <c r="AD1957">
        <v>0</v>
      </c>
    </row>
    <row r="1958" spans="29:30" x14ac:dyDescent="0.25">
      <c r="AC1958" s="23" t="s">
        <v>1278</v>
      </c>
      <c r="AD1958">
        <v>0</v>
      </c>
    </row>
    <row r="1959" spans="29:30" x14ac:dyDescent="0.25">
      <c r="AC1959" s="23" t="s">
        <v>940</v>
      </c>
      <c r="AD1959">
        <v>0</v>
      </c>
    </row>
    <row r="1960" spans="29:30" x14ac:dyDescent="0.25">
      <c r="AC1960" s="23" t="s">
        <v>1238</v>
      </c>
      <c r="AD1960">
        <v>0</v>
      </c>
    </row>
    <row r="1961" spans="29:30" x14ac:dyDescent="0.25">
      <c r="AC1961" s="23" t="s">
        <v>1110</v>
      </c>
      <c r="AD1961">
        <v>0</v>
      </c>
    </row>
    <row r="1962" spans="29:30" x14ac:dyDescent="0.25">
      <c r="AC1962" s="23" t="s">
        <v>1366</v>
      </c>
      <c r="AD1962">
        <v>0</v>
      </c>
    </row>
    <row r="1963" spans="29:30" x14ac:dyDescent="0.25">
      <c r="AC1963" s="23" t="s">
        <v>3607</v>
      </c>
      <c r="AD1963">
        <v>0</v>
      </c>
    </row>
    <row r="1964" spans="29:30" x14ac:dyDescent="0.25">
      <c r="AC1964" s="23" t="s">
        <v>1324</v>
      </c>
      <c r="AD1964">
        <v>0</v>
      </c>
    </row>
    <row r="1965" spans="29:30" x14ac:dyDescent="0.25">
      <c r="AC1965" s="23" t="s">
        <v>1186</v>
      </c>
      <c r="AD1965">
        <v>0</v>
      </c>
    </row>
    <row r="1966" spans="29:30" x14ac:dyDescent="0.25">
      <c r="AC1966" s="23" t="s">
        <v>1218</v>
      </c>
      <c r="AD1966">
        <v>0</v>
      </c>
    </row>
    <row r="1967" spans="29:30" x14ac:dyDescent="0.25">
      <c r="AC1967" s="23" t="s">
        <v>1340</v>
      </c>
      <c r="AD1967">
        <v>0</v>
      </c>
    </row>
    <row r="1968" spans="29:30" x14ac:dyDescent="0.25">
      <c r="AC1968" s="23" t="s">
        <v>1318</v>
      </c>
      <c r="AD1968">
        <v>0</v>
      </c>
    </row>
    <row r="1969" spans="29:30" x14ac:dyDescent="0.25">
      <c r="AC1969" s="23" t="s">
        <v>1190</v>
      </c>
      <c r="AD1969">
        <v>0</v>
      </c>
    </row>
    <row r="1970" spans="29:30" x14ac:dyDescent="0.25">
      <c r="AC1970" s="23" t="s">
        <v>1354</v>
      </c>
      <c r="AD1970">
        <v>0</v>
      </c>
    </row>
    <row r="1971" spans="29:30" x14ac:dyDescent="0.25">
      <c r="AC1971" s="23" t="s">
        <v>1202</v>
      </c>
      <c r="AD1971">
        <v>0</v>
      </c>
    </row>
    <row r="1972" spans="29:30" x14ac:dyDescent="0.25">
      <c r="AC1972" s="23" t="s">
        <v>1284</v>
      </c>
      <c r="AD1972">
        <v>0</v>
      </c>
    </row>
    <row r="1973" spans="29:30" x14ac:dyDescent="0.25">
      <c r="AC1973" s="23" t="s">
        <v>1200</v>
      </c>
      <c r="AD1973">
        <v>0</v>
      </c>
    </row>
    <row r="1974" spans="29:30" x14ac:dyDescent="0.25">
      <c r="AC1974" s="23" t="s">
        <v>1342</v>
      </c>
      <c r="AD1974">
        <v>0</v>
      </c>
    </row>
    <row r="1975" spans="29:30" x14ac:dyDescent="0.25">
      <c r="AC1975" s="23" t="s">
        <v>4801</v>
      </c>
      <c r="AD1975">
        <v>0</v>
      </c>
    </row>
    <row r="1976" spans="29:30" x14ac:dyDescent="0.25">
      <c r="AC1976" s="23" t="s">
        <v>3845</v>
      </c>
      <c r="AD1976">
        <v>0</v>
      </c>
    </row>
    <row r="1977" spans="29:30" x14ac:dyDescent="0.25">
      <c r="AC1977" s="23" t="s">
        <v>1380</v>
      </c>
      <c r="AD1977">
        <v>0</v>
      </c>
    </row>
    <row r="1978" spans="29:30" x14ac:dyDescent="0.25">
      <c r="AC1978" s="23" t="s">
        <v>4602</v>
      </c>
      <c r="AD1978">
        <v>0</v>
      </c>
    </row>
    <row r="1979" spans="29:30" x14ac:dyDescent="0.25">
      <c r="AC1979" s="23" t="s">
        <v>1234</v>
      </c>
      <c r="AD1979">
        <v>0</v>
      </c>
    </row>
    <row r="1980" spans="29:30" x14ac:dyDescent="0.25">
      <c r="AC1980" s="23" t="s">
        <v>1268</v>
      </c>
      <c r="AD1980">
        <v>0</v>
      </c>
    </row>
    <row r="1981" spans="29:30" x14ac:dyDescent="0.25">
      <c r="AC1981" s="23" t="s">
        <v>1240</v>
      </c>
      <c r="AD1981">
        <v>0</v>
      </c>
    </row>
    <row r="1982" spans="29:30" x14ac:dyDescent="0.25">
      <c r="AC1982" s="23" t="s">
        <v>1282</v>
      </c>
      <c r="AD1982">
        <v>0</v>
      </c>
    </row>
    <row r="1983" spans="29:30" x14ac:dyDescent="0.25">
      <c r="AC1983" s="23" t="s">
        <v>1242</v>
      </c>
      <c r="AD1983">
        <v>0</v>
      </c>
    </row>
    <row r="1984" spans="29:30" x14ac:dyDescent="0.25">
      <c r="AC1984" s="23" t="s">
        <v>1260</v>
      </c>
      <c r="AD1984">
        <v>0</v>
      </c>
    </row>
    <row r="1985" spans="29:30" x14ac:dyDescent="0.25">
      <c r="AC1985" s="23" t="s">
        <v>1192</v>
      </c>
      <c r="AD1985">
        <v>0</v>
      </c>
    </row>
    <row r="1986" spans="29:30" x14ac:dyDescent="0.25">
      <c r="AC1986" s="23" t="s">
        <v>1208</v>
      </c>
      <c r="AD1986">
        <v>0</v>
      </c>
    </row>
    <row r="1987" spans="29:30" x14ac:dyDescent="0.25">
      <c r="AC1987" s="23" t="s">
        <v>1280</v>
      </c>
      <c r="AD1987">
        <v>0</v>
      </c>
    </row>
    <row r="1988" spans="29:30" x14ac:dyDescent="0.25">
      <c r="AC1988" s="23" t="s">
        <v>4813</v>
      </c>
      <c r="AD1988">
        <v>0</v>
      </c>
    </row>
    <row r="1989" spans="29:30" x14ac:dyDescent="0.25">
      <c r="AC1989" s="23" t="s">
        <v>1270</v>
      </c>
      <c r="AD1989">
        <v>0</v>
      </c>
    </row>
    <row r="1990" spans="29:30" x14ac:dyDescent="0.25">
      <c r="AC1990" s="23" t="s">
        <v>272</v>
      </c>
      <c r="AD1990">
        <v>0</v>
      </c>
    </row>
    <row r="1991" spans="29:30" x14ac:dyDescent="0.25">
      <c r="AC1991" s="23" t="s">
        <v>1392</v>
      </c>
      <c r="AD1991">
        <v>0</v>
      </c>
    </row>
    <row r="1992" spans="29:30" x14ac:dyDescent="0.25">
      <c r="AC1992" s="23" t="s">
        <v>4821</v>
      </c>
      <c r="AD1992">
        <v>0</v>
      </c>
    </row>
    <row r="1993" spans="29:30" x14ac:dyDescent="0.25">
      <c r="AC1993" s="23" t="s">
        <v>1300</v>
      </c>
      <c r="AD1993">
        <v>0</v>
      </c>
    </row>
    <row r="1994" spans="29:30" x14ac:dyDescent="0.25">
      <c r="AC1994" s="23" t="s">
        <v>1348</v>
      </c>
      <c r="AD1994">
        <v>0</v>
      </c>
    </row>
    <row r="1995" spans="29:30" x14ac:dyDescent="0.25">
      <c r="AC1995" s="23" t="s">
        <v>1294</v>
      </c>
      <c r="AD1995">
        <v>0</v>
      </c>
    </row>
    <row r="1996" spans="29:30" x14ac:dyDescent="0.25">
      <c r="AC1996" s="23" t="s">
        <v>1386</v>
      </c>
      <c r="AD1996">
        <v>0</v>
      </c>
    </row>
    <row r="1997" spans="29:30" x14ac:dyDescent="0.25">
      <c r="AC1997" s="23" t="s">
        <v>1194</v>
      </c>
      <c r="AD1997">
        <v>0</v>
      </c>
    </row>
    <row r="1998" spans="29:30" x14ac:dyDescent="0.25">
      <c r="AC1998" s="23" t="s">
        <v>1312</v>
      </c>
      <c r="AD1998">
        <v>0</v>
      </c>
    </row>
    <row r="1999" spans="29:30" x14ac:dyDescent="0.25">
      <c r="AC1999" s="23" t="s">
        <v>1176</v>
      </c>
      <c r="AD1999">
        <v>0</v>
      </c>
    </row>
    <row r="2000" spans="29:30" x14ac:dyDescent="0.25">
      <c r="AC2000" s="23" t="s">
        <v>4825</v>
      </c>
      <c r="AD2000">
        <v>0</v>
      </c>
    </row>
    <row r="2001" spans="29:30" x14ac:dyDescent="0.25">
      <c r="AC2001" s="23" t="s">
        <v>1196</v>
      </c>
      <c r="AD2001">
        <v>0</v>
      </c>
    </row>
    <row r="2002" spans="29:30" x14ac:dyDescent="0.25">
      <c r="AC2002" s="23" t="s">
        <v>1494</v>
      </c>
      <c r="AD2002">
        <v>0</v>
      </c>
    </row>
    <row r="2003" spans="29:30" x14ac:dyDescent="0.25">
      <c r="AC2003" s="23" t="s">
        <v>1286</v>
      </c>
      <c r="AD2003">
        <v>0</v>
      </c>
    </row>
    <row r="2004" spans="29:30" x14ac:dyDescent="0.25">
      <c r="AC2004" s="23" t="s">
        <v>1440</v>
      </c>
      <c r="AD2004">
        <v>0</v>
      </c>
    </row>
    <row r="2005" spans="29:30" x14ac:dyDescent="0.25">
      <c r="AC2005" s="23" t="s">
        <v>1310</v>
      </c>
      <c r="AD2005">
        <v>0</v>
      </c>
    </row>
    <row r="2006" spans="29:30" x14ac:dyDescent="0.25">
      <c r="AC2006" s="23" t="s">
        <v>2695</v>
      </c>
      <c r="AD2006">
        <v>0</v>
      </c>
    </row>
    <row r="2007" spans="29:30" x14ac:dyDescent="0.25">
      <c r="AC2007" s="23" t="s">
        <v>1344</v>
      </c>
      <c r="AD2007">
        <v>0</v>
      </c>
    </row>
    <row r="2008" spans="29:30" x14ac:dyDescent="0.25">
      <c r="AC2008" s="23" t="s">
        <v>1546</v>
      </c>
      <c r="AD2008">
        <v>0</v>
      </c>
    </row>
    <row r="2009" spans="29:30" x14ac:dyDescent="0.25">
      <c r="AC2009" s="23" t="s">
        <v>3411</v>
      </c>
      <c r="AD2009">
        <v>0</v>
      </c>
    </row>
    <row r="2010" spans="29:30" x14ac:dyDescent="0.25">
      <c r="AC2010" s="23" t="s">
        <v>1408</v>
      </c>
      <c r="AD2010">
        <v>0</v>
      </c>
    </row>
    <row r="2011" spans="29:30" x14ac:dyDescent="0.25">
      <c r="AC2011" s="23" t="s">
        <v>1188</v>
      </c>
      <c r="AD2011">
        <v>0</v>
      </c>
    </row>
    <row r="2012" spans="29:30" x14ac:dyDescent="0.25">
      <c r="AC2012" s="23" t="s">
        <v>1406</v>
      </c>
      <c r="AD2012">
        <v>0</v>
      </c>
    </row>
    <row r="2013" spans="29:30" x14ac:dyDescent="0.25">
      <c r="AC2013" s="23" t="s">
        <v>1330</v>
      </c>
      <c r="AD2013">
        <v>0</v>
      </c>
    </row>
    <row r="2014" spans="29:30" x14ac:dyDescent="0.25">
      <c r="AC2014" s="23" t="s">
        <v>1422</v>
      </c>
      <c r="AD2014">
        <v>0</v>
      </c>
    </row>
    <row r="2015" spans="29:30" x14ac:dyDescent="0.25">
      <c r="AC2015" s="23" t="s">
        <v>1198</v>
      </c>
      <c r="AD2015">
        <v>0</v>
      </c>
    </row>
    <row r="2016" spans="29:30" x14ac:dyDescent="0.25">
      <c r="AC2016" s="23" t="s">
        <v>1418</v>
      </c>
      <c r="AD2016">
        <v>0</v>
      </c>
    </row>
    <row r="2017" spans="29:30" x14ac:dyDescent="0.25">
      <c r="AC2017" s="23" t="s">
        <v>1362</v>
      </c>
      <c r="AD2017">
        <v>0</v>
      </c>
    </row>
    <row r="2018" spans="29:30" x14ac:dyDescent="0.25">
      <c r="AC2018" s="23" t="s">
        <v>1508</v>
      </c>
      <c r="AD2018">
        <v>0</v>
      </c>
    </row>
    <row r="2019" spans="29:30" x14ac:dyDescent="0.25">
      <c r="AC2019" s="23" t="s">
        <v>1364</v>
      </c>
      <c r="AD2019">
        <v>0</v>
      </c>
    </row>
    <row r="2020" spans="29:30" x14ac:dyDescent="0.25">
      <c r="AC2020" s="23" t="s">
        <v>1460</v>
      </c>
      <c r="AD2020">
        <v>0</v>
      </c>
    </row>
    <row r="2021" spans="29:30" x14ac:dyDescent="0.25">
      <c r="AC2021" s="23" t="s">
        <v>1214</v>
      </c>
      <c r="AD2021">
        <v>0</v>
      </c>
    </row>
    <row r="2022" spans="29:30" x14ac:dyDescent="0.25">
      <c r="AC2022" s="23" t="s">
        <v>1488</v>
      </c>
      <c r="AD2022">
        <v>0</v>
      </c>
    </row>
    <row r="2023" spans="29:30" x14ac:dyDescent="0.25">
      <c r="AC2023" s="23" t="s">
        <v>1246</v>
      </c>
      <c r="AD2023">
        <v>0</v>
      </c>
    </row>
    <row r="2024" spans="29:30" x14ac:dyDescent="0.25">
      <c r="AC2024" s="23" t="s">
        <v>1444</v>
      </c>
      <c r="AD2024">
        <v>0</v>
      </c>
    </row>
    <row r="2025" spans="29:30" x14ac:dyDescent="0.25">
      <c r="AC2025" s="23" t="s">
        <v>1352</v>
      </c>
      <c r="AD2025">
        <v>0</v>
      </c>
    </row>
    <row r="2026" spans="29:30" x14ac:dyDescent="0.25">
      <c r="AC2026" s="23" t="s">
        <v>1426</v>
      </c>
      <c r="AD2026">
        <v>0</v>
      </c>
    </row>
    <row r="2027" spans="29:30" x14ac:dyDescent="0.25">
      <c r="AC2027" s="23" t="s">
        <v>1390</v>
      </c>
      <c r="AD2027">
        <v>0</v>
      </c>
    </row>
    <row r="2028" spans="29:30" x14ac:dyDescent="0.25">
      <c r="AC2028" s="23" t="s">
        <v>1544</v>
      </c>
      <c r="AD2028">
        <v>0</v>
      </c>
    </row>
    <row r="2029" spans="29:30" x14ac:dyDescent="0.25">
      <c r="AC2029" s="23" t="s">
        <v>1336</v>
      </c>
      <c r="AD2029">
        <v>0</v>
      </c>
    </row>
    <row r="2030" spans="29:30" x14ac:dyDescent="0.25">
      <c r="AC2030" s="23" t="s">
        <v>1490</v>
      </c>
      <c r="AD2030">
        <v>0</v>
      </c>
    </row>
    <row r="2031" spans="29:30" x14ac:dyDescent="0.25">
      <c r="AC2031" s="23" t="s">
        <v>1328</v>
      </c>
      <c r="AD2031">
        <v>0</v>
      </c>
    </row>
    <row r="2032" spans="29:30" x14ac:dyDescent="0.25">
      <c r="AC2032" s="23" t="s">
        <v>1442</v>
      </c>
      <c r="AD2032">
        <v>0</v>
      </c>
    </row>
    <row r="2033" spans="29:30" x14ac:dyDescent="0.25">
      <c r="AC2033" s="23" t="s">
        <v>1244</v>
      </c>
      <c r="AD2033">
        <v>0</v>
      </c>
    </row>
    <row r="2034" spans="29:30" x14ac:dyDescent="0.25">
      <c r="AC2034" s="23" t="s">
        <v>1514</v>
      </c>
      <c r="AD2034">
        <v>0</v>
      </c>
    </row>
    <row r="2035" spans="29:30" x14ac:dyDescent="0.25">
      <c r="AC2035" s="23" t="s">
        <v>1384</v>
      </c>
      <c r="AD2035">
        <v>0</v>
      </c>
    </row>
    <row r="2036" spans="29:30" x14ac:dyDescent="0.25">
      <c r="AC2036" s="23" t="s">
        <v>1452</v>
      </c>
      <c r="AD2036">
        <v>0</v>
      </c>
    </row>
    <row r="2037" spans="29:30" x14ac:dyDescent="0.25">
      <c r="AC2037" s="23" t="s">
        <v>1302</v>
      </c>
      <c r="AD2037">
        <v>0</v>
      </c>
    </row>
    <row r="2038" spans="29:30" x14ac:dyDescent="0.25">
      <c r="AC2038" s="23" t="s">
        <v>1454</v>
      </c>
      <c r="AD2038">
        <v>0</v>
      </c>
    </row>
    <row r="2039" spans="29:30" x14ac:dyDescent="0.25">
      <c r="AC2039" s="23" t="s">
        <v>1222</v>
      </c>
      <c r="AD2039">
        <v>0</v>
      </c>
    </row>
    <row r="2040" spans="29:30" x14ac:dyDescent="0.25">
      <c r="AC2040" s="23" t="s">
        <v>1464</v>
      </c>
      <c r="AD2040">
        <v>0</v>
      </c>
    </row>
    <row r="2041" spans="29:30" x14ac:dyDescent="0.25">
      <c r="AC2041" s="23" t="s">
        <v>1292</v>
      </c>
      <c r="AD2041">
        <v>0</v>
      </c>
    </row>
    <row r="2042" spans="29:30" x14ac:dyDescent="0.25">
      <c r="AC2042" s="23" t="s">
        <v>1466</v>
      </c>
      <c r="AD2042">
        <v>0</v>
      </c>
    </row>
    <row r="2043" spans="29:30" x14ac:dyDescent="0.25">
      <c r="AC2043" s="23" t="s">
        <v>1276</v>
      </c>
      <c r="AD2043">
        <v>0</v>
      </c>
    </row>
    <row r="2044" spans="29:30" x14ac:dyDescent="0.25">
      <c r="AC2044" s="23" t="s">
        <v>1468</v>
      </c>
      <c r="AD2044">
        <v>0</v>
      </c>
    </row>
    <row r="2045" spans="29:30" x14ac:dyDescent="0.25">
      <c r="AC2045" s="23" t="s">
        <v>1290</v>
      </c>
      <c r="AD2045">
        <v>0</v>
      </c>
    </row>
    <row r="2046" spans="29:30" x14ac:dyDescent="0.25">
      <c r="AC2046" s="23" t="s">
        <v>1470</v>
      </c>
      <c r="AD2046">
        <v>0</v>
      </c>
    </row>
    <row r="2047" spans="29:30" x14ac:dyDescent="0.25">
      <c r="AC2047" s="23" t="s">
        <v>1206</v>
      </c>
      <c r="AD2047">
        <v>0</v>
      </c>
    </row>
    <row r="2048" spans="29:30" x14ac:dyDescent="0.25">
      <c r="AC2048" s="23" t="s">
        <v>1480</v>
      </c>
      <c r="AD2048">
        <v>0</v>
      </c>
    </row>
    <row r="2049" spans="29:30" x14ac:dyDescent="0.25">
      <c r="AC2049" s="23" t="s">
        <v>1288</v>
      </c>
      <c r="AD2049">
        <v>0</v>
      </c>
    </row>
    <row r="2050" spans="29:30" x14ac:dyDescent="0.25">
      <c r="AC2050" s="23" t="s">
        <v>1472</v>
      </c>
      <c r="AD2050">
        <v>0</v>
      </c>
    </row>
    <row r="2051" spans="29:30" x14ac:dyDescent="0.25">
      <c r="AC2051" s="23" t="s">
        <v>1226</v>
      </c>
      <c r="AD2051">
        <v>0</v>
      </c>
    </row>
    <row r="2052" spans="29:30" x14ac:dyDescent="0.25">
      <c r="AC2052" s="23" t="s">
        <v>1474</v>
      </c>
      <c r="AD2052">
        <v>0</v>
      </c>
    </row>
    <row r="2053" spans="29:30" x14ac:dyDescent="0.25">
      <c r="AC2053" s="23" t="s">
        <v>4805</v>
      </c>
      <c r="AD2053">
        <v>0</v>
      </c>
    </row>
    <row r="2054" spans="29:30" x14ac:dyDescent="0.25">
      <c r="AC2054" s="23" t="s">
        <v>1434</v>
      </c>
      <c r="AD2054">
        <v>0</v>
      </c>
    </row>
    <row r="2055" spans="29:30" x14ac:dyDescent="0.25">
      <c r="AC2055" s="23" t="s">
        <v>1224</v>
      </c>
      <c r="AD2055">
        <v>0</v>
      </c>
    </row>
    <row r="2056" spans="29:30" x14ac:dyDescent="0.25">
      <c r="AC2056" s="23" t="s">
        <v>1498</v>
      </c>
      <c r="AD2056">
        <v>0</v>
      </c>
    </row>
    <row r="2057" spans="29:30" x14ac:dyDescent="0.25">
      <c r="AC2057" s="23" t="s">
        <v>1334</v>
      </c>
      <c r="AD2057">
        <v>0</v>
      </c>
    </row>
    <row r="2058" spans="29:30" x14ac:dyDescent="0.25">
      <c r="AC2058" s="23" t="s">
        <v>1504</v>
      </c>
      <c r="AD2058">
        <v>0</v>
      </c>
    </row>
    <row r="2059" spans="29:30" x14ac:dyDescent="0.25">
      <c r="AC2059" s="23" t="s">
        <v>1210</v>
      </c>
      <c r="AD2059">
        <v>0</v>
      </c>
    </row>
    <row r="2060" spans="29:30" x14ac:dyDescent="0.25">
      <c r="AC2060" s="23" t="s">
        <v>3316</v>
      </c>
      <c r="AD2060">
        <v>0</v>
      </c>
    </row>
    <row r="2061" spans="29:30" x14ac:dyDescent="0.25">
      <c r="AC2061" s="23" t="s">
        <v>4811</v>
      </c>
      <c r="AD2061">
        <v>0</v>
      </c>
    </row>
    <row r="2062" spans="29:30" x14ac:dyDescent="0.25">
      <c r="AC2062" s="23" t="s">
        <v>1106</v>
      </c>
      <c r="AD2062">
        <v>0</v>
      </c>
    </row>
    <row r="2063" spans="29:30" x14ac:dyDescent="0.25">
      <c r="AC2063" s="23" t="s">
        <v>904</v>
      </c>
      <c r="AD2063">
        <v>0</v>
      </c>
    </row>
    <row r="2064" spans="29:30" x14ac:dyDescent="0.25">
      <c r="AC2064" s="23" t="s">
        <v>812</v>
      </c>
      <c r="AD2064">
        <v>0</v>
      </c>
    </row>
    <row r="2065" spans="29:30" x14ac:dyDescent="0.25">
      <c r="AC2065" s="23" t="s">
        <v>689</v>
      </c>
      <c r="AD2065">
        <v>0</v>
      </c>
    </row>
    <row r="2066" spans="29:30" x14ac:dyDescent="0.25">
      <c r="AC2066" s="23" t="s">
        <v>5059</v>
      </c>
      <c r="AD2066">
        <v>0</v>
      </c>
    </row>
    <row r="2067" spans="29:30" x14ac:dyDescent="0.25">
      <c r="AC2067" s="23" t="s">
        <v>778</v>
      </c>
      <c r="AD2067">
        <v>0</v>
      </c>
    </row>
    <row r="2068" spans="29:30" x14ac:dyDescent="0.25">
      <c r="AC2068" s="23" t="s">
        <v>854</v>
      </c>
      <c r="AD2068">
        <v>0</v>
      </c>
    </row>
    <row r="2069" spans="29:30" x14ac:dyDescent="0.25">
      <c r="AC2069" s="23" t="s">
        <v>4376</v>
      </c>
      <c r="AD2069">
        <v>0</v>
      </c>
    </row>
    <row r="2070" spans="29:30" x14ac:dyDescent="0.25">
      <c r="AC2070" s="23" t="s">
        <v>417</v>
      </c>
      <c r="AD2070">
        <v>0</v>
      </c>
    </row>
    <row r="2071" spans="29:30" x14ac:dyDescent="0.25">
      <c r="AC2071" s="23" t="s">
        <v>477</v>
      </c>
      <c r="AD2071">
        <v>0</v>
      </c>
    </row>
    <row r="2072" spans="29:30" x14ac:dyDescent="0.25">
      <c r="AC2072" s="23" t="s">
        <v>852</v>
      </c>
      <c r="AD2072">
        <v>0</v>
      </c>
    </row>
    <row r="2073" spans="29:30" x14ac:dyDescent="0.25">
      <c r="AC2073" s="23" t="s">
        <v>609</v>
      </c>
      <c r="AD2073">
        <v>0</v>
      </c>
    </row>
    <row r="2074" spans="29:30" x14ac:dyDescent="0.25">
      <c r="AC2074" s="23" t="s">
        <v>5186</v>
      </c>
      <c r="AD2074">
        <v>0</v>
      </c>
    </row>
    <row r="2075" spans="29:30" x14ac:dyDescent="0.25">
      <c r="AC2075" s="23" t="s">
        <v>475</v>
      </c>
      <c r="AD2075">
        <v>0</v>
      </c>
    </row>
    <row r="2076" spans="29:30" x14ac:dyDescent="0.25">
      <c r="AC2076" s="23" t="s">
        <v>970</v>
      </c>
      <c r="AD2076">
        <v>0</v>
      </c>
    </row>
    <row r="2077" spans="29:30" x14ac:dyDescent="0.25">
      <c r="AC2077" s="23" t="s">
        <v>573</v>
      </c>
      <c r="AD2077">
        <v>0</v>
      </c>
    </row>
    <row r="2078" spans="29:30" x14ac:dyDescent="0.25">
      <c r="AC2078" s="23" t="s">
        <v>3829</v>
      </c>
      <c r="AD2078">
        <v>0</v>
      </c>
    </row>
    <row r="2079" spans="29:30" x14ac:dyDescent="0.25">
      <c r="AC2079" s="23" t="s">
        <v>605</v>
      </c>
      <c r="AD2079">
        <v>0</v>
      </c>
    </row>
    <row r="2080" spans="29:30" x14ac:dyDescent="0.25">
      <c r="AC2080" s="23" t="s">
        <v>886</v>
      </c>
      <c r="AD2080">
        <v>0</v>
      </c>
    </row>
    <row r="2081" spans="29:30" x14ac:dyDescent="0.25">
      <c r="AC2081" s="23" t="s">
        <v>4751</v>
      </c>
      <c r="AD2081">
        <v>0</v>
      </c>
    </row>
    <row r="2082" spans="29:30" x14ac:dyDescent="0.25">
      <c r="AC2082" s="23" t="s">
        <v>1122</v>
      </c>
      <c r="AD2082">
        <v>0</v>
      </c>
    </row>
    <row r="2083" spans="29:30" x14ac:dyDescent="0.25">
      <c r="AC2083" s="23" t="s">
        <v>607</v>
      </c>
      <c r="AD2083">
        <v>0</v>
      </c>
    </row>
    <row r="2084" spans="29:30" x14ac:dyDescent="0.25">
      <c r="AC2084" s="23" t="s">
        <v>954</v>
      </c>
      <c r="AD2084">
        <v>0</v>
      </c>
    </row>
    <row r="2085" spans="29:30" x14ac:dyDescent="0.25">
      <c r="AC2085" s="23" t="s">
        <v>391</v>
      </c>
      <c r="AD2085">
        <v>0</v>
      </c>
    </row>
    <row r="2086" spans="29:30" x14ac:dyDescent="0.25">
      <c r="AC2086" s="23" t="s">
        <v>1124</v>
      </c>
      <c r="AD2086">
        <v>0</v>
      </c>
    </row>
    <row r="2087" spans="29:30" x14ac:dyDescent="0.25">
      <c r="AC2087" s="23" t="s">
        <v>719</v>
      </c>
      <c r="AD2087">
        <v>0</v>
      </c>
    </row>
    <row r="2088" spans="29:30" x14ac:dyDescent="0.25">
      <c r="AC2088" s="23" t="s">
        <v>4781</v>
      </c>
      <c r="AD2088">
        <v>0</v>
      </c>
    </row>
    <row r="2089" spans="29:30" x14ac:dyDescent="0.25">
      <c r="AC2089" s="23" t="s">
        <v>633</v>
      </c>
      <c r="AD2089">
        <v>0</v>
      </c>
    </row>
    <row r="2090" spans="29:30" x14ac:dyDescent="0.25">
      <c r="AC2090" s="23" t="s">
        <v>1100</v>
      </c>
      <c r="AD2090">
        <v>0</v>
      </c>
    </row>
    <row r="2091" spans="29:30" x14ac:dyDescent="0.25">
      <c r="AC2091" s="23" t="s">
        <v>631</v>
      </c>
      <c r="AD2091">
        <v>0</v>
      </c>
    </row>
    <row r="2092" spans="29:30" x14ac:dyDescent="0.25">
      <c r="AC2092" s="23" t="s">
        <v>836</v>
      </c>
      <c r="AD2092">
        <v>0</v>
      </c>
    </row>
    <row r="2093" spans="29:30" x14ac:dyDescent="0.25">
      <c r="AC2093" s="23" t="s">
        <v>623</v>
      </c>
      <c r="AD2093">
        <v>0</v>
      </c>
    </row>
    <row r="2094" spans="29:30" x14ac:dyDescent="0.25">
      <c r="AC2094" s="23" t="s">
        <v>882</v>
      </c>
      <c r="AD2094">
        <v>0</v>
      </c>
    </row>
    <row r="2095" spans="29:30" x14ac:dyDescent="0.25">
      <c r="AC2095" s="23" t="s">
        <v>661</v>
      </c>
      <c r="AD2095">
        <v>0</v>
      </c>
    </row>
    <row r="2096" spans="29:30" x14ac:dyDescent="0.25">
      <c r="AC2096" s="23" t="s">
        <v>938</v>
      </c>
      <c r="AD2096">
        <v>0</v>
      </c>
    </row>
    <row r="2097" spans="29:30" x14ac:dyDescent="0.25">
      <c r="AC2097" s="23" t="s">
        <v>4835</v>
      </c>
      <c r="AD2097">
        <v>0</v>
      </c>
    </row>
    <row r="2098" spans="29:30" x14ac:dyDescent="0.25">
      <c r="AC2098" s="23" t="s">
        <v>1086</v>
      </c>
      <c r="AD2098">
        <v>0</v>
      </c>
    </row>
    <row r="2099" spans="29:30" x14ac:dyDescent="0.25">
      <c r="AC2099" s="23" t="s">
        <v>629</v>
      </c>
      <c r="AD2099">
        <v>0</v>
      </c>
    </row>
    <row r="2100" spans="29:30" x14ac:dyDescent="0.25">
      <c r="AC2100" s="23" t="s">
        <v>4789</v>
      </c>
      <c r="AD2100">
        <v>0</v>
      </c>
    </row>
    <row r="2101" spans="29:30" x14ac:dyDescent="0.25">
      <c r="AC2101" s="23" t="s">
        <v>529</v>
      </c>
      <c r="AD2101">
        <v>0</v>
      </c>
    </row>
    <row r="2102" spans="29:30" x14ac:dyDescent="0.25">
      <c r="AC2102" s="23" t="s">
        <v>908</v>
      </c>
      <c r="AD2102">
        <v>0</v>
      </c>
    </row>
    <row r="2103" spans="29:30" x14ac:dyDescent="0.25">
      <c r="AC2103" s="23" t="s">
        <v>762</v>
      </c>
      <c r="AD2103">
        <v>0</v>
      </c>
    </row>
    <row r="2104" spans="29:30" x14ac:dyDescent="0.25">
      <c r="AC2104" s="23" t="s">
        <v>4895</v>
      </c>
      <c r="AD2104">
        <v>0</v>
      </c>
    </row>
    <row r="2105" spans="29:30" x14ac:dyDescent="0.25">
      <c r="AC2105" s="23" t="s">
        <v>764</v>
      </c>
      <c r="AD2105">
        <v>0</v>
      </c>
    </row>
    <row r="2106" spans="29:30" x14ac:dyDescent="0.25">
      <c r="AC2106" s="23" t="s">
        <v>3827</v>
      </c>
      <c r="AD2106">
        <v>0</v>
      </c>
    </row>
    <row r="2107" spans="29:30" x14ac:dyDescent="0.25">
      <c r="AC2107" s="23" t="s">
        <v>4763</v>
      </c>
      <c r="AD2107">
        <v>0</v>
      </c>
    </row>
    <row r="2108" spans="29:30" x14ac:dyDescent="0.25">
      <c r="AC2108" s="23" t="s">
        <v>3591</v>
      </c>
      <c r="AD2108">
        <v>0</v>
      </c>
    </row>
    <row r="2109" spans="29:30" x14ac:dyDescent="0.25">
      <c r="AC2109" s="23" t="s">
        <v>5083</v>
      </c>
      <c r="AD2109">
        <v>0</v>
      </c>
    </row>
    <row r="2110" spans="29:30" x14ac:dyDescent="0.25">
      <c r="AC2110" s="23" t="s">
        <v>4793</v>
      </c>
      <c r="AD2110">
        <v>0</v>
      </c>
    </row>
    <row r="2111" spans="29:30" x14ac:dyDescent="0.25">
      <c r="AC2111" s="23" t="s">
        <v>5198</v>
      </c>
      <c r="AD2111">
        <v>0</v>
      </c>
    </row>
    <row r="2112" spans="29:30" x14ac:dyDescent="0.25">
      <c r="AC2112" s="23" t="s">
        <v>820</v>
      </c>
      <c r="AD2112">
        <v>0</v>
      </c>
    </row>
    <row r="2113" spans="29:30" x14ac:dyDescent="0.25">
      <c r="AC2113" s="23" t="s">
        <v>5230</v>
      </c>
      <c r="AD2113">
        <v>0</v>
      </c>
    </row>
    <row r="2114" spans="29:30" x14ac:dyDescent="0.25">
      <c r="AC2114" s="23" t="s">
        <v>1020</v>
      </c>
      <c r="AD2114">
        <v>0</v>
      </c>
    </row>
    <row r="2115" spans="29:30" x14ac:dyDescent="0.25">
      <c r="AC2115" s="23" t="s">
        <v>621</v>
      </c>
      <c r="AD2115">
        <v>0</v>
      </c>
    </row>
    <row r="2116" spans="29:30" x14ac:dyDescent="0.25">
      <c r="AC2116" s="23" t="s">
        <v>1028</v>
      </c>
      <c r="AD2116">
        <v>0</v>
      </c>
    </row>
    <row r="2117" spans="29:30" x14ac:dyDescent="0.25">
      <c r="AC2117" s="23" t="s">
        <v>429</v>
      </c>
      <c r="AD2117">
        <v>0</v>
      </c>
    </row>
    <row r="2118" spans="29:30" x14ac:dyDescent="0.25">
      <c r="AC2118" s="23" t="s">
        <v>1114</v>
      </c>
      <c r="AD2118">
        <v>0</v>
      </c>
    </row>
    <row r="2119" spans="29:30" x14ac:dyDescent="0.25">
      <c r="AC2119" s="23" t="s">
        <v>649</v>
      </c>
      <c r="AD2119">
        <v>0</v>
      </c>
    </row>
    <row r="2120" spans="29:30" x14ac:dyDescent="0.25">
      <c r="AC2120" s="23" t="s">
        <v>1160</v>
      </c>
      <c r="AD2120">
        <v>0</v>
      </c>
    </row>
    <row r="2121" spans="29:30" x14ac:dyDescent="0.25">
      <c r="AC2121" s="23" t="s">
        <v>423</v>
      </c>
      <c r="AD2121">
        <v>0</v>
      </c>
    </row>
    <row r="2122" spans="29:30" x14ac:dyDescent="0.25">
      <c r="AC2122" s="23" t="s">
        <v>862</v>
      </c>
      <c r="AD2122">
        <v>0</v>
      </c>
    </row>
    <row r="2123" spans="29:30" x14ac:dyDescent="0.25">
      <c r="AC2123" s="23" t="s">
        <v>3429</v>
      </c>
      <c r="AD2123">
        <v>0</v>
      </c>
    </row>
    <row r="2124" spans="29:30" x14ac:dyDescent="0.25">
      <c r="AC2124" s="23" t="s">
        <v>4721</v>
      </c>
      <c r="AD2124">
        <v>0</v>
      </c>
    </row>
    <row r="2125" spans="29:30" x14ac:dyDescent="0.25">
      <c r="AC2125" s="23" t="s">
        <v>635</v>
      </c>
      <c r="AD2125">
        <v>0</v>
      </c>
    </row>
    <row r="2126" spans="29:30" x14ac:dyDescent="0.25">
      <c r="AC2126" s="23" t="s">
        <v>894</v>
      </c>
      <c r="AD2126">
        <v>0</v>
      </c>
    </row>
    <row r="2127" spans="29:30" x14ac:dyDescent="0.25">
      <c r="AC2127" s="23" t="s">
        <v>758</v>
      </c>
      <c r="AD2127">
        <v>0</v>
      </c>
    </row>
    <row r="2128" spans="29:30" x14ac:dyDescent="0.25">
      <c r="AC2128" s="23" t="s">
        <v>918</v>
      </c>
      <c r="AD2128">
        <v>0</v>
      </c>
    </row>
    <row r="2129" spans="29:30" x14ac:dyDescent="0.25">
      <c r="AC2129" s="23" t="s">
        <v>4314</v>
      </c>
      <c r="AD2129">
        <v>0</v>
      </c>
    </row>
    <row r="2130" spans="29:30" x14ac:dyDescent="0.25">
      <c r="AC2130" s="23" t="s">
        <v>814</v>
      </c>
      <c r="AD2130">
        <v>0</v>
      </c>
    </row>
    <row r="2131" spans="29:30" x14ac:dyDescent="0.25">
      <c r="AC2131" s="23" t="s">
        <v>4338</v>
      </c>
      <c r="AD2131">
        <v>0</v>
      </c>
    </row>
    <row r="2132" spans="29:30" x14ac:dyDescent="0.25">
      <c r="AC2132" s="23" t="s">
        <v>1084</v>
      </c>
      <c r="AD2132">
        <v>0</v>
      </c>
    </row>
    <row r="2133" spans="29:30" x14ac:dyDescent="0.25">
      <c r="AC2133" s="23" t="s">
        <v>459</v>
      </c>
      <c r="AD2133">
        <v>0</v>
      </c>
    </row>
    <row r="2134" spans="29:30" x14ac:dyDescent="0.25">
      <c r="AC2134" s="23" t="s">
        <v>810</v>
      </c>
      <c r="AD2134">
        <v>0</v>
      </c>
    </row>
    <row r="2135" spans="29:30" x14ac:dyDescent="0.25">
      <c r="AC2135" s="23" t="s">
        <v>651</v>
      </c>
      <c r="AD2135">
        <v>0</v>
      </c>
    </row>
    <row r="2136" spans="29:30" x14ac:dyDescent="0.25">
      <c r="AC2136" s="23" t="s">
        <v>1058</v>
      </c>
      <c r="AD2136">
        <v>0</v>
      </c>
    </row>
    <row r="2137" spans="29:30" x14ac:dyDescent="0.25">
      <c r="AC2137" s="23" t="s">
        <v>4059</v>
      </c>
      <c r="AD2137">
        <v>0</v>
      </c>
    </row>
    <row r="2138" spans="29:30" x14ac:dyDescent="0.25">
      <c r="AC2138" s="23" t="s">
        <v>818</v>
      </c>
      <c r="AD2138">
        <v>0</v>
      </c>
    </row>
    <row r="2139" spans="29:30" x14ac:dyDescent="0.25">
      <c r="AC2139" s="23" t="s">
        <v>673</v>
      </c>
      <c r="AD2139">
        <v>0</v>
      </c>
    </row>
    <row r="2140" spans="29:30" x14ac:dyDescent="0.25">
      <c r="AC2140" s="23" t="s">
        <v>1128</v>
      </c>
      <c r="AD2140">
        <v>0</v>
      </c>
    </row>
    <row r="2141" spans="29:30" x14ac:dyDescent="0.25">
      <c r="AC2141" s="23" t="s">
        <v>1548</v>
      </c>
      <c r="AD2141">
        <v>0</v>
      </c>
    </row>
    <row r="2142" spans="29:30" x14ac:dyDescent="0.25">
      <c r="AC2142" s="23" t="s">
        <v>872</v>
      </c>
      <c r="AD2142">
        <v>0</v>
      </c>
    </row>
    <row r="2143" spans="29:30" x14ac:dyDescent="0.25">
      <c r="AC2143" s="23" t="s">
        <v>483</v>
      </c>
      <c r="AD2143">
        <v>0</v>
      </c>
    </row>
    <row r="2144" spans="29:30" x14ac:dyDescent="0.25">
      <c r="AC2144" s="23" t="s">
        <v>1002</v>
      </c>
      <c r="AD2144">
        <v>0</v>
      </c>
    </row>
    <row r="2145" spans="29:30" x14ac:dyDescent="0.25">
      <c r="AC2145" s="23" t="s">
        <v>435</v>
      </c>
      <c r="AD2145">
        <v>0</v>
      </c>
    </row>
    <row r="2146" spans="29:30" x14ac:dyDescent="0.25">
      <c r="AC2146" s="23" t="s">
        <v>1008</v>
      </c>
      <c r="AD2146">
        <v>0</v>
      </c>
    </row>
    <row r="2147" spans="29:30" x14ac:dyDescent="0.25">
      <c r="AC2147" s="23" t="s">
        <v>723</v>
      </c>
      <c r="AD2147">
        <v>0</v>
      </c>
    </row>
    <row r="2148" spans="29:30" x14ac:dyDescent="0.25">
      <c r="AC2148" s="23" t="s">
        <v>910</v>
      </c>
      <c r="AD2148">
        <v>0</v>
      </c>
    </row>
    <row r="2149" spans="29:30" x14ac:dyDescent="0.25">
      <c r="AC2149" s="23" t="s">
        <v>701</v>
      </c>
      <c r="AD2149">
        <v>0</v>
      </c>
    </row>
    <row r="2150" spans="29:30" x14ac:dyDescent="0.25">
      <c r="AC2150" s="23" t="s">
        <v>930</v>
      </c>
      <c r="AD2150">
        <v>0</v>
      </c>
    </row>
    <row r="2151" spans="29:30" x14ac:dyDescent="0.25">
      <c r="AC2151" s="23" t="s">
        <v>385</v>
      </c>
      <c r="AD2151">
        <v>0</v>
      </c>
    </row>
    <row r="2152" spans="29:30" x14ac:dyDescent="0.25">
      <c r="AC2152" s="23" t="s">
        <v>4777</v>
      </c>
      <c r="AD2152">
        <v>0</v>
      </c>
    </row>
    <row r="2153" spans="29:30" x14ac:dyDescent="0.25">
      <c r="AC2153" s="23" t="s">
        <v>772</v>
      </c>
      <c r="AD2153">
        <v>0</v>
      </c>
    </row>
    <row r="2154" spans="29:30" x14ac:dyDescent="0.25">
      <c r="AC2154" s="23" t="s">
        <v>928</v>
      </c>
      <c r="AD2154">
        <v>0</v>
      </c>
    </row>
    <row r="2155" spans="29:30" x14ac:dyDescent="0.25">
      <c r="AC2155" s="23" t="s">
        <v>357</v>
      </c>
      <c r="AD2155">
        <v>0</v>
      </c>
    </row>
    <row r="2156" spans="29:30" x14ac:dyDescent="0.25">
      <c r="AC2156" s="23" t="s">
        <v>4779</v>
      </c>
      <c r="AD2156">
        <v>0</v>
      </c>
    </row>
    <row r="2157" spans="29:30" x14ac:dyDescent="0.25">
      <c r="AC2157" s="23" t="s">
        <v>491</v>
      </c>
      <c r="AD2157">
        <v>0</v>
      </c>
    </row>
    <row r="2158" spans="29:30" x14ac:dyDescent="0.25">
      <c r="AC2158" s="23" t="s">
        <v>1368</v>
      </c>
      <c r="AD2158">
        <v>0</v>
      </c>
    </row>
    <row r="2159" spans="29:30" x14ac:dyDescent="0.25">
      <c r="AC2159" s="23" t="s">
        <v>752</v>
      </c>
      <c r="AD2159">
        <v>0</v>
      </c>
    </row>
    <row r="2160" spans="29:30" x14ac:dyDescent="0.25">
      <c r="AC2160" s="23" t="s">
        <v>946</v>
      </c>
      <c r="AD2160">
        <v>0</v>
      </c>
    </row>
    <row r="2161" spans="29:30" x14ac:dyDescent="0.25">
      <c r="AC2161" s="23" t="s">
        <v>625</v>
      </c>
      <c r="AD2161">
        <v>0</v>
      </c>
    </row>
    <row r="2162" spans="29:30" x14ac:dyDescent="0.25">
      <c r="AC2162" s="23" t="s">
        <v>896</v>
      </c>
      <c r="AD2162">
        <v>0</v>
      </c>
    </row>
    <row r="2163" spans="29:30" x14ac:dyDescent="0.25">
      <c r="AC2163" s="23" t="s">
        <v>359</v>
      </c>
      <c r="AD2163">
        <v>0</v>
      </c>
    </row>
    <row r="2164" spans="29:30" x14ac:dyDescent="0.25">
      <c r="AC2164" s="23" t="s">
        <v>4324</v>
      </c>
      <c r="AD2164">
        <v>0</v>
      </c>
    </row>
    <row r="2165" spans="29:30" x14ac:dyDescent="0.25">
      <c r="AC2165" s="23" t="s">
        <v>379</v>
      </c>
      <c r="AD2165">
        <v>0</v>
      </c>
    </row>
    <row r="2166" spans="29:30" x14ac:dyDescent="0.25">
      <c r="AC2166" s="23" t="s">
        <v>4290</v>
      </c>
      <c r="AD2166">
        <v>0</v>
      </c>
    </row>
    <row r="2167" spans="29:30" x14ac:dyDescent="0.25">
      <c r="AC2167" s="23" t="s">
        <v>663</v>
      </c>
      <c r="AD2167">
        <v>0</v>
      </c>
    </row>
    <row r="2168" spans="29:30" x14ac:dyDescent="0.25">
      <c r="AC2168" s="23" t="s">
        <v>850</v>
      </c>
      <c r="AD2168">
        <v>0</v>
      </c>
    </row>
    <row r="2169" spans="29:30" x14ac:dyDescent="0.25">
      <c r="AC2169" s="23" t="s">
        <v>2029</v>
      </c>
      <c r="AD2169">
        <v>0</v>
      </c>
    </row>
    <row r="2170" spans="29:30" x14ac:dyDescent="0.25">
      <c r="AC2170" s="23" t="s">
        <v>1022</v>
      </c>
      <c r="AD2170">
        <v>0</v>
      </c>
    </row>
    <row r="2171" spans="29:30" x14ac:dyDescent="0.25">
      <c r="AC2171" s="23" t="s">
        <v>599</v>
      </c>
      <c r="AD2171">
        <v>0</v>
      </c>
    </row>
    <row r="2172" spans="29:30" x14ac:dyDescent="0.25">
      <c r="AC2172" s="23" t="s">
        <v>5055</v>
      </c>
      <c r="AD2172">
        <v>0</v>
      </c>
    </row>
    <row r="2173" spans="29:30" x14ac:dyDescent="0.25">
      <c r="AC2173" s="23" t="s">
        <v>645</v>
      </c>
      <c r="AD2173">
        <v>0</v>
      </c>
    </row>
    <row r="2174" spans="29:30" x14ac:dyDescent="0.25">
      <c r="AC2174" s="23" t="s">
        <v>976</v>
      </c>
      <c r="AD2174">
        <v>0</v>
      </c>
    </row>
    <row r="2175" spans="29:30" x14ac:dyDescent="0.25">
      <c r="AC2175" s="23" t="s">
        <v>770</v>
      </c>
      <c r="AD2175">
        <v>0</v>
      </c>
    </row>
    <row r="2176" spans="29:30" x14ac:dyDescent="0.25">
      <c r="AC2176" s="23" t="s">
        <v>4917</v>
      </c>
      <c r="AD2176">
        <v>0</v>
      </c>
    </row>
    <row r="2177" spans="29:30" x14ac:dyDescent="0.25">
      <c r="AC2177" s="23" t="s">
        <v>667</v>
      </c>
      <c r="AD2177">
        <v>0</v>
      </c>
    </row>
    <row r="2178" spans="29:30" x14ac:dyDescent="0.25">
      <c r="AC2178" s="23" t="s">
        <v>964</v>
      </c>
      <c r="AD2178">
        <v>0</v>
      </c>
    </row>
    <row r="2179" spans="29:30" x14ac:dyDescent="0.25">
      <c r="AC2179" s="23" t="s">
        <v>956</v>
      </c>
      <c r="AD2179">
        <v>0</v>
      </c>
    </row>
    <row r="2180" spans="29:30" x14ac:dyDescent="0.25">
      <c r="AC2180" s="23" t="s">
        <v>980</v>
      </c>
      <c r="AD2180">
        <v>0</v>
      </c>
    </row>
    <row r="2181" spans="29:30" x14ac:dyDescent="0.25">
      <c r="AC2181" s="23" t="s">
        <v>603</v>
      </c>
      <c r="AD2181">
        <v>0</v>
      </c>
    </row>
    <row r="2182" spans="29:30" x14ac:dyDescent="0.25">
      <c r="AC2182" s="23" t="s">
        <v>1098</v>
      </c>
      <c r="AD2182">
        <v>0</v>
      </c>
    </row>
    <row r="2183" spans="29:30" x14ac:dyDescent="0.25">
      <c r="AC2183" s="23" t="s">
        <v>671</v>
      </c>
      <c r="AD2183">
        <v>0</v>
      </c>
    </row>
    <row r="2184" spans="29:30" x14ac:dyDescent="0.25">
      <c r="AC2184" s="23" t="s">
        <v>1094</v>
      </c>
      <c r="AD2184">
        <v>0</v>
      </c>
    </row>
    <row r="2185" spans="29:30" x14ac:dyDescent="0.25">
      <c r="AC2185" s="23" t="s">
        <v>780</v>
      </c>
      <c r="AD2185">
        <v>0</v>
      </c>
    </row>
    <row r="2186" spans="29:30" x14ac:dyDescent="0.25">
      <c r="AC2186" s="23" t="s">
        <v>944</v>
      </c>
      <c r="AD2186">
        <v>0</v>
      </c>
    </row>
    <row r="2187" spans="29:30" x14ac:dyDescent="0.25">
      <c r="AC2187" s="23" t="s">
        <v>786</v>
      </c>
      <c r="AD2187">
        <v>0</v>
      </c>
    </row>
    <row r="2188" spans="29:30" x14ac:dyDescent="0.25">
      <c r="AC2188" s="23" t="s">
        <v>1032</v>
      </c>
      <c r="AD2188">
        <v>0</v>
      </c>
    </row>
    <row r="2189" spans="29:30" x14ac:dyDescent="0.25">
      <c r="AC2189" s="23" t="s">
        <v>729</v>
      </c>
      <c r="AD2189">
        <v>0</v>
      </c>
    </row>
    <row r="2190" spans="29:30" x14ac:dyDescent="0.25">
      <c r="AC2190" s="23" t="s">
        <v>846</v>
      </c>
      <c r="AD2190">
        <v>0</v>
      </c>
    </row>
    <row r="2191" spans="29:30" x14ac:dyDescent="0.25">
      <c r="AC2191" s="23" t="s">
        <v>485</v>
      </c>
      <c r="AD2191">
        <v>0</v>
      </c>
    </row>
    <row r="2192" spans="29:30" x14ac:dyDescent="0.25">
      <c r="AC2192" s="23" t="s">
        <v>1044</v>
      </c>
      <c r="AD2192">
        <v>0</v>
      </c>
    </row>
    <row r="2193" spans="29:30" x14ac:dyDescent="0.25">
      <c r="AC2193" s="23" t="s">
        <v>531</v>
      </c>
      <c r="AD2193">
        <v>0</v>
      </c>
    </row>
    <row r="2194" spans="29:30" x14ac:dyDescent="0.25">
      <c r="AC2194" s="23" t="s">
        <v>1050</v>
      </c>
      <c r="AD2194">
        <v>0</v>
      </c>
    </row>
    <row r="2195" spans="29:30" x14ac:dyDescent="0.25">
      <c r="AC2195" s="23" t="s">
        <v>727</v>
      </c>
      <c r="AD2195">
        <v>0</v>
      </c>
    </row>
    <row r="2196" spans="29:30" x14ac:dyDescent="0.25">
      <c r="AC2196" s="23" t="s">
        <v>1054</v>
      </c>
      <c r="AD2196">
        <v>0</v>
      </c>
    </row>
    <row r="2197" spans="29:30" x14ac:dyDescent="0.25">
      <c r="AC2197" s="23" t="s">
        <v>687</v>
      </c>
      <c r="AD2197">
        <v>0</v>
      </c>
    </row>
    <row r="2198" spans="29:30" x14ac:dyDescent="0.25">
      <c r="AC2198" s="23" t="s">
        <v>808</v>
      </c>
      <c r="AD2198">
        <v>0</v>
      </c>
    </row>
    <row r="2199" spans="29:30" x14ac:dyDescent="0.25">
      <c r="AC2199" s="23" t="s">
        <v>487</v>
      </c>
      <c r="AD2199">
        <v>0</v>
      </c>
    </row>
    <row r="2200" spans="29:30" x14ac:dyDescent="0.25">
      <c r="AC2200" s="23" t="s">
        <v>870</v>
      </c>
      <c r="AD2200">
        <v>0</v>
      </c>
    </row>
    <row r="2201" spans="29:30" x14ac:dyDescent="0.25">
      <c r="AC2201" s="23" t="s">
        <v>733</v>
      </c>
      <c r="AD2201">
        <v>0</v>
      </c>
    </row>
    <row r="2202" spans="29:30" x14ac:dyDescent="0.25">
      <c r="AC2202" s="23" t="s">
        <v>1112</v>
      </c>
      <c r="AD2202">
        <v>0</v>
      </c>
    </row>
    <row r="2203" spans="29:30" x14ac:dyDescent="0.25">
      <c r="AC2203" s="23" t="s">
        <v>760</v>
      </c>
      <c r="AD2203">
        <v>0</v>
      </c>
    </row>
    <row r="2204" spans="29:30" x14ac:dyDescent="0.25">
      <c r="AC2204" s="23" t="s">
        <v>876</v>
      </c>
      <c r="AD2204">
        <v>0</v>
      </c>
    </row>
    <row r="2205" spans="29:30" x14ac:dyDescent="0.25">
      <c r="AC2205" s="23" t="s">
        <v>395</v>
      </c>
      <c r="AD2205">
        <v>0</v>
      </c>
    </row>
    <row r="2206" spans="29:30" x14ac:dyDescent="0.25">
      <c r="AC2206" s="23" t="s">
        <v>1062</v>
      </c>
      <c r="AD2206">
        <v>0</v>
      </c>
    </row>
    <row r="2207" spans="29:30" x14ac:dyDescent="0.25">
      <c r="AC2207" s="23" t="s">
        <v>639</v>
      </c>
      <c r="AD2207">
        <v>0</v>
      </c>
    </row>
    <row r="2208" spans="29:30" x14ac:dyDescent="0.25">
      <c r="AC2208" s="23" t="s">
        <v>1000</v>
      </c>
      <c r="AD2208">
        <v>0</v>
      </c>
    </row>
    <row r="2209" spans="29:30" x14ac:dyDescent="0.25">
      <c r="AC2209" s="23" t="s">
        <v>743</v>
      </c>
      <c r="AD2209">
        <v>0</v>
      </c>
    </row>
    <row r="2210" spans="29:30" x14ac:dyDescent="0.25">
      <c r="AC2210" s="23" t="s">
        <v>900</v>
      </c>
      <c r="AD2210">
        <v>0</v>
      </c>
    </row>
    <row r="2211" spans="29:30" x14ac:dyDescent="0.25">
      <c r="AC2211" s="23" t="s">
        <v>557</v>
      </c>
      <c r="AD2211">
        <v>0</v>
      </c>
    </row>
    <row r="2212" spans="29:30" x14ac:dyDescent="0.25">
      <c r="AC2212" s="23" t="s">
        <v>1052</v>
      </c>
      <c r="AD2212">
        <v>0</v>
      </c>
    </row>
    <row r="2213" spans="29:30" x14ac:dyDescent="0.25">
      <c r="AC2213" s="23" t="s">
        <v>515</v>
      </c>
      <c r="AD2213">
        <v>0</v>
      </c>
    </row>
    <row r="2214" spans="29:30" x14ac:dyDescent="0.25">
      <c r="AC2214" s="23" t="s">
        <v>816</v>
      </c>
      <c r="AD2214">
        <v>0</v>
      </c>
    </row>
    <row r="2215" spans="29:30" x14ac:dyDescent="0.25">
      <c r="AC2215" s="23" t="s">
        <v>750</v>
      </c>
      <c r="AD2215">
        <v>0</v>
      </c>
    </row>
    <row r="2216" spans="29:30" x14ac:dyDescent="0.25">
      <c r="AC2216" s="23" t="s">
        <v>1104</v>
      </c>
      <c r="AD2216">
        <v>0</v>
      </c>
    </row>
    <row r="2217" spans="29:30" x14ac:dyDescent="0.25">
      <c r="AC2217" s="23" t="s">
        <v>737</v>
      </c>
      <c r="AD2217">
        <v>0</v>
      </c>
    </row>
    <row r="2218" spans="29:30" x14ac:dyDescent="0.25">
      <c r="AC2218" s="23" t="s">
        <v>916</v>
      </c>
      <c r="AD2218">
        <v>0</v>
      </c>
    </row>
    <row r="2219" spans="29:30" x14ac:dyDescent="0.25">
      <c r="AC2219" s="23" t="s">
        <v>1220</v>
      </c>
      <c r="AD2219">
        <v>0</v>
      </c>
    </row>
    <row r="2220" spans="29:30" x14ac:dyDescent="0.25">
      <c r="AC2220" s="23" t="s">
        <v>1102</v>
      </c>
      <c r="AD2220">
        <v>0</v>
      </c>
    </row>
    <row r="2221" spans="29:30" x14ac:dyDescent="0.25">
      <c r="AC2221" s="23" t="s">
        <v>4759</v>
      </c>
      <c r="AD2221">
        <v>0</v>
      </c>
    </row>
    <row r="2222" spans="29:30" x14ac:dyDescent="0.25">
      <c r="AC2222" s="23" t="s">
        <v>802</v>
      </c>
      <c r="AD2222">
        <v>0</v>
      </c>
    </row>
    <row r="2223" spans="29:30" x14ac:dyDescent="0.25">
      <c r="AC2223" s="23" t="s">
        <v>735</v>
      </c>
      <c r="AD2223">
        <v>0</v>
      </c>
    </row>
    <row r="2224" spans="29:30" x14ac:dyDescent="0.25">
      <c r="AC2224" s="23" t="s">
        <v>878</v>
      </c>
      <c r="AD2224">
        <v>0</v>
      </c>
    </row>
    <row r="2225" spans="29:30" x14ac:dyDescent="0.25">
      <c r="AC2225" s="23" t="s">
        <v>725</v>
      </c>
      <c r="AD2225">
        <v>0</v>
      </c>
    </row>
    <row r="2226" spans="29:30" x14ac:dyDescent="0.25">
      <c r="AC2226" s="23" t="s">
        <v>1014</v>
      </c>
      <c r="AD2226">
        <v>0</v>
      </c>
    </row>
    <row r="2227" spans="29:30" x14ac:dyDescent="0.25">
      <c r="AC2227" s="23" t="s">
        <v>4733</v>
      </c>
      <c r="AD2227">
        <v>0</v>
      </c>
    </row>
    <row r="2228" spans="29:30" x14ac:dyDescent="0.25">
      <c r="AC2228" s="23" t="s">
        <v>1154</v>
      </c>
      <c r="AD2228">
        <v>0</v>
      </c>
    </row>
    <row r="2229" spans="29:30" x14ac:dyDescent="0.25">
      <c r="AC2229" s="23" t="s">
        <v>286</v>
      </c>
      <c r="AD2229">
        <v>0</v>
      </c>
    </row>
    <row r="2230" spans="29:30" x14ac:dyDescent="0.25">
      <c r="AC2230" s="23" t="s">
        <v>914</v>
      </c>
      <c r="AD2230">
        <v>0</v>
      </c>
    </row>
    <row r="2231" spans="29:30" x14ac:dyDescent="0.25">
      <c r="AC2231" s="23" t="s">
        <v>1821</v>
      </c>
      <c r="AD2231">
        <v>0</v>
      </c>
    </row>
    <row r="2232" spans="29:30" x14ac:dyDescent="0.25">
      <c r="AC2232" s="23" t="s">
        <v>924</v>
      </c>
      <c r="AD2232">
        <v>0</v>
      </c>
    </row>
    <row r="2233" spans="29:30" x14ac:dyDescent="0.25">
      <c r="AC2233" s="23" t="s">
        <v>745</v>
      </c>
      <c r="AD2233">
        <v>0</v>
      </c>
    </row>
    <row r="2234" spans="29:30" x14ac:dyDescent="0.25">
      <c r="AC2234" s="23" t="s">
        <v>864</v>
      </c>
      <c r="AD2234">
        <v>0</v>
      </c>
    </row>
    <row r="2235" spans="29:30" x14ac:dyDescent="0.25">
      <c r="AC2235" s="23" t="s">
        <v>756</v>
      </c>
      <c r="AD2235">
        <v>0</v>
      </c>
    </row>
    <row r="2236" spans="29:30" x14ac:dyDescent="0.25">
      <c r="AC2236" s="23" t="s">
        <v>966</v>
      </c>
      <c r="AD2236">
        <v>0</v>
      </c>
    </row>
    <row r="2237" spans="29:30" x14ac:dyDescent="0.25">
      <c r="AC2237" s="23" t="s">
        <v>537</v>
      </c>
      <c r="AD2237">
        <v>0</v>
      </c>
    </row>
    <row r="2238" spans="29:30" x14ac:dyDescent="0.25">
      <c r="AC2238" s="23" t="s">
        <v>922</v>
      </c>
      <c r="AD2238">
        <v>0</v>
      </c>
    </row>
    <row r="2239" spans="29:30" x14ac:dyDescent="0.25">
      <c r="AC2239" s="23" t="s">
        <v>535</v>
      </c>
      <c r="AD2239">
        <v>0</v>
      </c>
    </row>
    <row r="2240" spans="29:30" x14ac:dyDescent="0.25">
      <c r="AC2240" s="23" t="s">
        <v>1180</v>
      </c>
      <c r="AD2240">
        <v>0</v>
      </c>
    </row>
    <row r="2241" spans="29:30" x14ac:dyDescent="0.25">
      <c r="AC2241" s="23" t="s">
        <v>731</v>
      </c>
      <c r="AD2241">
        <v>0</v>
      </c>
    </row>
    <row r="2242" spans="29:30" x14ac:dyDescent="0.25">
      <c r="AC2242" s="23" t="s">
        <v>4907</v>
      </c>
      <c r="AD2242">
        <v>0</v>
      </c>
    </row>
    <row r="2243" spans="29:30" x14ac:dyDescent="0.25">
      <c r="AC2243" s="23" t="s">
        <v>4342</v>
      </c>
      <c r="AD2243">
        <v>0</v>
      </c>
    </row>
    <row r="2244" spans="29:30" x14ac:dyDescent="0.25">
      <c r="AC2244" s="23" t="s">
        <v>1046</v>
      </c>
      <c r="AD2244">
        <v>0</v>
      </c>
    </row>
    <row r="2245" spans="29:30" x14ac:dyDescent="0.25">
      <c r="AC2245" s="23" t="s">
        <v>657</v>
      </c>
      <c r="AD2245">
        <v>0</v>
      </c>
    </row>
    <row r="2246" spans="29:30" x14ac:dyDescent="0.25">
      <c r="AC2246" s="23" t="s">
        <v>912</v>
      </c>
      <c r="AD2246">
        <v>0</v>
      </c>
    </row>
    <row r="2247" spans="29:30" x14ac:dyDescent="0.25">
      <c r="AC2247" s="23" t="s">
        <v>739</v>
      </c>
      <c r="AD2247">
        <v>0</v>
      </c>
    </row>
    <row r="2248" spans="29:30" x14ac:dyDescent="0.25">
      <c r="AC2248" s="23" t="s">
        <v>926</v>
      </c>
      <c r="AD2248">
        <v>0</v>
      </c>
    </row>
    <row r="2249" spans="29:30" x14ac:dyDescent="0.25">
      <c r="AC2249" s="23" t="s">
        <v>493</v>
      </c>
      <c r="AD2249">
        <v>0</v>
      </c>
    </row>
    <row r="2250" spans="29:30" x14ac:dyDescent="0.25">
      <c r="AC2250" s="23" t="s">
        <v>868</v>
      </c>
      <c r="AD2250">
        <v>0</v>
      </c>
    </row>
    <row r="2251" spans="29:30" x14ac:dyDescent="0.25">
      <c r="AC2251" s="23" t="s">
        <v>555</v>
      </c>
      <c r="AD2251">
        <v>0</v>
      </c>
    </row>
    <row r="2252" spans="29:30" x14ac:dyDescent="0.25">
      <c r="AC2252" s="23" t="s">
        <v>844</v>
      </c>
      <c r="AD2252">
        <v>0</v>
      </c>
    </row>
    <row r="2253" spans="29:30" x14ac:dyDescent="0.25">
      <c r="AC2253" s="23" t="s">
        <v>741</v>
      </c>
      <c r="AD2253">
        <v>0</v>
      </c>
    </row>
    <row r="2254" spans="29:30" x14ac:dyDescent="0.25">
      <c r="AC2254" s="23" t="s">
        <v>920</v>
      </c>
      <c r="AD2254">
        <v>0</v>
      </c>
    </row>
    <row r="2255" spans="29:30" x14ac:dyDescent="0.25">
      <c r="AC2255" s="23" t="s">
        <v>717</v>
      </c>
      <c r="AD2255">
        <v>0</v>
      </c>
    </row>
    <row r="2256" spans="29:30" x14ac:dyDescent="0.25">
      <c r="AC2256" s="23" t="s">
        <v>932</v>
      </c>
      <c r="AD2256">
        <v>0</v>
      </c>
    </row>
    <row r="2257" spans="29:30" x14ac:dyDescent="0.25">
      <c r="AC2257" s="23" t="s">
        <v>784</v>
      </c>
      <c r="AD2257">
        <v>0</v>
      </c>
    </row>
    <row r="2258" spans="29:30" x14ac:dyDescent="0.25">
      <c r="AC2258" s="23" t="s">
        <v>974</v>
      </c>
      <c r="AD2258">
        <v>0</v>
      </c>
    </row>
    <row r="2259" spans="29:30" x14ac:dyDescent="0.25">
      <c r="AC2259" s="23" t="s">
        <v>792</v>
      </c>
      <c r="AD2259">
        <v>0</v>
      </c>
    </row>
    <row r="2260" spans="29:30" x14ac:dyDescent="0.25">
      <c r="AC2260" s="23" t="s">
        <v>1146</v>
      </c>
      <c r="AD2260">
        <v>0</v>
      </c>
    </row>
    <row r="2261" spans="29:30" x14ac:dyDescent="0.25">
      <c r="AC2261" s="23" t="s">
        <v>4983</v>
      </c>
      <c r="AD2261">
        <v>0</v>
      </c>
    </row>
    <row r="2262" spans="29:30" x14ac:dyDescent="0.25">
      <c r="AC2262" s="23" t="s">
        <v>990</v>
      </c>
      <c r="AD2262">
        <v>0</v>
      </c>
    </row>
    <row r="2263" spans="29:30" x14ac:dyDescent="0.25">
      <c r="AC2263" s="23" t="s">
        <v>800</v>
      </c>
      <c r="AD2263">
        <v>0</v>
      </c>
    </row>
    <row r="2264" spans="29:30" x14ac:dyDescent="0.25">
      <c r="AC2264" s="23" t="s">
        <v>880</v>
      </c>
      <c r="AD2264">
        <v>0</v>
      </c>
    </row>
    <row r="2265" spans="29:30" x14ac:dyDescent="0.25">
      <c r="AC2265" s="23" t="s">
        <v>860</v>
      </c>
      <c r="AD2265">
        <v>0</v>
      </c>
    </row>
    <row r="2266" spans="29:30" x14ac:dyDescent="0.25">
      <c r="AC2266" s="23" t="s">
        <v>892</v>
      </c>
      <c r="AD2266">
        <v>0</v>
      </c>
    </row>
    <row r="2267" spans="29:30" x14ac:dyDescent="0.25">
      <c r="AC2267" s="23" t="s">
        <v>794</v>
      </c>
      <c r="AD2267">
        <v>0</v>
      </c>
    </row>
    <row r="2268" spans="29:30" x14ac:dyDescent="0.25">
      <c r="AC2268" s="23" t="s">
        <v>4791</v>
      </c>
      <c r="AD2268">
        <v>0</v>
      </c>
    </row>
    <row r="2269" spans="29:30" x14ac:dyDescent="0.25">
      <c r="AC2269" s="23" t="s">
        <v>830</v>
      </c>
      <c r="AD2269">
        <v>0</v>
      </c>
    </row>
    <row r="2270" spans="29:30" x14ac:dyDescent="0.25">
      <c r="AC2270" s="23" t="s">
        <v>1016</v>
      </c>
      <c r="AD2270">
        <v>0</v>
      </c>
    </row>
    <row r="2271" spans="29:30" x14ac:dyDescent="0.25">
      <c r="AC2271" s="23" t="s">
        <v>413</v>
      </c>
      <c r="AD2271">
        <v>0</v>
      </c>
    </row>
    <row r="2272" spans="29:30" x14ac:dyDescent="0.25">
      <c r="AC2272" s="23" t="s">
        <v>858</v>
      </c>
      <c r="AD2272">
        <v>0</v>
      </c>
    </row>
    <row r="2273" spans="29:30" x14ac:dyDescent="0.25">
      <c r="AC2273" s="23" t="s">
        <v>874</v>
      </c>
      <c r="AD2273">
        <v>0</v>
      </c>
    </row>
    <row r="2274" spans="29:30" x14ac:dyDescent="0.25">
      <c r="AC2274" s="23" t="s">
        <v>834</v>
      </c>
      <c r="AD2274">
        <v>0</v>
      </c>
    </row>
    <row r="2275" spans="29:30" x14ac:dyDescent="0.25">
      <c r="AC2275" s="23" t="s">
        <v>1130</v>
      </c>
      <c r="AD2275">
        <v>0</v>
      </c>
    </row>
    <row r="2276" spans="29:30" x14ac:dyDescent="0.25">
      <c r="AC2276" s="23" t="s">
        <v>952</v>
      </c>
      <c r="AD2276">
        <v>0</v>
      </c>
    </row>
    <row r="2277" spans="29:30" x14ac:dyDescent="0.25">
      <c r="AC2277" s="23" t="s">
        <v>798</v>
      </c>
      <c r="AD2277">
        <v>0</v>
      </c>
    </row>
    <row r="2278" spans="29:30" x14ac:dyDescent="0.25">
      <c r="AC2278" s="23" t="s">
        <v>3393</v>
      </c>
      <c r="AD2278">
        <v>0</v>
      </c>
    </row>
    <row r="2279" spans="29:30" x14ac:dyDescent="0.25">
      <c r="AC2279" s="23" t="s">
        <v>866</v>
      </c>
      <c r="AD2279">
        <v>0</v>
      </c>
    </row>
    <row r="2280" spans="29:30" x14ac:dyDescent="0.25">
      <c r="AC2280" s="23" t="s">
        <v>1132</v>
      </c>
      <c r="AD2280">
        <v>0</v>
      </c>
    </row>
    <row r="2281" spans="29:30" x14ac:dyDescent="0.25">
      <c r="AC2281" s="23" t="s">
        <v>5081</v>
      </c>
      <c r="AD2281">
        <v>0</v>
      </c>
    </row>
    <row r="2282" spans="29:30" x14ac:dyDescent="0.25">
      <c r="AC2282" s="23" t="s">
        <v>898</v>
      </c>
      <c r="AD2282">
        <v>0</v>
      </c>
    </row>
    <row r="2283" spans="29:30" x14ac:dyDescent="0.25">
      <c r="AC2283" s="23" t="s">
        <v>1134</v>
      </c>
      <c r="AD2283">
        <v>0</v>
      </c>
    </row>
    <row r="2284" spans="29:30" x14ac:dyDescent="0.25">
      <c r="AC2284" s="23" t="s">
        <v>1024</v>
      </c>
      <c r="AD2284">
        <v>0</v>
      </c>
    </row>
    <row r="2285" spans="29:30" x14ac:dyDescent="0.25">
      <c r="AC2285" s="23" t="s">
        <v>1150</v>
      </c>
      <c r="AD2285">
        <v>0</v>
      </c>
    </row>
    <row r="2286" spans="29:30" x14ac:dyDescent="0.25">
      <c r="AC2286" s="23" t="s">
        <v>3296</v>
      </c>
      <c r="AD2286">
        <v>0</v>
      </c>
    </row>
    <row r="2287" spans="29:30" x14ac:dyDescent="0.25">
      <c r="AC2287" s="23" t="s">
        <v>1148</v>
      </c>
      <c r="AD2287">
        <v>0</v>
      </c>
    </row>
    <row r="2288" spans="29:30" x14ac:dyDescent="0.25">
      <c r="AC2288" s="23" t="s">
        <v>884</v>
      </c>
      <c r="AD2288">
        <v>0</v>
      </c>
    </row>
    <row r="2289" spans="29:30" x14ac:dyDescent="0.25">
      <c r="AC2289" s="23" t="s">
        <v>832</v>
      </c>
      <c r="AD2289">
        <v>0</v>
      </c>
    </row>
    <row r="2290" spans="29:30" x14ac:dyDescent="0.25">
      <c r="AC2290" s="23" t="s">
        <v>840</v>
      </c>
      <c r="AD2290">
        <v>0</v>
      </c>
    </row>
    <row r="2291" spans="29:30" x14ac:dyDescent="0.25">
      <c r="AC2291" s="23" t="s">
        <v>5129</v>
      </c>
      <c r="AD2291">
        <v>0</v>
      </c>
    </row>
    <row r="2292" spans="29:30" x14ac:dyDescent="0.25">
      <c r="AC2292" s="23" t="s">
        <v>1026</v>
      </c>
      <c r="AD2292">
        <v>0</v>
      </c>
    </row>
    <row r="2293" spans="29:30" x14ac:dyDescent="0.25">
      <c r="AC2293" s="23" t="s">
        <v>978</v>
      </c>
      <c r="AD2293">
        <v>0</v>
      </c>
    </row>
    <row r="2294" spans="29:30" x14ac:dyDescent="0.25">
      <c r="AC2294" s="23" t="s">
        <v>936</v>
      </c>
      <c r="AD2294">
        <v>0</v>
      </c>
    </row>
    <row r="2295" spans="29:30" x14ac:dyDescent="0.25">
      <c r="AC2295" s="23" t="s">
        <v>3835</v>
      </c>
      <c r="AD2295">
        <v>0</v>
      </c>
    </row>
    <row r="2296" spans="29:30" x14ac:dyDescent="0.25">
      <c r="AC2296" s="23" t="s">
        <v>4797</v>
      </c>
      <c r="AD2296">
        <v>0</v>
      </c>
    </row>
    <row r="2297" spans="29:30" x14ac:dyDescent="0.25">
      <c r="AC2297" s="23" t="s">
        <v>984</v>
      </c>
      <c r="AD2297">
        <v>0</v>
      </c>
    </row>
    <row r="2298" spans="29:30" x14ac:dyDescent="0.25">
      <c r="AC2298" s="23" t="s">
        <v>972</v>
      </c>
      <c r="AD2298">
        <v>0</v>
      </c>
    </row>
    <row r="2299" spans="29:30" x14ac:dyDescent="0.25">
      <c r="AC2299" s="23" t="s">
        <v>986</v>
      </c>
      <c r="AD2299">
        <v>0</v>
      </c>
    </row>
    <row r="2300" spans="29:30" x14ac:dyDescent="0.25">
      <c r="AC2300" s="23" t="s">
        <v>824</v>
      </c>
      <c r="AD2300">
        <v>0</v>
      </c>
    </row>
    <row r="2301" spans="29:30" x14ac:dyDescent="0.25">
      <c r="AC2301" s="23" t="s">
        <v>888</v>
      </c>
      <c r="AD2301">
        <v>0</v>
      </c>
    </row>
    <row r="2302" spans="29:30" x14ac:dyDescent="0.25">
      <c r="AC2302" s="23" t="s">
        <v>982</v>
      </c>
      <c r="AD2302">
        <v>0</v>
      </c>
    </row>
    <row r="2303" spans="29:30" x14ac:dyDescent="0.25">
      <c r="AC2303" s="23" t="s">
        <v>994</v>
      </c>
      <c r="AD2303">
        <v>0</v>
      </c>
    </row>
    <row r="2304" spans="29:30" x14ac:dyDescent="0.25">
      <c r="AC2304" s="23" t="s">
        <v>1096</v>
      </c>
      <c r="AD2304">
        <v>0</v>
      </c>
    </row>
    <row r="2305" spans="29:30" x14ac:dyDescent="0.25">
      <c r="AC2305" s="23" t="s">
        <v>1116</v>
      </c>
      <c r="AD2305">
        <v>0</v>
      </c>
    </row>
    <row r="2306" spans="29:30" x14ac:dyDescent="0.25">
      <c r="AC2306" s="23" t="s">
        <v>1090</v>
      </c>
      <c r="AD2306">
        <v>0</v>
      </c>
    </row>
    <row r="2307" spans="29:30" x14ac:dyDescent="0.25">
      <c r="AC2307" s="23" t="s">
        <v>4787</v>
      </c>
      <c r="AD2307">
        <v>0</v>
      </c>
    </row>
    <row r="2308" spans="29:30" x14ac:dyDescent="0.25">
      <c r="AC2308" s="23" t="s">
        <v>1092</v>
      </c>
      <c r="AD2308">
        <v>0</v>
      </c>
    </row>
    <row r="2309" spans="29:30" x14ac:dyDescent="0.25">
      <c r="AC2309" s="23" t="s">
        <v>3825</v>
      </c>
      <c r="AD2309">
        <v>0</v>
      </c>
    </row>
    <row r="2310" spans="29:30" x14ac:dyDescent="0.25">
      <c r="AC2310" s="23" t="s">
        <v>4771</v>
      </c>
      <c r="AD2310">
        <v>0</v>
      </c>
    </row>
    <row r="2311" spans="29:30" x14ac:dyDescent="0.25">
      <c r="AC2311" s="23" t="s">
        <v>4769</v>
      </c>
      <c r="AD2311">
        <v>0</v>
      </c>
    </row>
    <row r="2312" spans="29:30" x14ac:dyDescent="0.25">
      <c r="AC2312" s="23" t="s">
        <v>5069</v>
      </c>
      <c r="AD2312">
        <v>0</v>
      </c>
    </row>
    <row r="2313" spans="29:30" x14ac:dyDescent="0.25">
      <c r="AC2313" s="23" t="s">
        <v>804</v>
      </c>
      <c r="AD2313">
        <v>0</v>
      </c>
    </row>
    <row r="2314" spans="29:30" x14ac:dyDescent="0.25">
      <c r="AC2314" s="23" t="s">
        <v>1158</v>
      </c>
      <c r="AD2314">
        <v>0</v>
      </c>
    </row>
    <row r="2315" spans="29:30" x14ac:dyDescent="0.25">
      <c r="AC2315" s="23" t="s">
        <v>806</v>
      </c>
      <c r="AD2315">
        <v>0</v>
      </c>
    </row>
    <row r="2316" spans="29:30" x14ac:dyDescent="0.25">
      <c r="AC2316" s="23" t="s">
        <v>838</v>
      </c>
      <c r="AD2316">
        <v>0</v>
      </c>
    </row>
    <row r="2317" spans="29:30" x14ac:dyDescent="0.25">
      <c r="AC2317" s="23" t="s">
        <v>826</v>
      </c>
      <c r="AD2317">
        <v>0</v>
      </c>
    </row>
    <row r="2318" spans="29:30" x14ac:dyDescent="0.25">
      <c r="AC2318" s="23" t="s">
        <v>387</v>
      </c>
      <c r="AD2318">
        <v>0</v>
      </c>
    </row>
    <row r="2319" spans="29:30" x14ac:dyDescent="0.25">
      <c r="AC2319" s="23" t="s">
        <v>1056</v>
      </c>
      <c r="AD2319">
        <v>0</v>
      </c>
    </row>
    <row r="2320" spans="29:30" x14ac:dyDescent="0.25">
      <c r="AC2320" s="23" t="s">
        <v>768</v>
      </c>
      <c r="AD2320">
        <v>0</v>
      </c>
    </row>
    <row r="2321" spans="29:30" x14ac:dyDescent="0.25">
      <c r="AC2321" s="23" t="s">
        <v>5192</v>
      </c>
      <c r="AD2321">
        <v>0</v>
      </c>
    </row>
    <row r="2322" spans="29:30" x14ac:dyDescent="0.25">
      <c r="AC2322" s="23" t="s">
        <v>489</v>
      </c>
      <c r="AD2322">
        <v>0</v>
      </c>
    </row>
    <row r="2323" spans="29:30" x14ac:dyDescent="0.25">
      <c r="AC2323" s="23" t="s">
        <v>156</v>
      </c>
      <c r="AD2323">
        <v>0</v>
      </c>
    </row>
    <row r="2324" spans="29:30" x14ac:dyDescent="0.25">
      <c r="AC2324" s="23" t="s">
        <v>495</v>
      </c>
      <c r="AD2324">
        <v>0</v>
      </c>
    </row>
    <row r="2325" spans="29:30" x14ac:dyDescent="0.25">
      <c r="AC2325" s="23" t="s">
        <v>158</v>
      </c>
      <c r="AD2325">
        <v>0</v>
      </c>
    </row>
    <row r="2326" spans="29:30" x14ac:dyDescent="0.25">
      <c r="AC2326" s="23" t="s">
        <v>579</v>
      </c>
      <c r="AD2326">
        <v>0</v>
      </c>
    </row>
    <row r="2327" spans="29:30" x14ac:dyDescent="0.25">
      <c r="AC2327" s="23" t="s">
        <v>162</v>
      </c>
      <c r="AD2327">
        <v>0</v>
      </c>
    </row>
    <row r="2328" spans="29:30" x14ac:dyDescent="0.25">
      <c r="AC2328" s="23" t="s">
        <v>421</v>
      </c>
      <c r="AD2328">
        <v>0</v>
      </c>
    </row>
    <row r="2329" spans="29:30" x14ac:dyDescent="0.25">
      <c r="AC2329" s="23" t="s">
        <v>168</v>
      </c>
      <c r="AD2329">
        <v>0</v>
      </c>
    </row>
    <row r="2330" spans="29:30" x14ac:dyDescent="0.25">
      <c r="AC2330" s="23" t="s">
        <v>461</v>
      </c>
      <c r="AD2330">
        <v>0</v>
      </c>
    </row>
    <row r="2331" spans="29:30" x14ac:dyDescent="0.25">
      <c r="AC2331" s="23" t="s">
        <v>192</v>
      </c>
      <c r="AD2331">
        <v>0</v>
      </c>
    </row>
    <row r="2332" spans="29:30" x14ac:dyDescent="0.25">
      <c r="AC2332" s="23" t="s">
        <v>4959</v>
      </c>
      <c r="AD2332">
        <v>0</v>
      </c>
    </row>
    <row r="2333" spans="29:30" x14ac:dyDescent="0.25">
      <c r="AC2333" s="23" t="s">
        <v>178</v>
      </c>
      <c r="AD2333">
        <v>0</v>
      </c>
    </row>
    <row r="2334" spans="29:30" x14ac:dyDescent="0.25">
      <c r="AC2334" s="23" t="s">
        <v>353</v>
      </c>
      <c r="AD2334">
        <v>0</v>
      </c>
    </row>
    <row r="2335" spans="29:30" x14ac:dyDescent="0.25">
      <c r="AC2335" s="23" t="s">
        <v>3367</v>
      </c>
      <c r="AD2335">
        <v>0</v>
      </c>
    </row>
    <row r="2336" spans="29:30" x14ac:dyDescent="0.25">
      <c r="AC2336" s="23" t="s">
        <v>774</v>
      </c>
      <c r="AD2336">
        <v>0</v>
      </c>
    </row>
    <row r="2337" spans="29:30" x14ac:dyDescent="0.25">
      <c r="AC2337" s="23" t="s">
        <v>3537</v>
      </c>
      <c r="AD2337">
        <v>0</v>
      </c>
    </row>
    <row r="2338" spans="29:30" x14ac:dyDescent="0.25">
      <c r="AC2338" s="23" t="s">
        <v>4606</v>
      </c>
      <c r="AD2338">
        <v>0</v>
      </c>
    </row>
    <row r="2339" spans="29:30" x14ac:dyDescent="0.25">
      <c r="AC2339" s="23" t="s">
        <v>216</v>
      </c>
      <c r="AD2339">
        <v>0</v>
      </c>
    </row>
    <row r="2340" spans="29:30" x14ac:dyDescent="0.25">
      <c r="AC2340" s="23" t="s">
        <v>1446</v>
      </c>
      <c r="AD2340">
        <v>0</v>
      </c>
    </row>
    <row r="2341" spans="29:30" x14ac:dyDescent="0.25">
      <c r="AC2341" s="23" t="s">
        <v>204</v>
      </c>
      <c r="AD2341">
        <v>0</v>
      </c>
    </row>
    <row r="2342" spans="29:30" x14ac:dyDescent="0.25">
      <c r="AC2342" s="23" t="s">
        <v>595</v>
      </c>
      <c r="AD2342">
        <v>0</v>
      </c>
    </row>
    <row r="2343" spans="29:30" x14ac:dyDescent="0.25">
      <c r="AC2343" s="23" t="s">
        <v>208</v>
      </c>
      <c r="AD2343">
        <v>0</v>
      </c>
    </row>
    <row r="2344" spans="29:30" x14ac:dyDescent="0.25">
      <c r="AC2344" s="23" t="s">
        <v>383</v>
      </c>
      <c r="AD2344">
        <v>0</v>
      </c>
    </row>
    <row r="2345" spans="29:30" x14ac:dyDescent="0.25">
      <c r="AC2345" s="23" t="s">
        <v>345</v>
      </c>
      <c r="AD2345">
        <v>0</v>
      </c>
    </row>
    <row r="2346" spans="29:30" x14ac:dyDescent="0.25">
      <c r="AC2346" s="23" t="s">
        <v>441</v>
      </c>
      <c r="AD2346">
        <v>0</v>
      </c>
    </row>
    <row r="2347" spans="29:30" x14ac:dyDescent="0.25">
      <c r="AC2347" s="23" t="s">
        <v>226</v>
      </c>
      <c r="AD2347">
        <v>0</v>
      </c>
    </row>
    <row r="2348" spans="29:30" x14ac:dyDescent="0.25">
      <c r="AC2348" s="23" t="s">
        <v>4747</v>
      </c>
      <c r="AD2348">
        <v>0</v>
      </c>
    </row>
    <row r="2349" spans="29:30" x14ac:dyDescent="0.25">
      <c r="AC2349" s="23" t="s">
        <v>246</v>
      </c>
      <c r="AD2349">
        <v>0</v>
      </c>
    </row>
    <row r="2350" spans="29:30" x14ac:dyDescent="0.25">
      <c r="AC2350" s="23" t="s">
        <v>523</v>
      </c>
      <c r="AD2350">
        <v>0</v>
      </c>
    </row>
    <row r="2351" spans="29:30" x14ac:dyDescent="0.25">
      <c r="AC2351" s="23" t="s">
        <v>152</v>
      </c>
      <c r="AD2351">
        <v>0</v>
      </c>
    </row>
    <row r="2352" spans="29:30" x14ac:dyDescent="0.25">
      <c r="AC2352" s="23" t="s">
        <v>675</v>
      </c>
      <c r="AD2352">
        <v>0</v>
      </c>
    </row>
    <row r="2353" spans="29:30" x14ac:dyDescent="0.25">
      <c r="AC2353" s="23" t="s">
        <v>218</v>
      </c>
      <c r="AD2353">
        <v>0</v>
      </c>
    </row>
    <row r="2354" spans="29:30" x14ac:dyDescent="0.25">
      <c r="AC2354" s="23" t="s">
        <v>521</v>
      </c>
      <c r="AD2354">
        <v>0</v>
      </c>
    </row>
    <row r="2355" spans="29:30" x14ac:dyDescent="0.25">
      <c r="AC2355" s="23" t="s">
        <v>170</v>
      </c>
      <c r="AD2355">
        <v>0</v>
      </c>
    </row>
    <row r="2356" spans="29:30" x14ac:dyDescent="0.25">
      <c r="AC2356" s="23" t="s">
        <v>782</v>
      </c>
      <c r="AD2356">
        <v>0</v>
      </c>
    </row>
    <row r="2357" spans="29:30" x14ac:dyDescent="0.25">
      <c r="AC2357" s="23" t="s">
        <v>2592</v>
      </c>
      <c r="AD2357">
        <v>0</v>
      </c>
    </row>
    <row r="2358" spans="29:30" x14ac:dyDescent="0.25">
      <c r="AC2358" s="23" t="s">
        <v>713</v>
      </c>
      <c r="AD2358">
        <v>0</v>
      </c>
    </row>
    <row r="2359" spans="29:30" x14ac:dyDescent="0.25">
      <c r="AC2359" s="23" t="s">
        <v>4717</v>
      </c>
      <c r="AD2359">
        <v>0</v>
      </c>
    </row>
    <row r="2360" spans="29:30" x14ac:dyDescent="0.25">
      <c r="AC2360" s="23" t="s">
        <v>699</v>
      </c>
      <c r="AD2360">
        <v>0</v>
      </c>
    </row>
    <row r="2361" spans="29:30" x14ac:dyDescent="0.25">
      <c r="AC2361" s="23" t="s">
        <v>212</v>
      </c>
      <c r="AD2361">
        <v>0</v>
      </c>
    </row>
    <row r="2362" spans="29:30" x14ac:dyDescent="0.25">
      <c r="AC2362" s="23" t="s">
        <v>405</v>
      </c>
      <c r="AD2362">
        <v>0</v>
      </c>
    </row>
    <row r="2363" spans="29:30" x14ac:dyDescent="0.25">
      <c r="AC2363" s="23" t="s">
        <v>232</v>
      </c>
      <c r="AD2363">
        <v>0</v>
      </c>
    </row>
    <row r="2364" spans="29:30" x14ac:dyDescent="0.25">
      <c r="AC2364" s="23" t="s">
        <v>565</v>
      </c>
      <c r="AD2364">
        <v>0</v>
      </c>
    </row>
    <row r="2365" spans="29:30" x14ac:dyDescent="0.25">
      <c r="AC2365" s="23" t="s">
        <v>188</v>
      </c>
      <c r="AD2365">
        <v>0</v>
      </c>
    </row>
    <row r="2366" spans="29:30" x14ac:dyDescent="0.25">
      <c r="AC2366" s="23" t="s">
        <v>587</v>
      </c>
      <c r="AD2366">
        <v>0</v>
      </c>
    </row>
    <row r="2367" spans="29:30" x14ac:dyDescent="0.25">
      <c r="AC2367" s="23" t="s">
        <v>184</v>
      </c>
      <c r="AD2367">
        <v>0</v>
      </c>
    </row>
    <row r="2368" spans="29:30" x14ac:dyDescent="0.25">
      <c r="AC2368" s="23" t="s">
        <v>655</v>
      </c>
      <c r="AD2368">
        <v>0</v>
      </c>
    </row>
    <row r="2369" spans="29:30" x14ac:dyDescent="0.25">
      <c r="AC2369" s="23" t="s">
        <v>347</v>
      </c>
      <c r="AD2369">
        <v>0</v>
      </c>
    </row>
    <row r="2370" spans="29:30" x14ac:dyDescent="0.25">
      <c r="AC2370" s="23" t="s">
        <v>501</v>
      </c>
      <c r="AD2370">
        <v>0</v>
      </c>
    </row>
    <row r="2371" spans="29:30" x14ac:dyDescent="0.25">
      <c r="AC2371" s="23" t="s">
        <v>230</v>
      </c>
      <c r="AD2371">
        <v>0</v>
      </c>
    </row>
    <row r="2372" spans="29:30" x14ac:dyDescent="0.25">
      <c r="AC2372" s="23" t="s">
        <v>509</v>
      </c>
      <c r="AD2372">
        <v>0</v>
      </c>
    </row>
    <row r="2373" spans="29:30" x14ac:dyDescent="0.25">
      <c r="AC2373" s="23" t="s">
        <v>194</v>
      </c>
      <c r="AD2373">
        <v>0</v>
      </c>
    </row>
    <row r="2374" spans="29:30" x14ac:dyDescent="0.25">
      <c r="AC2374" s="23" t="s">
        <v>519</v>
      </c>
      <c r="AD2374">
        <v>0</v>
      </c>
    </row>
    <row r="2375" spans="29:30" x14ac:dyDescent="0.25">
      <c r="AC2375" s="23" t="s">
        <v>172</v>
      </c>
      <c r="AD2375">
        <v>0</v>
      </c>
    </row>
    <row r="2376" spans="29:30" x14ac:dyDescent="0.25">
      <c r="AC2376" s="23" t="s">
        <v>407</v>
      </c>
      <c r="AD2376">
        <v>0</v>
      </c>
    </row>
    <row r="2377" spans="29:30" x14ac:dyDescent="0.25">
      <c r="AC2377" s="23" t="s">
        <v>367</v>
      </c>
      <c r="AD2377">
        <v>0</v>
      </c>
    </row>
    <row r="2378" spans="29:30" x14ac:dyDescent="0.25">
      <c r="AC2378" s="23" t="s">
        <v>553</v>
      </c>
      <c r="AD2378">
        <v>0</v>
      </c>
    </row>
    <row r="2379" spans="29:30" x14ac:dyDescent="0.25">
      <c r="AC2379" s="23" t="s">
        <v>220</v>
      </c>
      <c r="AD2379">
        <v>0</v>
      </c>
    </row>
    <row r="2380" spans="29:30" x14ac:dyDescent="0.25">
      <c r="AC2380" s="23" t="s">
        <v>615</v>
      </c>
      <c r="AD2380">
        <v>0</v>
      </c>
    </row>
    <row r="2381" spans="29:30" x14ac:dyDescent="0.25">
      <c r="AC2381" s="23" t="s">
        <v>222</v>
      </c>
      <c r="AD2381">
        <v>0</v>
      </c>
    </row>
    <row r="2382" spans="29:30" x14ac:dyDescent="0.25">
      <c r="AC2382" s="23" t="s">
        <v>389</v>
      </c>
      <c r="AD2382">
        <v>0</v>
      </c>
    </row>
    <row r="2383" spans="29:30" x14ac:dyDescent="0.25">
      <c r="AC2383" s="23" t="s">
        <v>4765</v>
      </c>
      <c r="AD2383">
        <v>0</v>
      </c>
    </row>
    <row r="2384" spans="29:30" x14ac:dyDescent="0.25">
      <c r="AC2384" s="23" t="s">
        <v>585</v>
      </c>
      <c r="AD2384">
        <v>0</v>
      </c>
    </row>
    <row r="2385" spans="29:30" x14ac:dyDescent="0.25">
      <c r="AC2385" s="23" t="s">
        <v>280</v>
      </c>
      <c r="AD2385">
        <v>0</v>
      </c>
    </row>
    <row r="2386" spans="29:30" x14ac:dyDescent="0.25">
      <c r="AC2386" s="23" t="s">
        <v>365</v>
      </c>
      <c r="AD2386">
        <v>0</v>
      </c>
    </row>
    <row r="2387" spans="29:30" x14ac:dyDescent="0.25">
      <c r="AC2387" s="23" t="s">
        <v>224</v>
      </c>
      <c r="AD2387">
        <v>0</v>
      </c>
    </row>
    <row r="2388" spans="29:30" x14ac:dyDescent="0.25">
      <c r="AC2388" s="23" t="s">
        <v>533</v>
      </c>
      <c r="AD2388">
        <v>0</v>
      </c>
    </row>
    <row r="2389" spans="29:30" x14ac:dyDescent="0.25">
      <c r="AC2389" s="23" t="s">
        <v>214</v>
      </c>
      <c r="AD2389">
        <v>0</v>
      </c>
    </row>
    <row r="2390" spans="29:30" x14ac:dyDescent="0.25">
      <c r="AC2390" s="23" t="s">
        <v>375</v>
      </c>
      <c r="AD2390">
        <v>0</v>
      </c>
    </row>
    <row r="2391" spans="29:30" x14ac:dyDescent="0.25">
      <c r="AC2391" s="23" t="s">
        <v>341</v>
      </c>
      <c r="AD2391">
        <v>0</v>
      </c>
    </row>
    <row r="2392" spans="29:30" x14ac:dyDescent="0.25">
      <c r="AC2392" s="23" t="s">
        <v>597</v>
      </c>
      <c r="AD2392">
        <v>0</v>
      </c>
    </row>
    <row r="2393" spans="29:30" x14ac:dyDescent="0.25">
      <c r="AC2393" s="23" t="s">
        <v>228</v>
      </c>
      <c r="AD2393">
        <v>0</v>
      </c>
    </row>
    <row r="2394" spans="29:30" x14ac:dyDescent="0.25">
      <c r="AC2394" s="23" t="s">
        <v>1647</v>
      </c>
      <c r="AD2394">
        <v>0</v>
      </c>
    </row>
    <row r="2395" spans="29:30" x14ac:dyDescent="0.25">
      <c r="AC2395" s="23" t="s">
        <v>190</v>
      </c>
      <c r="AD2395">
        <v>0</v>
      </c>
    </row>
    <row r="2396" spans="29:30" x14ac:dyDescent="0.25">
      <c r="AC2396" s="23" t="s">
        <v>411</v>
      </c>
      <c r="AD2396">
        <v>0</v>
      </c>
    </row>
    <row r="2397" spans="29:30" x14ac:dyDescent="0.25">
      <c r="AC2397" s="23" t="s">
        <v>250</v>
      </c>
      <c r="AD2397">
        <v>0</v>
      </c>
    </row>
    <row r="2398" spans="29:30" x14ac:dyDescent="0.25">
      <c r="AC2398" s="23" t="s">
        <v>705</v>
      </c>
      <c r="AD2398">
        <v>0</v>
      </c>
    </row>
    <row r="2399" spans="29:30" x14ac:dyDescent="0.25">
      <c r="AC2399" s="23" t="s">
        <v>164</v>
      </c>
      <c r="AD2399">
        <v>0</v>
      </c>
    </row>
    <row r="2400" spans="29:30" x14ac:dyDescent="0.25">
      <c r="AC2400" s="23" t="s">
        <v>790</v>
      </c>
      <c r="AD2400">
        <v>0</v>
      </c>
    </row>
    <row r="2401" spans="29:30" x14ac:dyDescent="0.25">
      <c r="AC2401" s="23" t="s">
        <v>236</v>
      </c>
      <c r="AD2401">
        <v>0</v>
      </c>
    </row>
    <row r="2402" spans="29:30" x14ac:dyDescent="0.25">
      <c r="AC2402" s="23" t="s">
        <v>401</v>
      </c>
      <c r="AD2402">
        <v>0</v>
      </c>
    </row>
    <row r="2403" spans="29:30" x14ac:dyDescent="0.25">
      <c r="AC2403" s="23" t="s">
        <v>244</v>
      </c>
      <c r="AD2403">
        <v>0</v>
      </c>
    </row>
    <row r="2404" spans="29:30" x14ac:dyDescent="0.25">
      <c r="AC2404" s="23" t="s">
        <v>4755</v>
      </c>
      <c r="AD2404">
        <v>0</v>
      </c>
    </row>
    <row r="2405" spans="29:30" x14ac:dyDescent="0.25">
      <c r="AC2405" s="23" t="s">
        <v>319</v>
      </c>
      <c r="AD2405">
        <v>0</v>
      </c>
    </row>
    <row r="2406" spans="29:30" x14ac:dyDescent="0.25">
      <c r="AC2406" s="23" t="s">
        <v>503</v>
      </c>
      <c r="AD2406">
        <v>0</v>
      </c>
    </row>
    <row r="2407" spans="29:30" x14ac:dyDescent="0.25">
      <c r="AC2407" s="23" t="s">
        <v>240</v>
      </c>
      <c r="AD2407">
        <v>0</v>
      </c>
    </row>
    <row r="2408" spans="29:30" x14ac:dyDescent="0.25">
      <c r="AC2408" s="23" t="s">
        <v>471</v>
      </c>
      <c r="AD2408">
        <v>0</v>
      </c>
    </row>
    <row r="2409" spans="29:30" x14ac:dyDescent="0.25">
      <c r="AC2409" s="23" t="s">
        <v>268</v>
      </c>
      <c r="AD2409">
        <v>0</v>
      </c>
    </row>
    <row r="2410" spans="29:30" x14ac:dyDescent="0.25">
      <c r="AC2410" s="23" t="s">
        <v>447</v>
      </c>
      <c r="AD2410">
        <v>0</v>
      </c>
    </row>
    <row r="2411" spans="29:30" x14ac:dyDescent="0.25">
      <c r="AC2411" s="23" t="s">
        <v>186</v>
      </c>
      <c r="AD2411">
        <v>0</v>
      </c>
    </row>
    <row r="2412" spans="29:30" x14ac:dyDescent="0.25">
      <c r="AC2412" s="23" t="s">
        <v>2371</v>
      </c>
      <c r="AD2412">
        <v>0</v>
      </c>
    </row>
    <row r="2413" spans="29:30" x14ac:dyDescent="0.25">
      <c r="AC2413" s="23" t="s">
        <v>4713</v>
      </c>
      <c r="AD2413">
        <v>0</v>
      </c>
    </row>
    <row r="2414" spans="29:30" x14ac:dyDescent="0.25">
      <c r="AC2414" s="23" t="s">
        <v>643</v>
      </c>
      <c r="AD2414">
        <v>0</v>
      </c>
    </row>
    <row r="2415" spans="29:30" x14ac:dyDescent="0.25">
      <c r="AC2415" s="23" t="s">
        <v>258</v>
      </c>
      <c r="AD2415">
        <v>0</v>
      </c>
    </row>
    <row r="2416" spans="29:30" x14ac:dyDescent="0.25">
      <c r="AC2416" s="23" t="s">
        <v>4735</v>
      </c>
      <c r="AD2416">
        <v>0</v>
      </c>
    </row>
    <row r="2417" spans="29:30" x14ac:dyDescent="0.25">
      <c r="AC2417" s="23" t="s">
        <v>200</v>
      </c>
      <c r="AD2417">
        <v>0</v>
      </c>
    </row>
    <row r="2418" spans="29:30" x14ac:dyDescent="0.25">
      <c r="AC2418" s="23" t="s">
        <v>679</v>
      </c>
      <c r="AD2418">
        <v>0</v>
      </c>
    </row>
    <row r="2419" spans="29:30" x14ac:dyDescent="0.25">
      <c r="AC2419" s="23" t="s">
        <v>1813</v>
      </c>
      <c r="AD2419">
        <v>0</v>
      </c>
    </row>
    <row r="2420" spans="29:30" x14ac:dyDescent="0.25">
      <c r="AC2420" s="23" t="s">
        <v>685</v>
      </c>
      <c r="AD2420">
        <v>0</v>
      </c>
    </row>
    <row r="2421" spans="29:30" x14ac:dyDescent="0.25">
      <c r="AC2421" s="23" t="s">
        <v>3445</v>
      </c>
      <c r="AD2421">
        <v>0</v>
      </c>
    </row>
    <row r="2422" spans="29:30" x14ac:dyDescent="0.25">
      <c r="AC2422" s="23" t="s">
        <v>453</v>
      </c>
      <c r="AD2422">
        <v>0</v>
      </c>
    </row>
    <row r="2423" spans="29:30" x14ac:dyDescent="0.25">
      <c r="AC2423" s="23" t="s">
        <v>260</v>
      </c>
      <c r="AD2423">
        <v>0</v>
      </c>
    </row>
    <row r="2424" spans="29:30" x14ac:dyDescent="0.25">
      <c r="AC2424" s="23" t="s">
        <v>4741</v>
      </c>
      <c r="AD2424">
        <v>0</v>
      </c>
    </row>
    <row r="2425" spans="29:30" x14ac:dyDescent="0.25">
      <c r="AC2425" s="23" t="s">
        <v>278</v>
      </c>
      <c r="AD2425">
        <v>0</v>
      </c>
    </row>
    <row r="2426" spans="29:30" x14ac:dyDescent="0.25">
      <c r="AC2426" s="23" t="s">
        <v>541</v>
      </c>
      <c r="AD2426">
        <v>0</v>
      </c>
    </row>
    <row r="2427" spans="29:30" x14ac:dyDescent="0.25">
      <c r="AC2427" s="23" t="s">
        <v>182</v>
      </c>
      <c r="AD2427">
        <v>0</v>
      </c>
    </row>
    <row r="2428" spans="29:30" x14ac:dyDescent="0.25">
      <c r="AC2428" s="23" t="s">
        <v>4767</v>
      </c>
      <c r="AD2428">
        <v>0</v>
      </c>
    </row>
    <row r="2429" spans="29:30" x14ac:dyDescent="0.25">
      <c r="AC2429" s="23" t="s">
        <v>264</v>
      </c>
      <c r="AD2429">
        <v>0</v>
      </c>
    </row>
    <row r="2430" spans="29:30" x14ac:dyDescent="0.25">
      <c r="AC2430" s="23" t="s">
        <v>4913</v>
      </c>
      <c r="AD2430">
        <v>0</v>
      </c>
    </row>
    <row r="2431" spans="29:30" x14ac:dyDescent="0.25">
      <c r="AC2431" s="23" t="s">
        <v>270</v>
      </c>
      <c r="AD2431">
        <v>0</v>
      </c>
    </row>
    <row r="2432" spans="29:30" x14ac:dyDescent="0.25">
      <c r="AC2432" s="23" t="s">
        <v>443</v>
      </c>
      <c r="AD2432">
        <v>0</v>
      </c>
    </row>
    <row r="2433" spans="29:30" x14ac:dyDescent="0.25">
      <c r="AC2433" s="23" t="s">
        <v>252</v>
      </c>
      <c r="AD2433">
        <v>0</v>
      </c>
    </row>
    <row r="2434" spans="29:30" x14ac:dyDescent="0.25">
      <c r="AC2434" s="23" t="s">
        <v>527</v>
      </c>
      <c r="AD2434">
        <v>0</v>
      </c>
    </row>
    <row r="2435" spans="29:30" x14ac:dyDescent="0.25">
      <c r="AC2435" s="23" t="s">
        <v>262</v>
      </c>
      <c r="AD2435">
        <v>0</v>
      </c>
    </row>
    <row r="2436" spans="29:30" x14ac:dyDescent="0.25">
      <c r="AC2436" s="23" t="s">
        <v>4745</v>
      </c>
      <c r="AD2436">
        <v>0</v>
      </c>
    </row>
    <row r="2437" spans="29:30" x14ac:dyDescent="0.25">
      <c r="AC2437" s="23" t="s">
        <v>282</v>
      </c>
      <c r="AD2437">
        <v>0</v>
      </c>
    </row>
    <row r="2438" spans="29:30" x14ac:dyDescent="0.25">
      <c r="AC2438" s="23" t="s">
        <v>4729</v>
      </c>
      <c r="AD2438">
        <v>0</v>
      </c>
    </row>
    <row r="2439" spans="29:30" x14ac:dyDescent="0.25">
      <c r="AC2439" s="23" t="s">
        <v>284</v>
      </c>
      <c r="AD2439">
        <v>0</v>
      </c>
    </row>
    <row r="2440" spans="29:30" x14ac:dyDescent="0.25">
      <c r="AC2440" s="23" t="s">
        <v>683</v>
      </c>
      <c r="AD2440">
        <v>0</v>
      </c>
    </row>
    <row r="2441" spans="29:30" x14ac:dyDescent="0.25">
      <c r="AC2441" s="23" t="s">
        <v>238</v>
      </c>
      <c r="AD2441">
        <v>0</v>
      </c>
    </row>
    <row r="2442" spans="29:30" x14ac:dyDescent="0.25">
      <c r="AC2442" s="23" t="s">
        <v>627</v>
      </c>
      <c r="AD2442">
        <v>0</v>
      </c>
    </row>
    <row r="2443" spans="29:30" x14ac:dyDescent="0.25">
      <c r="AC2443" s="23" t="s">
        <v>309</v>
      </c>
      <c r="AD2443">
        <v>0</v>
      </c>
    </row>
    <row r="2444" spans="29:30" x14ac:dyDescent="0.25">
      <c r="AC2444" s="23" t="s">
        <v>547</v>
      </c>
      <c r="AD2444">
        <v>0</v>
      </c>
    </row>
    <row r="2445" spans="29:30" x14ac:dyDescent="0.25">
      <c r="AC2445" s="23" t="s">
        <v>288</v>
      </c>
      <c r="AD2445">
        <v>0</v>
      </c>
    </row>
    <row r="2446" spans="29:30" x14ac:dyDescent="0.25">
      <c r="AC2446" s="23" t="s">
        <v>5071</v>
      </c>
      <c r="AD2446">
        <v>0</v>
      </c>
    </row>
    <row r="2447" spans="29:30" x14ac:dyDescent="0.25">
      <c r="AC2447" s="23" t="s">
        <v>4723</v>
      </c>
      <c r="AD2447">
        <v>0</v>
      </c>
    </row>
    <row r="2448" spans="29:30" x14ac:dyDescent="0.25">
      <c r="AC2448" s="23" t="s">
        <v>593</v>
      </c>
      <c r="AD2448">
        <v>0</v>
      </c>
    </row>
    <row r="2449" spans="29:30" x14ac:dyDescent="0.25">
      <c r="AC2449" s="23" t="s">
        <v>174</v>
      </c>
      <c r="AD2449">
        <v>0</v>
      </c>
    </row>
    <row r="2450" spans="29:30" x14ac:dyDescent="0.25">
      <c r="AC2450" s="23" t="s">
        <v>525</v>
      </c>
      <c r="AD2450">
        <v>0</v>
      </c>
    </row>
    <row r="2451" spans="29:30" x14ac:dyDescent="0.25">
      <c r="AC2451" s="23" t="s">
        <v>290</v>
      </c>
      <c r="AD2451">
        <v>0</v>
      </c>
    </row>
    <row r="2452" spans="29:30" x14ac:dyDescent="0.25">
      <c r="AC2452" s="23" t="s">
        <v>355</v>
      </c>
      <c r="AD2452">
        <v>0</v>
      </c>
    </row>
    <row r="2453" spans="29:30" x14ac:dyDescent="0.25">
      <c r="AC2453" s="23" t="s">
        <v>321</v>
      </c>
      <c r="AD2453">
        <v>0</v>
      </c>
    </row>
    <row r="2454" spans="29:30" x14ac:dyDescent="0.25">
      <c r="AC2454" s="23" t="s">
        <v>4963</v>
      </c>
      <c r="AD2454">
        <v>0</v>
      </c>
    </row>
    <row r="2455" spans="29:30" x14ac:dyDescent="0.25">
      <c r="AC2455" s="23" t="s">
        <v>303</v>
      </c>
      <c r="AD2455">
        <v>0</v>
      </c>
    </row>
    <row r="2456" spans="29:30" x14ac:dyDescent="0.25">
      <c r="AC2456" s="23" t="s">
        <v>465</v>
      </c>
      <c r="AD2456">
        <v>0</v>
      </c>
    </row>
    <row r="2457" spans="29:30" x14ac:dyDescent="0.25">
      <c r="AC2457" s="23" t="s">
        <v>276</v>
      </c>
      <c r="AD2457">
        <v>0</v>
      </c>
    </row>
    <row r="2458" spans="29:30" x14ac:dyDescent="0.25">
      <c r="AC2458" s="23" t="s">
        <v>371</v>
      </c>
      <c r="AD2458">
        <v>0</v>
      </c>
    </row>
    <row r="2459" spans="29:30" x14ac:dyDescent="0.25">
      <c r="AC2459" s="23" t="s">
        <v>4719</v>
      </c>
      <c r="AD2459">
        <v>0</v>
      </c>
    </row>
    <row r="2460" spans="29:30" x14ac:dyDescent="0.25">
      <c r="AC2460" s="23" t="s">
        <v>577</v>
      </c>
      <c r="AD2460">
        <v>0</v>
      </c>
    </row>
    <row r="2461" spans="29:30" x14ac:dyDescent="0.25">
      <c r="AC2461" s="23" t="s">
        <v>307</v>
      </c>
      <c r="AD2461">
        <v>0</v>
      </c>
    </row>
    <row r="2462" spans="29:30" x14ac:dyDescent="0.25">
      <c r="AC2462" s="23" t="s">
        <v>677</v>
      </c>
      <c r="AD2462">
        <v>0</v>
      </c>
    </row>
    <row r="2463" spans="29:30" x14ac:dyDescent="0.25">
      <c r="AC2463" s="23" t="s">
        <v>292</v>
      </c>
      <c r="AD2463">
        <v>0</v>
      </c>
    </row>
    <row r="2464" spans="29:30" x14ac:dyDescent="0.25">
      <c r="AC2464" s="23" t="s">
        <v>4350</v>
      </c>
      <c r="AD2464">
        <v>0</v>
      </c>
    </row>
    <row r="2465" spans="29:30" x14ac:dyDescent="0.25">
      <c r="AC2465" s="23" t="s">
        <v>198</v>
      </c>
      <c r="AD2465">
        <v>0</v>
      </c>
    </row>
    <row r="2466" spans="29:30" x14ac:dyDescent="0.25">
      <c r="AC2466" s="23" t="s">
        <v>3681</v>
      </c>
      <c r="AD2466">
        <v>0</v>
      </c>
    </row>
    <row r="2467" spans="29:30" x14ac:dyDescent="0.25">
      <c r="AC2467" s="23" t="s">
        <v>299</v>
      </c>
      <c r="AD2467">
        <v>0</v>
      </c>
    </row>
    <row r="2468" spans="29:30" x14ac:dyDescent="0.25">
      <c r="AC2468" s="23" t="s">
        <v>647</v>
      </c>
      <c r="AD2468">
        <v>0</v>
      </c>
    </row>
    <row r="2469" spans="29:30" x14ac:dyDescent="0.25">
      <c r="AC2469" s="23" t="s">
        <v>3695</v>
      </c>
      <c r="AD2469">
        <v>0</v>
      </c>
    </row>
    <row r="2470" spans="29:30" x14ac:dyDescent="0.25">
      <c r="AC2470" s="23" t="s">
        <v>711</v>
      </c>
      <c r="AD2470">
        <v>0</v>
      </c>
    </row>
    <row r="2471" spans="29:30" x14ac:dyDescent="0.25">
      <c r="AC2471" s="23" t="s">
        <v>301</v>
      </c>
      <c r="AD2471">
        <v>0</v>
      </c>
    </row>
    <row r="2472" spans="29:30" x14ac:dyDescent="0.25">
      <c r="AC2472" s="23" t="s">
        <v>669</v>
      </c>
      <c r="AD2472">
        <v>0</v>
      </c>
    </row>
    <row r="2473" spans="29:30" x14ac:dyDescent="0.25">
      <c r="AC2473" s="23" t="s">
        <v>296</v>
      </c>
      <c r="AD2473">
        <v>0</v>
      </c>
    </row>
    <row r="2474" spans="29:30" x14ac:dyDescent="0.25">
      <c r="AC2474" s="23" t="s">
        <v>721</v>
      </c>
      <c r="AD2474">
        <v>0</v>
      </c>
    </row>
    <row r="2475" spans="29:30" x14ac:dyDescent="0.25">
      <c r="AC2475" s="23" t="s">
        <v>305</v>
      </c>
      <c r="AD2475">
        <v>0</v>
      </c>
    </row>
    <row r="2476" spans="29:30" x14ac:dyDescent="0.25">
      <c r="AC2476" s="23" t="s">
        <v>703</v>
      </c>
      <c r="AD2476">
        <v>0</v>
      </c>
    </row>
    <row r="2477" spans="29:30" x14ac:dyDescent="0.25">
      <c r="AC2477" s="23" t="s">
        <v>4715</v>
      </c>
      <c r="AD2477">
        <v>0</v>
      </c>
    </row>
    <row r="2478" spans="29:30" x14ac:dyDescent="0.25">
      <c r="AC2478" s="23" t="s">
        <v>4739</v>
      </c>
      <c r="AD2478">
        <v>0</v>
      </c>
    </row>
    <row r="2479" spans="29:30" x14ac:dyDescent="0.25">
      <c r="AC2479" s="23" t="s">
        <v>242</v>
      </c>
      <c r="AD2479">
        <v>0</v>
      </c>
    </row>
    <row r="2480" spans="29:30" x14ac:dyDescent="0.25">
      <c r="AC2480" s="23" t="s">
        <v>637</v>
      </c>
      <c r="AD2480">
        <v>0</v>
      </c>
    </row>
    <row r="2481" spans="29:30" x14ac:dyDescent="0.25">
      <c r="AC2481" s="23" t="s">
        <v>266</v>
      </c>
      <c r="AD2481">
        <v>0</v>
      </c>
    </row>
    <row r="2482" spans="29:30" x14ac:dyDescent="0.25">
      <c r="AC2482" s="23" t="s">
        <v>373</v>
      </c>
    </row>
    <row r="2483" spans="29:30" x14ac:dyDescent="0.25">
      <c r="AC2483" s="23" t="s">
        <v>313</v>
      </c>
      <c r="AD2483">
        <v>0</v>
      </c>
    </row>
    <row r="2484" spans="29:30" x14ac:dyDescent="0.25">
      <c r="AC2484" s="23" t="s">
        <v>788</v>
      </c>
      <c r="AD2484">
        <v>0</v>
      </c>
    </row>
    <row r="2485" spans="29:30" x14ac:dyDescent="0.25">
      <c r="AC2485" s="23" t="s">
        <v>180</v>
      </c>
      <c r="AD2485">
        <v>0</v>
      </c>
    </row>
    <row r="2486" spans="29:30" x14ac:dyDescent="0.25">
      <c r="AC2486" s="23" t="s">
        <v>449</v>
      </c>
      <c r="AD2486">
        <v>0</v>
      </c>
    </row>
    <row r="2487" spans="29:30" x14ac:dyDescent="0.25">
      <c r="AC2487" s="23" t="s">
        <v>202</v>
      </c>
      <c r="AD2487">
        <v>0</v>
      </c>
    </row>
    <row r="2488" spans="29:30" x14ac:dyDescent="0.25">
      <c r="AC2488" s="23" t="s">
        <v>473</v>
      </c>
      <c r="AD2488">
        <v>0</v>
      </c>
    </row>
    <row r="2489" spans="29:30" x14ac:dyDescent="0.25">
      <c r="AC2489" s="23" t="s">
        <v>315</v>
      </c>
      <c r="AD2489">
        <v>0</v>
      </c>
    </row>
    <row r="2490" spans="29:30" x14ac:dyDescent="0.25">
      <c r="AC2490" s="23" t="s">
        <v>437</v>
      </c>
      <c r="AD2490">
        <v>0</v>
      </c>
    </row>
    <row r="2491" spans="29:30" x14ac:dyDescent="0.25">
      <c r="AC2491" s="23" t="s">
        <v>317</v>
      </c>
      <c r="AD2491">
        <v>0</v>
      </c>
    </row>
    <row r="2492" spans="29:30" x14ac:dyDescent="0.25">
      <c r="AC2492" s="23" t="s">
        <v>469</v>
      </c>
      <c r="AD2492">
        <v>0</v>
      </c>
    </row>
    <row r="2493" spans="29:30" x14ac:dyDescent="0.25">
      <c r="AC2493" s="23" t="s">
        <v>4725</v>
      </c>
      <c r="AD2493">
        <v>0</v>
      </c>
    </row>
    <row r="2494" spans="29:30" x14ac:dyDescent="0.25">
      <c r="AC2494" s="23" t="s">
        <v>425</v>
      </c>
      <c r="AD2494">
        <v>0</v>
      </c>
    </row>
    <row r="2495" spans="29:30" x14ac:dyDescent="0.25">
      <c r="AC2495" s="23" t="s">
        <v>325</v>
      </c>
      <c r="AD2495">
        <v>0</v>
      </c>
    </row>
    <row r="2496" spans="29:30" x14ac:dyDescent="0.25">
      <c r="AC2496" s="23" t="s">
        <v>445</v>
      </c>
      <c r="AD2496">
        <v>0</v>
      </c>
    </row>
    <row r="2497" spans="29:30" x14ac:dyDescent="0.25">
      <c r="AC2497" s="23" t="s">
        <v>2703</v>
      </c>
      <c r="AD2497">
        <v>0</v>
      </c>
    </row>
    <row r="2498" spans="29:30" x14ac:dyDescent="0.25">
      <c r="AC2498" s="23" t="s">
        <v>467</v>
      </c>
      <c r="AD2498">
        <v>0</v>
      </c>
    </row>
    <row r="2499" spans="29:30" x14ac:dyDescent="0.25">
      <c r="AC2499" s="23" t="s">
        <v>323</v>
      </c>
      <c r="AD2499">
        <v>0</v>
      </c>
    </row>
    <row r="2500" spans="29:30" x14ac:dyDescent="0.25">
      <c r="AC2500" s="23" t="s">
        <v>4761</v>
      </c>
      <c r="AD2500">
        <v>0</v>
      </c>
    </row>
    <row r="2501" spans="29:30" x14ac:dyDescent="0.25">
      <c r="AC2501" s="23" t="s">
        <v>327</v>
      </c>
      <c r="AD2501">
        <v>0</v>
      </c>
    </row>
    <row r="2502" spans="29:30" x14ac:dyDescent="0.25">
      <c r="AC2502" s="23" t="s">
        <v>4743</v>
      </c>
      <c r="AD2502">
        <v>0</v>
      </c>
    </row>
    <row r="2503" spans="29:30" x14ac:dyDescent="0.25">
      <c r="AC2503" s="23" t="s">
        <v>196</v>
      </c>
      <c r="AD2503">
        <v>0</v>
      </c>
    </row>
    <row r="2504" spans="29:30" x14ac:dyDescent="0.25">
      <c r="AC2504" s="23" t="s">
        <v>563</v>
      </c>
      <c r="AD2504">
        <v>0</v>
      </c>
    </row>
    <row r="2505" spans="29:30" x14ac:dyDescent="0.25">
      <c r="AC2505" s="23" t="s">
        <v>329</v>
      </c>
      <c r="AD2505">
        <v>0</v>
      </c>
    </row>
    <row r="2506" spans="29:30" x14ac:dyDescent="0.25">
      <c r="AC2506" s="23" t="s">
        <v>4831</v>
      </c>
      <c r="AD2506">
        <v>0</v>
      </c>
    </row>
    <row r="2507" spans="29:30" x14ac:dyDescent="0.25">
      <c r="AC2507" s="23" t="s">
        <v>274</v>
      </c>
      <c r="AD2507">
        <v>0</v>
      </c>
    </row>
    <row r="2508" spans="29:30" x14ac:dyDescent="0.25">
      <c r="AC2508" s="23" t="s">
        <v>248</v>
      </c>
      <c r="AD2508">
        <v>0</v>
      </c>
    </row>
    <row r="2509" spans="29:30" x14ac:dyDescent="0.25">
      <c r="AC2509" s="23" t="s">
        <v>331</v>
      </c>
      <c r="AD2509">
        <v>0</v>
      </c>
    </row>
    <row r="2510" spans="29:30" x14ac:dyDescent="0.25">
      <c r="AC2510" s="23" t="s">
        <v>539</v>
      </c>
      <c r="AD2510">
        <v>0</v>
      </c>
    </row>
    <row r="2511" spans="29:30" x14ac:dyDescent="0.25">
      <c r="AC2511" s="23" t="s">
        <v>333</v>
      </c>
      <c r="AD2511">
        <v>0</v>
      </c>
    </row>
    <row r="2512" spans="29:30" x14ac:dyDescent="0.25">
      <c r="AC2512" s="23" t="s">
        <v>397</v>
      </c>
      <c r="AD2512">
        <v>0</v>
      </c>
    </row>
    <row r="2513" spans="29:30" x14ac:dyDescent="0.25">
      <c r="AC2513" s="23" t="s">
        <v>335</v>
      </c>
      <c r="AD2513">
        <v>0</v>
      </c>
    </row>
    <row r="2514" spans="29:30" x14ac:dyDescent="0.25">
      <c r="AC2514" s="23" t="s">
        <v>427</v>
      </c>
      <c r="AD2514">
        <v>0</v>
      </c>
    </row>
    <row r="2515" spans="29:30" x14ac:dyDescent="0.25">
      <c r="AC2515" s="23" t="s">
        <v>2588</v>
      </c>
      <c r="AD2515">
        <v>0</v>
      </c>
    </row>
    <row r="2516" spans="29:30" x14ac:dyDescent="0.25">
      <c r="AC2516" s="23" t="s">
        <v>455</v>
      </c>
      <c r="AD2516">
        <v>0</v>
      </c>
    </row>
    <row r="2517" spans="29:30" x14ac:dyDescent="0.25">
      <c r="AC2517" s="23" t="s">
        <v>339</v>
      </c>
      <c r="AD2517">
        <v>0</v>
      </c>
    </row>
    <row r="2518" spans="29:30" x14ac:dyDescent="0.25">
      <c r="AC2518" s="23" t="s">
        <v>707</v>
      </c>
      <c r="AD2518">
        <v>0</v>
      </c>
    </row>
    <row r="2519" spans="29:30" x14ac:dyDescent="0.25">
      <c r="AC2519" s="23" t="s">
        <v>337</v>
      </c>
      <c r="AD2519">
        <v>0</v>
      </c>
    </row>
    <row r="2520" spans="29:30" x14ac:dyDescent="0.25">
      <c r="AC2520" s="23" t="s">
        <v>571</v>
      </c>
      <c r="AD2520">
        <v>0</v>
      </c>
    </row>
    <row r="2521" spans="29:30" x14ac:dyDescent="0.25">
      <c r="AC2521" s="23" t="s">
        <v>343</v>
      </c>
      <c r="AD2521">
        <v>0</v>
      </c>
    </row>
    <row r="2522" spans="29:30" x14ac:dyDescent="0.25">
      <c r="AC2522" s="23" t="s">
        <v>451</v>
      </c>
      <c r="AD2522">
        <v>0</v>
      </c>
    </row>
    <row r="2523" spans="29:30" x14ac:dyDescent="0.25">
      <c r="AC2523" s="23" t="s">
        <v>349</v>
      </c>
      <c r="AD2523">
        <v>0</v>
      </c>
    </row>
    <row r="2524" spans="29:30" x14ac:dyDescent="0.25">
      <c r="AC2524" s="23" t="s">
        <v>457</v>
      </c>
      <c r="AD2524">
        <v>0</v>
      </c>
    </row>
    <row r="2525" spans="29:30" x14ac:dyDescent="0.25">
      <c r="AC2525" s="23" t="s">
        <v>351</v>
      </c>
      <c r="AD2525">
        <v>0</v>
      </c>
    </row>
    <row r="2526" spans="29:30" x14ac:dyDescent="0.25">
      <c r="AC2526" s="23" t="s">
        <v>463</v>
      </c>
      <c r="AD2526">
        <v>0</v>
      </c>
    </row>
    <row r="2527" spans="29:30" x14ac:dyDescent="0.25">
      <c r="AC2527" s="23" t="s">
        <v>5240</v>
      </c>
      <c r="AD2527">
        <v>0</v>
      </c>
    </row>
    <row r="2528" spans="29:30" x14ac:dyDescent="0.25">
      <c r="AC2528" s="23" t="s">
        <v>4737</v>
      </c>
      <c r="AD2528">
        <v>0</v>
      </c>
    </row>
    <row r="2529" spans="29:30" x14ac:dyDescent="0.25">
      <c r="AC2529" s="23" t="s">
        <v>589</v>
      </c>
      <c r="AD2529">
        <v>0</v>
      </c>
    </row>
    <row r="2530" spans="29:30" x14ac:dyDescent="0.25">
      <c r="AC2530" s="23" t="s">
        <v>511</v>
      </c>
      <c r="AD2530">
        <v>0</v>
      </c>
    </row>
    <row r="2531" spans="29:30" x14ac:dyDescent="0.25">
      <c r="AC2531" s="23" t="s">
        <v>693</v>
      </c>
      <c r="AD2531">
        <v>0</v>
      </c>
    </row>
    <row r="2532" spans="29:30" x14ac:dyDescent="0.25">
      <c r="AC2532" s="23" t="s">
        <v>507</v>
      </c>
      <c r="AD2532">
        <v>0</v>
      </c>
    </row>
    <row r="2533" spans="29:30" x14ac:dyDescent="0.25">
      <c r="AC2533" s="23" t="s">
        <v>369</v>
      </c>
      <c r="AD2533">
        <v>0</v>
      </c>
    </row>
    <row r="2534" spans="29:30" x14ac:dyDescent="0.25">
      <c r="AC2534" s="23" t="s">
        <v>591</v>
      </c>
      <c r="AD2534">
        <v>0</v>
      </c>
    </row>
    <row r="2535" spans="29:30" x14ac:dyDescent="0.25">
      <c r="AC2535" s="23" t="s">
        <v>2025</v>
      </c>
      <c r="AD2535">
        <v>0</v>
      </c>
    </row>
    <row r="2536" spans="29:30" x14ac:dyDescent="0.25">
      <c r="AC2536" s="23" t="s">
        <v>695</v>
      </c>
      <c r="AD2536">
        <v>0</v>
      </c>
    </row>
    <row r="2537" spans="29:30" x14ac:dyDescent="0.25">
      <c r="AC2537" s="23" t="s">
        <v>601</v>
      </c>
      <c r="AD2537">
        <v>0</v>
      </c>
    </row>
    <row r="2538" spans="29:30" x14ac:dyDescent="0.25">
      <c r="AC2538" s="23" t="s">
        <v>545</v>
      </c>
      <c r="AD2538">
        <v>0</v>
      </c>
    </row>
    <row r="2539" spans="29:30" x14ac:dyDescent="0.25">
      <c r="AC2539" s="23" t="s">
        <v>4749</v>
      </c>
      <c r="AD2539">
        <v>0</v>
      </c>
    </row>
    <row r="2540" spans="29:30" x14ac:dyDescent="0.25">
      <c r="AC2540" s="23" t="s">
        <v>619</v>
      </c>
      <c r="AD2540">
        <v>0</v>
      </c>
    </row>
    <row r="2541" spans="29:30" x14ac:dyDescent="0.25">
      <c r="AC2541" s="23" t="s">
        <v>747</v>
      </c>
      <c r="AD2541">
        <v>0</v>
      </c>
    </row>
    <row r="2542" spans="29:30" x14ac:dyDescent="0.25">
      <c r="AC2542" s="23" t="s">
        <v>505</v>
      </c>
      <c r="AD2542">
        <v>0</v>
      </c>
    </row>
    <row r="2543" spans="29:30" x14ac:dyDescent="0.25">
      <c r="AC2543" s="23" t="s">
        <v>4731</v>
      </c>
      <c r="AD2543">
        <v>0</v>
      </c>
    </row>
    <row r="2544" spans="29:30" x14ac:dyDescent="0.25">
      <c r="AC2544" s="23" t="s">
        <v>393</v>
      </c>
      <c r="AD2544">
        <v>0</v>
      </c>
    </row>
    <row r="2545" spans="29:30" x14ac:dyDescent="0.25">
      <c r="AC2545" s="23" t="s">
        <v>543</v>
      </c>
      <c r="AD2545">
        <v>0</v>
      </c>
    </row>
    <row r="2546" spans="29:30" x14ac:dyDescent="0.25">
      <c r="AC2546" s="23" t="s">
        <v>513</v>
      </c>
      <c r="AD2546">
        <v>0</v>
      </c>
    </row>
    <row r="2547" spans="29:30" x14ac:dyDescent="0.25">
      <c r="AC2547" s="23" t="s">
        <v>549</v>
      </c>
      <c r="AD2547">
        <v>0</v>
      </c>
    </row>
    <row r="2548" spans="29:30" x14ac:dyDescent="0.25">
      <c r="AC2548" s="23" t="s">
        <v>381</v>
      </c>
      <c r="AD2548">
        <v>0</v>
      </c>
    </row>
    <row r="2549" spans="29:30" x14ac:dyDescent="0.25">
      <c r="AC2549" s="23" t="s">
        <v>479</v>
      </c>
      <c r="AD2549">
        <v>0</v>
      </c>
    </row>
    <row r="2550" spans="29:30" x14ac:dyDescent="0.25">
      <c r="AC2550" s="23" t="s">
        <v>439</v>
      </c>
      <c r="AD2550">
        <v>0</v>
      </c>
    </row>
    <row r="2551" spans="29:30" x14ac:dyDescent="0.25">
      <c r="AC2551" s="23" t="s">
        <v>481</v>
      </c>
      <c r="AD2551">
        <v>0</v>
      </c>
    </row>
    <row r="2552" spans="29:30" x14ac:dyDescent="0.25">
      <c r="AC2552" s="23" t="s">
        <v>415</v>
      </c>
      <c r="AD2552">
        <v>0</v>
      </c>
    </row>
    <row r="2553" spans="29:30" x14ac:dyDescent="0.25">
      <c r="AC2553" s="23" t="s">
        <v>361</v>
      </c>
      <c r="AD2553">
        <v>0</v>
      </c>
    </row>
    <row r="2554" spans="29:30" x14ac:dyDescent="0.25">
      <c r="AC2554" s="23" t="s">
        <v>691</v>
      </c>
      <c r="AD2554">
        <v>0</v>
      </c>
    </row>
    <row r="2555" spans="29:30" x14ac:dyDescent="0.25">
      <c r="AC2555" s="23" t="s">
        <v>433</v>
      </c>
      <c r="AD2555">
        <v>0</v>
      </c>
    </row>
    <row r="2556" spans="29:30" x14ac:dyDescent="0.25">
      <c r="AC2556" s="23" t="s">
        <v>715</v>
      </c>
      <c r="AD2556">
        <v>0</v>
      </c>
    </row>
    <row r="2557" spans="29:30" x14ac:dyDescent="0.25">
      <c r="AC2557" s="23" t="s">
        <v>561</v>
      </c>
      <c r="AD2557">
        <v>0</v>
      </c>
    </row>
    <row r="2558" spans="29:30" x14ac:dyDescent="0.25">
      <c r="AC2558" s="23" t="s">
        <v>399</v>
      </c>
      <c r="AD2558">
        <v>0</v>
      </c>
    </row>
    <row r="2559" spans="29:30" x14ac:dyDescent="0.25">
      <c r="AC2559" s="23" t="s">
        <v>4757</v>
      </c>
      <c r="AD2559">
        <v>0</v>
      </c>
    </row>
    <row r="2560" spans="29:30" x14ac:dyDescent="0.25">
      <c r="AC2560" s="23" t="s">
        <v>499</v>
      </c>
      <c r="AD2560">
        <v>0</v>
      </c>
    </row>
    <row r="2561" spans="29:30" x14ac:dyDescent="0.25">
      <c r="AC2561" s="23" t="s">
        <v>2464</v>
      </c>
      <c r="AD2561">
        <v>0</v>
      </c>
    </row>
    <row r="2562" spans="29:30" x14ac:dyDescent="0.25">
      <c r="AC2562" s="23" t="s">
        <v>569</v>
      </c>
      <c r="AD2562">
        <v>0</v>
      </c>
    </row>
    <row r="2563" spans="29:30" x14ac:dyDescent="0.25">
      <c r="AC2563" s="23" t="s">
        <v>517</v>
      </c>
      <c r="AD2563">
        <v>0</v>
      </c>
    </row>
    <row r="2564" spans="29:30" x14ac:dyDescent="0.25">
      <c r="AC2564" s="23" t="s">
        <v>754</v>
      </c>
      <c r="AD2564">
        <v>0</v>
      </c>
    </row>
    <row r="2565" spans="29:30" x14ac:dyDescent="0.25">
      <c r="AC2565" s="23" t="s">
        <v>583</v>
      </c>
      <c r="AD2565">
        <v>0</v>
      </c>
    </row>
    <row r="2566" spans="29:30" x14ac:dyDescent="0.25">
      <c r="AC2566" s="23" t="s">
        <v>559</v>
      </c>
      <c r="AD2566">
        <v>0</v>
      </c>
    </row>
    <row r="2567" spans="29:30" x14ac:dyDescent="0.25">
      <c r="AC2567" s="23" t="s">
        <v>2468</v>
      </c>
      <c r="AD2567">
        <v>0</v>
      </c>
    </row>
    <row r="2568" spans="29:30" x14ac:dyDescent="0.25">
      <c r="AC2568" s="23" t="s">
        <v>5065</v>
      </c>
      <c r="AD2568">
        <v>0</v>
      </c>
    </row>
    <row r="2569" spans="29:30" x14ac:dyDescent="0.25">
      <c r="AC2569" s="23" t="s">
        <v>3312</v>
      </c>
      <c r="AD2569">
        <v>0</v>
      </c>
    </row>
    <row r="2570" spans="29:30" x14ac:dyDescent="0.25">
      <c r="AC2570" s="23" t="s">
        <v>611</v>
      </c>
      <c r="AD2570">
        <v>0</v>
      </c>
    </row>
    <row r="2571" spans="29:30" x14ac:dyDescent="0.25">
      <c r="AC2571" s="23" t="s">
        <v>665</v>
      </c>
      <c r="AD2571">
        <v>0</v>
      </c>
    </row>
    <row r="2572" spans="29:30" x14ac:dyDescent="0.25">
      <c r="AC2572" s="23" t="s">
        <v>551</v>
      </c>
      <c r="AD2572">
        <v>0</v>
      </c>
    </row>
    <row r="2573" spans="29:30" x14ac:dyDescent="0.25">
      <c r="AC2573" s="23" t="s">
        <v>653</v>
      </c>
      <c r="AD2573">
        <v>0</v>
      </c>
    </row>
    <row r="2574" spans="29:30" x14ac:dyDescent="0.25">
      <c r="AC2574" s="23" t="s">
        <v>617</v>
      </c>
      <c r="AD2574">
        <v>0</v>
      </c>
    </row>
    <row r="2575" spans="29:30" x14ac:dyDescent="0.25">
      <c r="AC2575" s="23" t="s">
        <v>377</v>
      </c>
      <c r="AD2575">
        <v>0</v>
      </c>
    </row>
    <row r="2576" spans="29:30" x14ac:dyDescent="0.25">
      <c r="AC2576" s="23" t="s">
        <v>160</v>
      </c>
      <c r="AD2576">
        <v>0</v>
      </c>
    </row>
    <row r="2577" spans="29:30" x14ac:dyDescent="0.25">
      <c r="AC2577" s="23" t="s">
        <v>581</v>
      </c>
      <c r="AD2577">
        <v>0</v>
      </c>
    </row>
  </sheetData>
  <phoneticPr fontId="2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673BBB58-F0A0-4786-B51C-6EDB634CEFCC}">
  <ds:schemaRefs/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3C6A8673-8AC9-46D3-B5D8-076226AA0D41}">
  <ds:schemaRefs/>
</ds:datastoreItem>
</file>

<file path=customXml/itemProps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BFE3D1AB-2A87-4EE1-931C-1EA693512D85}">
  <ds:schemaRefs/>
</ds:datastoreItem>
</file>

<file path=customXml/itemProps7.xml><?xml version="1.0" encoding="utf-8"?>
<ds:datastoreItem xmlns:ds="http://schemas.openxmlformats.org/officeDocument/2006/customXml" ds:itemID="{41963BAE-8EB6-46AC-A658-E75640AEBC33}">
  <ds:schemaRefs/>
</ds:datastoreItem>
</file>

<file path=customXml/itemProps8.xml><?xml version="1.0" encoding="utf-8"?>
<ds:datastoreItem xmlns:ds="http://schemas.openxmlformats.org/officeDocument/2006/customXml" ds:itemID="{B0A2FF92-6D04-4C99-81CD-16C2C9095F1F}">
  <ds:schemaRefs/>
</ds:datastoreItem>
</file>

<file path=customXml/itemProps9.xml><?xml version="1.0" encoding="utf-8"?>
<ds:datastoreItem xmlns:ds="http://schemas.openxmlformats.org/officeDocument/2006/customXml" ds:itemID="{696AA859-7765-4F5A-BDF3-02D06DD342B4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10A2DF84-F2E0-4D46-B17D-AE82A13D9F25}">
  <ds:schemaRefs/>
</ds:datastoreItem>
</file>

<file path=customXml/itemProps12.xml><?xml version="1.0" encoding="utf-8"?>
<ds:datastoreItem xmlns:ds="http://schemas.openxmlformats.org/officeDocument/2006/customXml" ds:itemID="{3D30612E-7D2C-460B-8D2B-25D379C8156B}">
  <ds:schemaRefs/>
</ds:datastoreItem>
</file>

<file path=customXml/itemProps13.xml><?xml version="1.0" encoding="utf-8"?>
<ds:datastoreItem xmlns:ds="http://schemas.openxmlformats.org/officeDocument/2006/customXml" ds:itemID="{29011687-F244-4331-A4D9-81406585EBCF}">
  <ds:schemaRefs/>
</ds:datastoreItem>
</file>

<file path=customXml/itemProps14.xml><?xml version="1.0" encoding="utf-8"?>
<ds:datastoreItem xmlns:ds="http://schemas.openxmlformats.org/officeDocument/2006/customXml" ds:itemID="{DDEBD228-0A6C-4B38-A199-6F80420AEB9E}">
  <ds:schemaRefs/>
</ds:datastoreItem>
</file>

<file path=customXml/itemProps15.xml><?xml version="1.0" encoding="utf-8"?>
<ds:datastoreItem xmlns:ds="http://schemas.openxmlformats.org/officeDocument/2006/customXml" ds:itemID="{C4B6AEBE-60E9-4404-99AC-07B10556DFBE}">
  <ds:schemaRefs/>
</ds:datastoreItem>
</file>

<file path=customXml/itemProps16.xml><?xml version="1.0" encoding="utf-8"?>
<ds:datastoreItem xmlns:ds="http://schemas.openxmlformats.org/officeDocument/2006/customXml" ds:itemID="{385D5FC2-A465-4EE3-83B9-17BC85F66FE3}">
  <ds:schemaRefs/>
</ds:datastoreItem>
</file>

<file path=customXml/itemProps17.xml><?xml version="1.0" encoding="utf-8"?>
<ds:datastoreItem xmlns:ds="http://schemas.openxmlformats.org/officeDocument/2006/customXml" ds:itemID="{7C7B5702-B2CB-448A-AD9A-15DC281299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55</vt:i4>
      </vt:variant>
    </vt:vector>
  </HeadingPairs>
  <TitlesOfParts>
    <vt:vector size="67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Data</vt:lpstr>
      <vt:lpstr>ChartData</vt:lpstr>
      <vt:lpstr>apptable</vt:lpstr>
      <vt:lpstr>DateAfterExport</vt:lpstr>
      <vt:lpstr>GitHubBranch</vt:lpstr>
      <vt:lpstr>GitHubToken</vt:lpstr>
      <vt:lpstr>IpcExpiry</vt:lpstr>
      <vt:lpstr>IpcLast</vt:lpstr>
      <vt:lpstr>LogbookTotals</vt:lpstr>
      <vt:lpstr>LogbookVersion</vt:lpstr>
      <vt:lpstr>monthtable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2026-06-01T01:38:55Z</dcterms:modified>
  <cp:category/>
  <cp:contentStatus/>
</cp:coreProperties>
</file>