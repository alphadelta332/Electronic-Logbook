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740FB198-E814-4350-8391-3074DDE34D9B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J5" i="34" l="1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X6" i="16" a="1"/>
  <c r="BF6" i="16" a="1"/>
  <c r="BH6" i="16" a="1"/>
  <c r="AU6" i="16" a="1"/>
  <c r="AZ6" i="16" a="1"/>
  <c r="BC6" i="16" a="1"/>
  <c r="BB6" i="16" a="1"/>
  <c r="AW6" i="16" a="1"/>
  <c r="AY6" i="16" a="1"/>
  <c r="BA6" i="16" a="1"/>
  <c r="BG6" i="16" a="1"/>
  <c r="AV6" i="16" a="1"/>
  <c r="BD6" i="16" a="1"/>
  <c r="BI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<sst xmlns="http://schemas.openxmlformats.org/spreadsheetml/2006/main" count="8190" uniqueCount="5437">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</sst>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3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1" fontId="3" fillId="0" borderId="34" xfId="0" applyNumberFormat="1" applyFont="1" applyBorder="1"/>
    <xf numFmtId="0" fontId="3" fillId="0" borderId="34" xfId="0" applyFont="1" applyBorder="1"/>
    <xf numFmtId="165" fontId="3" fillId="0" borderId="0" xfId="0" applyNumberFormat="1" applyFont="1" applyAlignment="1">
      <alignment horizontal="center"/>
    </xf>
    <xf numFmtId="0" fontId="3" fillId="0" borderId="41" xfId="0" applyFont="1" applyBorder="1" applyAlignment="1">
      <alignment horizontal="center"/>
    </xf>
    <xf numFmtId="0" fontId="27" fillId="9" borderId="43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4" xfId="0" applyNumberFormat="1" applyFont="1" applyFill="1" applyBorder="1" applyAlignment="1">
      <alignment horizontal="center" vertical="center"/>
    </xf>
    <xf numFmtId="0" fontId="28" fillId="10" borderId="37" xfId="0" applyFont="1" applyFill="1" applyBorder="1" applyAlignment="1">
      <alignment horizontal="center" vertical="center" wrapText="1"/>
    </xf>
    <xf numFmtId="0" fontId="28" fillId="10" borderId="37" xfId="0" applyFont="1" applyFill="1" applyBorder="1"/>
    <xf numFmtId="1" fontId="28" fillId="10" borderId="37" xfId="0" applyNumberFormat="1" applyFont="1" applyFill="1" applyBorder="1"/>
    <xf numFmtId="0" fontId="28" fillId="10" borderId="35" xfId="0" applyFont="1" applyFill="1" applyBorder="1" applyAlignment="1">
      <alignment horizontal="center"/>
    </xf>
    <xf numFmtId="0" fontId="28" fillId="10" borderId="36" xfId="0" applyFont="1" applyFill="1" applyBorder="1" applyAlignment="1">
      <alignment horizontal="right"/>
    </xf>
    <xf numFmtId="0" fontId="14" fillId="0" borderId="38" xfId="0" applyFont="1" applyBorder="1" applyAlignment="1">
      <alignment horizontal="right"/>
    </xf>
    <xf numFmtId="0" fontId="14" fillId="0" borderId="39" xfId="0" applyFont="1" applyBorder="1" applyAlignment="1">
      <alignment horizontal="right"/>
    </xf>
    <xf numFmtId="166" fontId="27" fillId="0" borderId="4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70" fontId="14" fillId="9" borderId="51" xfId="0" applyNumberFormat="1" applyFont="1" applyFill="1" applyBorder="1" applyAlignment="1">
      <alignment vertical="center" wrapText="1"/>
    </xf>
    <xf numFmtId="172" fontId="6" fillId="0" borderId="34" xfId="0" applyNumberFormat="1" applyFont="1" applyBorder="1" applyAlignment="1">
      <alignment horizontal="center" vertical="center" wrapText="1"/>
    </xf>
    <xf numFmtId="165" fontId="11" fillId="0" borderId="6" xfId="0" applyNumberFormat="1" applyFont="1" applyBorder="1" applyAlignment="1">
      <alignment horizontal="center" vertical="center" wrapText="1"/>
    </xf>
    <xf numFmtId="165" fontId="28" fillId="11" borderId="36" xfId="0" applyNumberFormat="1" applyFont="1" applyFill="1" applyBorder="1" applyAlignment="1">
      <alignment horizontal="center"/>
    </xf>
    <xf numFmtId="0" fontId="27" fillId="9" borderId="54" xfId="0" applyFont="1" applyFill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169" fontId="27" fillId="9" borderId="3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0" xfId="0" applyNumberFormat="1" applyFont="1" applyFill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8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27" fillId="9" borderId="4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0" fontId="27" fillId="9" borderId="45" xfId="0" applyFont="1" applyFill="1" applyBorder="1" applyAlignment="1">
      <alignment horizontal="center" vertical="center" wrapText="1"/>
    </xf>
    <xf numFmtId="0" fontId="27" fillId="9" borderId="46" xfId="0" applyFont="1" applyFill="1" applyBorder="1" applyAlignment="1">
      <alignment horizontal="center" vertical="center" wrapText="1"/>
    </xf>
    <xf numFmtId="0" fontId="27" fillId="9" borderId="47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52" xfId="0" applyFont="1" applyFill="1" applyBorder="1" applyAlignment="1">
      <alignment horizontal="center" vertical="center" wrapText="1"/>
    </xf>
    <xf numFmtId="0" fontId="27" fillId="9" borderId="53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70" fontId="27" fillId="9" borderId="50" xfId="0" applyNumberFormat="1" applyFont="1" applyFill="1" applyBorder="1" applyAlignment="1">
      <alignment horizontal="center" vertical="center" wrapText="1"/>
    </xf>
    <xf numFmtId="170" fontId="27" fillId="9" borderId="46" xfId="0" applyNumberFormat="1" applyFont="1" applyFill="1" applyBorder="1" applyAlignment="1">
      <alignment horizontal="center" vertical="center" wrapText="1"/>
    </xf>
    <xf numFmtId="170" fontId="27" fillId="9" borderId="47" xfId="0" applyNumberFormat="1" applyFont="1" applyFill="1" applyBorder="1" applyAlignment="1">
      <alignment horizontal="center" vertical="center" wrapText="1"/>
    </xf>
    <xf numFmtId="170" fontId="27" fillId="9" borderId="34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48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838744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3565510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64895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59" type="button" dataOnly="0" labelOnly="1" outline="0" axis="axisRow" fieldPosition="0"/>
    </format>
    <format dxfId="7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54" t="s">
        <v>5331</v>
      </c>
    </row>
    <row r="2" spans="1:1" x14ac:dyDescent="0.25">
      <c r="A2" s="254"/>
    </row>
    <row r="3" spans="1:1" x14ac:dyDescent="0.25">
      <c r="A3" s="254"/>
    </row>
    <row r="4" spans="1:1" x14ac:dyDescent="0.25">
      <c r="A4" s="254"/>
    </row>
    <row r="5" spans="1:1" x14ac:dyDescent="0.25">
      <c r="A5" s="254"/>
    </row>
    <row r="6" spans="1:1" x14ac:dyDescent="0.25">
      <c r="A6" s="91" t="s">
        <v>5332</v>
      </c>
    </row>
    <row r="8" spans="1:1" hidden="1" x14ac:dyDescent="0.25">
      <c r="A8" s="92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J9" sqref="J9"/>
    </sheetView>
  </sheetViews>
  <sheetFormatPr defaultColWidth="0" defaultRowHeight="15" zeroHeight="1" x14ac:dyDescent="0.25"/>
  <cols>
    <col min="1" max="1" width="3.42578125" style="53" customWidth="1"/>
    <col min="2" max="2" width="11.5703125" style="53" hidden="1" customWidth="1"/>
    <col min="3" max="3" width="5.140625" style="53" bestFit="1" customWidth="1"/>
    <col min="4" max="4" width="7" style="53" bestFit="1" customWidth="1"/>
    <col min="5" max="5" width="4.5703125" style="53" customWidth="1"/>
    <col min="6" max="7" width="8.7109375" style="53" customWidth="1"/>
    <col min="8" max="9" width="18.28515625" style="53" customWidth="1"/>
    <col min="10" max="10" width="38.42578125" style="53" customWidth="1"/>
    <col min="11" max="14" width="10.85546875" style="74" customWidth="1"/>
    <col min="15" max="30" width="8.7109375" style="74" customWidth="1"/>
    <col min="31" max="36" width="8.7109375" style="53" customWidth="1"/>
    <col min="37" max="37" width="9.42578125" style="53" bestFit="1" customWidth="1"/>
    <col min="38" max="38" width="9.140625" style="53" bestFit="1" customWidth="1"/>
    <col min="39" max="39" width="8.7109375" style="53" customWidth="1"/>
    <col min="40" max="40" width="3.7109375" style="53" customWidth="1"/>
    <col min="41" max="41" width="8.7109375" style="53" hidden="1" customWidth="1"/>
    <col min="42" max="42" width="23" style="53" hidden="1" customWidth="1"/>
    <col min="43" max="43" width="8.7109375" style="53" hidden="1" customWidth="1"/>
    <col min="44" max="44" width="23" style="53" hidden="1" customWidth="1"/>
    <col min="45" max="16384" width="8.7109375" style="53" hidden="1"/>
  </cols>
  <sheetData>
    <row r="1" spans="1:39" ht="15.75" thickBot="1" x14ac:dyDescent="0.3"/>
    <row r="2" spans="1:39" ht="14.45" customHeight="1" x14ac:dyDescent="0.25">
      <c r="A2" s="52"/>
      <c r="B2" s="267" t="s">
        <v>41</v>
      </c>
      <c r="C2" s="273" t="s">
        <v>5423</v>
      </c>
      <c r="D2" s="256"/>
      <c r="E2" s="265"/>
      <c r="F2" s="255" t="s">
        <v>5422</v>
      </c>
      <c r="G2" s="265"/>
      <c r="H2" s="275" t="s">
        <v>5424</v>
      </c>
      <c r="I2" s="276"/>
      <c r="J2" s="270" t="s">
        <v>5435</v>
      </c>
      <c r="K2" s="255" t="s">
        <v>5426</v>
      </c>
      <c r="L2" s="256"/>
      <c r="M2" s="256"/>
      <c r="N2" s="265"/>
      <c r="O2" s="262" t="s">
        <v>5427</v>
      </c>
      <c r="P2" s="262"/>
      <c r="Q2" s="262"/>
      <c r="R2" s="262"/>
      <c r="S2" s="262"/>
      <c r="T2" s="262"/>
      <c r="U2" s="262" t="s">
        <v>5428</v>
      </c>
      <c r="V2" s="262"/>
      <c r="W2" s="262"/>
      <c r="X2" s="262"/>
      <c r="Y2" s="262"/>
      <c r="Z2" s="262"/>
      <c r="AA2" s="255" t="s">
        <v>5429</v>
      </c>
      <c r="AB2" s="265"/>
      <c r="AC2" s="262" t="s">
        <v>5430</v>
      </c>
      <c r="AD2" s="262"/>
      <c r="AE2" s="262" t="s">
        <v>5431</v>
      </c>
      <c r="AF2" s="262"/>
      <c r="AG2" s="255" t="s">
        <v>5432</v>
      </c>
      <c r="AH2" s="256"/>
      <c r="AI2" s="256"/>
      <c r="AJ2" s="256"/>
      <c r="AK2" s="256"/>
      <c r="AL2" s="256"/>
      <c r="AM2" s="257"/>
    </row>
    <row r="3" spans="1:39" x14ac:dyDescent="0.25">
      <c r="A3" s="52"/>
      <c r="B3" s="268"/>
      <c r="C3" s="274"/>
      <c r="D3" s="259"/>
      <c r="E3" s="266"/>
      <c r="F3" s="258"/>
      <c r="G3" s="266"/>
      <c r="H3" s="271" t="s">
        <v>1</v>
      </c>
      <c r="I3" s="277" t="s">
        <v>5436</v>
      </c>
      <c r="J3" s="271"/>
      <c r="K3" s="258"/>
      <c r="L3" s="259"/>
      <c r="M3" s="259"/>
      <c r="N3" s="266"/>
      <c r="O3" s="261" t="s">
        <v>6</v>
      </c>
      <c r="P3" s="261"/>
      <c r="Q3" s="261" t="s">
        <v>7</v>
      </c>
      <c r="R3" s="261"/>
      <c r="S3" s="261" t="s">
        <v>8</v>
      </c>
      <c r="T3" s="261"/>
      <c r="U3" s="261" t="s">
        <v>6</v>
      </c>
      <c r="V3" s="261"/>
      <c r="W3" s="261" t="s">
        <v>7</v>
      </c>
      <c r="X3" s="261"/>
      <c r="Y3" s="261" t="s">
        <v>8</v>
      </c>
      <c r="Z3" s="261"/>
      <c r="AA3" s="258"/>
      <c r="AB3" s="266"/>
      <c r="AC3" s="261" t="s">
        <v>9</v>
      </c>
      <c r="AD3" s="261" t="s">
        <v>10</v>
      </c>
      <c r="AE3" s="261"/>
      <c r="AF3" s="261"/>
      <c r="AG3" s="258"/>
      <c r="AH3" s="259"/>
      <c r="AI3" s="259"/>
      <c r="AJ3" s="259"/>
      <c r="AK3" s="259"/>
      <c r="AL3" s="259"/>
      <c r="AM3" s="260"/>
    </row>
    <row r="4" spans="1:39" x14ac:dyDescent="0.25">
      <c r="A4" s="52"/>
      <c r="B4" s="269"/>
      <c r="C4" s="55" t="s">
        <v>0</v>
      </c>
      <c r="D4" s="56" t="s">
        <v>11</v>
      </c>
      <c r="E4" s="56" t="s">
        <v>12</v>
      </c>
      <c r="F4" s="54" t="s">
        <v>13</v>
      </c>
      <c r="G4" s="54" t="s">
        <v>14</v>
      </c>
      <c r="H4" s="272"/>
      <c r="I4" s="278"/>
      <c r="J4" s="272"/>
      <c r="K4" s="57" t="str">
        <f>Logbook[[#Headers],[Custom 1]]</f>
        <v>Custom 1</v>
      </c>
      <c r="L4" s="57" t="str">
        <f>Logbook[[#Headers],[Custom 2]]</f>
        <v>Custom 2</v>
      </c>
      <c r="M4" s="57" t="str">
        <f>Logbook[[#Headers],[Custom 3]]</f>
        <v>Custom 3</v>
      </c>
      <c r="N4" s="57" t="str">
        <f>Logbook[[#Headers],[Custom 4]]</f>
        <v>Custom 4</v>
      </c>
      <c r="O4" s="54" t="s">
        <v>12</v>
      </c>
      <c r="P4" s="54" t="s">
        <v>15</v>
      </c>
      <c r="Q4" s="54" t="s">
        <v>12</v>
      </c>
      <c r="R4" s="54" t="s">
        <v>15</v>
      </c>
      <c r="S4" s="54" t="s">
        <v>12</v>
      </c>
      <c r="T4" s="54" t="s">
        <v>15</v>
      </c>
      <c r="U4" s="54" t="s">
        <v>12</v>
      </c>
      <c r="V4" s="54" t="s">
        <v>15</v>
      </c>
      <c r="W4" s="54" t="s">
        <v>12</v>
      </c>
      <c r="X4" s="54" t="s">
        <v>15</v>
      </c>
      <c r="Y4" s="54" t="s">
        <v>12</v>
      </c>
      <c r="Z4" s="54" t="s">
        <v>15</v>
      </c>
      <c r="AA4" s="54" t="s">
        <v>12</v>
      </c>
      <c r="AB4" s="54" t="s">
        <v>15</v>
      </c>
      <c r="AC4" s="261"/>
      <c r="AD4" s="261"/>
      <c r="AE4" s="58" t="s">
        <v>12</v>
      </c>
      <c r="AF4" s="54" t="s">
        <v>15</v>
      </c>
      <c r="AG4" s="59" t="s">
        <v>16</v>
      </c>
      <c r="AH4" s="54" t="s">
        <v>17</v>
      </c>
      <c r="AI4" s="59" t="s">
        <v>18</v>
      </c>
      <c r="AJ4" s="54" t="s">
        <v>19</v>
      </c>
      <c r="AK4" s="59" t="s">
        <v>20</v>
      </c>
      <c r="AL4" s="54" t="s">
        <v>21</v>
      </c>
      <c r="AM4" s="60" t="s">
        <v>22</v>
      </c>
    </row>
    <row r="5" spans="1:39" ht="15.75" thickBot="1" x14ac:dyDescent="0.3">
      <c r="A5" s="52"/>
      <c r="B5" s="61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2">
        <v>2026</v>
      </c>
      <c r="D5" s="63" t="s">
        <v>27</v>
      </c>
      <c r="E5" s="64">
        <v>22</v>
      </c>
      <c r="F5" s="65"/>
      <c r="G5" s="65"/>
      <c r="H5" s="65" t="s">
        <v>23</v>
      </c>
      <c r="I5" s="65"/>
      <c r="J5" s="65"/>
      <c r="K5" s="66"/>
      <c r="L5" s="66"/>
      <c r="M5" s="66"/>
      <c r="N5" s="67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5"/>
      <c r="AF5" s="65"/>
      <c r="AG5" s="65"/>
      <c r="AH5" s="65"/>
      <c r="AI5" s="65"/>
      <c r="AJ5" s="65"/>
      <c r="AK5" s="65"/>
      <c r="AL5" s="65"/>
      <c r="AM5" s="68"/>
    </row>
    <row r="6" spans="1:39" x14ac:dyDescent="0.25">
      <c r="B6" s="69"/>
      <c r="C6" s="70"/>
      <c r="D6" s="70"/>
      <c r="E6" s="70"/>
      <c r="F6" s="71"/>
      <c r="G6" s="71"/>
      <c r="H6" s="71"/>
      <c r="I6" s="71"/>
      <c r="J6" s="71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1"/>
      <c r="AF6" s="71"/>
      <c r="AG6" s="71"/>
      <c r="AH6" s="71"/>
      <c r="AI6" s="71"/>
      <c r="AJ6" s="71"/>
      <c r="AK6" s="71"/>
      <c r="AL6" s="71"/>
      <c r="AM6" s="71"/>
    </row>
    <row r="7" spans="1:39" ht="15" customHeight="1" x14ac:dyDescent="0.25">
      <c r="B7" s="73"/>
      <c r="C7" s="263" t="s">
        <v>5339</v>
      </c>
      <c r="D7" s="263"/>
      <c r="E7" s="263"/>
      <c r="F7" s="263"/>
      <c r="G7" s="263"/>
      <c r="H7" s="263"/>
      <c r="I7" s="71"/>
      <c r="J7" s="71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1"/>
      <c r="AF7" s="71"/>
      <c r="AG7" s="71"/>
      <c r="AH7" s="71"/>
      <c r="AI7" s="71"/>
      <c r="AJ7" s="71"/>
      <c r="AK7" s="71"/>
      <c r="AL7" s="71"/>
      <c r="AM7" s="71"/>
    </row>
    <row r="8" spans="1:39" ht="15" customHeight="1" x14ac:dyDescent="0.25">
      <c r="C8" s="264"/>
      <c r="D8" s="264"/>
      <c r="E8" s="264"/>
      <c r="F8" s="264"/>
      <c r="G8" s="264"/>
      <c r="H8" s="264"/>
    </row>
    <row r="9" spans="1:39" x14ac:dyDescent="0.25">
      <c r="C9" s="75"/>
      <c r="D9" s="76"/>
      <c r="E9" s="77" t="s">
        <v>5343</v>
      </c>
      <c r="F9" s="78" t="s">
        <v>5345</v>
      </c>
      <c r="G9" s="76"/>
      <c r="H9" s="79"/>
      <c r="I9" s="80"/>
    </row>
    <row r="10" spans="1:39" x14ac:dyDescent="0.25">
      <c r="C10" s="81"/>
      <c r="D10" s="82"/>
      <c r="E10" s="83" t="s">
        <v>5340</v>
      </c>
      <c r="F10" s="84" t="s">
        <v>5342</v>
      </c>
      <c r="G10" s="82"/>
      <c r="H10" s="85"/>
    </row>
    <row r="11" spans="1:39" x14ac:dyDescent="0.25">
      <c r="C11" s="86"/>
      <c r="D11" s="87"/>
      <c r="E11" s="88" t="s">
        <v>5346</v>
      </c>
      <c r="F11" s="89" t="s">
        <v>5341</v>
      </c>
      <c r="G11" s="87"/>
      <c r="H11" s="90"/>
    </row>
    <row r="12" spans="1:39" x14ac:dyDescent="0.25"/>
  </sheetData>
  <mergeCells count="23">
    <mergeCell ref="C7:H8"/>
    <mergeCell ref="K2:N3"/>
    <mergeCell ref="AA2:AB3"/>
    <mergeCell ref="B2:B4"/>
    <mergeCell ref="J2:J4"/>
    <mergeCell ref="F2:G3"/>
    <mergeCell ref="C2:E3"/>
    <mergeCell ref="H3:H4"/>
    <mergeCell ref="H2:I2"/>
    <mergeCell ref="I3:I4"/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31" customWidth="1"/>
    <col min="2" max="2" width="12.7109375" style="132" customWidth="1"/>
    <col min="3" max="3" width="9.5703125" style="133" bestFit="1" customWidth="1"/>
    <col min="4" max="4" width="11.5703125" style="134" bestFit="1" customWidth="1"/>
    <col min="5" max="5" width="8.85546875" style="135" bestFit="1" customWidth="1"/>
    <col min="6" max="6" width="9.85546875" style="131" bestFit="1" customWidth="1"/>
    <col min="7" max="7" width="8.85546875" style="131" bestFit="1" customWidth="1"/>
    <col min="8" max="8" width="19" style="131" customWidth="1"/>
    <col min="9" max="9" width="22.85546875" style="131" bestFit="1" customWidth="1"/>
    <col min="10" max="10" width="45.85546875" style="131" bestFit="1" customWidth="1"/>
    <col min="11" max="12" width="10.85546875" style="136" customWidth="1"/>
    <col min="13" max="14" width="10.85546875" style="133" customWidth="1"/>
    <col min="15" max="32" width="6.28515625" style="131" customWidth="1"/>
    <col min="33" max="39" width="10.28515625" style="131" customWidth="1"/>
    <col min="40" max="40" width="15.140625" style="136" hidden="1" customWidth="1"/>
    <col min="41" max="42" width="14.42578125" style="137" hidden="1" customWidth="1"/>
    <col min="43" max="44" width="15.5703125" style="133" hidden="1" customWidth="1"/>
    <col min="45" max="45" width="11" style="133" hidden="1" customWidth="1"/>
    <col min="46" max="46" width="12.140625" style="133" hidden="1" customWidth="1"/>
    <col min="47" max="47" width="16.140625" style="131" hidden="1" customWidth="1"/>
    <col min="48" max="48" width="17.85546875" style="131" hidden="1" customWidth="1"/>
    <col min="49" max="49" width="7.42578125" style="131" hidden="1" customWidth="1"/>
    <col min="50" max="50" width="8.85546875" style="131" hidden="1" customWidth="1"/>
    <col min="51" max="51" width="10.140625" style="131" hidden="1" customWidth="1"/>
    <col min="52" max="52" width="8.85546875" style="131" hidden="1" customWidth="1"/>
    <col min="53" max="53" width="11.140625" style="131" hidden="1" customWidth="1"/>
    <col min="54" max="54" width="11" style="131" hidden="1" customWidth="1"/>
    <col min="55" max="55" width="8.28515625" style="131" hidden="1" customWidth="1"/>
    <col min="56" max="56" width="14" style="131" hidden="1" customWidth="1"/>
    <col min="57" max="57" width="14.7109375" style="131" hidden="1" customWidth="1"/>
    <col min="58" max="59" width="7.42578125" style="131" hidden="1" customWidth="1"/>
    <col min="60" max="60" width="8" style="133" hidden="1" customWidth="1"/>
    <col min="61" max="61" width="8.42578125" style="131" hidden="1" customWidth="1"/>
    <col min="62" max="62" width="3.7109375" style="131" customWidth="1"/>
    <col min="63" max="16384" width="9.140625" style="131" hidden="1"/>
  </cols>
  <sheetData>
    <row r="1" spans="1:62" x14ac:dyDescent="0.25"/>
    <row r="2" spans="1:62" s="43" customFormat="1" ht="15" customHeight="1" x14ac:dyDescent="0.25">
      <c r="A2" s="131"/>
      <c r="B2" s="234" t="s">
        <v>5423</v>
      </c>
      <c r="C2" s="235"/>
      <c r="D2" s="235"/>
      <c r="E2" s="236"/>
      <c r="F2" s="221" t="s">
        <v>5422</v>
      </c>
      <c r="G2" s="223"/>
      <c r="H2" s="221" t="s">
        <v>5424</v>
      </c>
      <c r="I2" s="223"/>
      <c r="J2" s="242" t="s">
        <v>5425</v>
      </c>
      <c r="K2" s="221" t="s">
        <v>5426</v>
      </c>
      <c r="L2" s="222"/>
      <c r="M2" s="222"/>
      <c r="N2" s="223"/>
      <c r="O2" s="210" t="s">
        <v>5427</v>
      </c>
      <c r="P2" s="210"/>
      <c r="Q2" s="210"/>
      <c r="R2" s="210"/>
      <c r="S2" s="210"/>
      <c r="T2" s="210"/>
      <c r="U2" s="210" t="s">
        <v>5428</v>
      </c>
      <c r="V2" s="210"/>
      <c r="W2" s="210"/>
      <c r="X2" s="210"/>
      <c r="Y2" s="210"/>
      <c r="Z2" s="210"/>
      <c r="AA2" s="221" t="s">
        <v>5429</v>
      </c>
      <c r="AB2" s="223"/>
      <c r="AC2" s="210" t="s">
        <v>5430</v>
      </c>
      <c r="AD2" s="210"/>
      <c r="AE2" s="210" t="s">
        <v>5431</v>
      </c>
      <c r="AF2" s="210"/>
      <c r="AG2" s="221" t="s">
        <v>5432</v>
      </c>
      <c r="AH2" s="222"/>
      <c r="AI2" s="222"/>
      <c r="AJ2" s="222"/>
      <c r="AK2" s="222"/>
      <c r="AL2" s="222"/>
      <c r="AM2" s="230"/>
      <c r="AN2" s="204" t="s">
        <v>78</v>
      </c>
      <c r="AO2" s="205"/>
      <c r="AP2" s="216" t="s">
        <v>5385</v>
      </c>
      <c r="AQ2" s="217"/>
      <c r="AR2" s="217"/>
      <c r="AS2" s="218"/>
      <c r="AT2" s="244" t="s">
        <v>5294</v>
      </c>
      <c r="AU2" s="248" t="s">
        <v>29</v>
      </c>
      <c r="AV2" s="249"/>
      <c r="AW2" s="249"/>
      <c r="AX2" s="249"/>
      <c r="AY2" s="249"/>
      <c r="AZ2" s="249"/>
      <c r="BA2" s="249"/>
      <c r="BB2" s="249"/>
      <c r="BC2" s="249"/>
      <c r="BD2" s="249"/>
      <c r="BE2" s="249"/>
      <c r="BF2" s="249"/>
      <c r="BG2" s="249"/>
      <c r="BH2" s="249"/>
      <c r="BI2" s="250"/>
      <c r="BJ2" s="131"/>
    </row>
    <row r="3" spans="1:62" s="43" customFormat="1" x14ac:dyDescent="0.25">
      <c r="A3" s="131"/>
      <c r="B3" s="237"/>
      <c r="C3" s="238"/>
      <c r="D3" s="238"/>
      <c r="E3" s="239"/>
      <c r="F3" s="224"/>
      <c r="G3" s="226"/>
      <c r="H3" s="224"/>
      <c r="I3" s="226"/>
      <c r="J3" s="243"/>
      <c r="K3" s="224"/>
      <c r="L3" s="225"/>
      <c r="M3" s="225"/>
      <c r="N3" s="226"/>
      <c r="O3" s="211" t="s">
        <v>6</v>
      </c>
      <c r="P3" s="211"/>
      <c r="Q3" s="211" t="s">
        <v>7</v>
      </c>
      <c r="R3" s="211"/>
      <c r="S3" s="211" t="s">
        <v>8</v>
      </c>
      <c r="T3" s="211"/>
      <c r="U3" s="211" t="s">
        <v>6</v>
      </c>
      <c r="V3" s="211"/>
      <c r="W3" s="211" t="s">
        <v>7</v>
      </c>
      <c r="X3" s="211"/>
      <c r="Y3" s="211" t="s">
        <v>8</v>
      </c>
      <c r="Z3" s="211"/>
      <c r="AA3" s="227"/>
      <c r="AB3" s="229"/>
      <c r="AC3" s="211" t="s">
        <v>9</v>
      </c>
      <c r="AD3" s="211" t="s">
        <v>10</v>
      </c>
      <c r="AE3" s="211"/>
      <c r="AF3" s="211"/>
      <c r="AG3" s="227"/>
      <c r="AH3" s="228"/>
      <c r="AI3" s="228"/>
      <c r="AJ3" s="228"/>
      <c r="AK3" s="228"/>
      <c r="AL3" s="228"/>
      <c r="AM3" s="231"/>
      <c r="AN3" s="206"/>
      <c r="AO3" s="207"/>
      <c r="AP3" s="232" t="s">
        <v>5374</v>
      </c>
      <c r="AQ3" s="212" t="s">
        <v>28</v>
      </c>
      <c r="AR3" s="214" t="s">
        <v>5351</v>
      </c>
      <c r="AS3" s="219" t="s">
        <v>5421</v>
      </c>
      <c r="AT3" s="245"/>
      <c r="AU3" s="248" t="s">
        <v>4</v>
      </c>
      <c r="AV3" s="250"/>
      <c r="AW3" s="248" t="s">
        <v>5</v>
      </c>
      <c r="AX3" s="249"/>
      <c r="AY3" s="249"/>
      <c r="AZ3" s="249"/>
      <c r="BA3" s="249"/>
      <c r="BB3" s="249"/>
      <c r="BC3" s="250"/>
      <c r="BD3" s="251" t="s">
        <v>78</v>
      </c>
      <c r="BE3" s="252"/>
      <c r="BF3" s="253" t="s">
        <v>30</v>
      </c>
      <c r="BG3" s="253" t="s">
        <v>31</v>
      </c>
      <c r="BH3" s="253" t="s">
        <v>32</v>
      </c>
      <c r="BI3" s="247" t="s">
        <v>33</v>
      </c>
      <c r="BJ3" s="131"/>
    </row>
    <row r="4" spans="1:62" s="43" customFormat="1" ht="15" customHeight="1" x14ac:dyDescent="0.25">
      <c r="A4" s="131"/>
      <c r="B4" s="198" t="s">
        <v>5319</v>
      </c>
      <c r="C4" s="240" t="s">
        <v>5320</v>
      </c>
      <c r="D4" s="240"/>
      <c r="E4" s="241"/>
      <c r="F4" s="227"/>
      <c r="G4" s="229"/>
      <c r="H4" s="227"/>
      <c r="I4" s="229"/>
      <c r="J4" s="220"/>
      <c r="K4" s="227"/>
      <c r="L4" s="228"/>
      <c r="M4" s="228"/>
      <c r="N4" s="229"/>
      <c r="O4" s="166" t="s">
        <v>12</v>
      </c>
      <c r="P4" s="166" t="s">
        <v>15</v>
      </c>
      <c r="Q4" s="166" t="s">
        <v>12</v>
      </c>
      <c r="R4" s="166" t="s">
        <v>15</v>
      </c>
      <c r="S4" s="166" t="s">
        <v>12</v>
      </c>
      <c r="T4" s="166" t="s">
        <v>15</v>
      </c>
      <c r="U4" s="166" t="s">
        <v>12</v>
      </c>
      <c r="V4" s="166" t="s">
        <v>15</v>
      </c>
      <c r="W4" s="166" t="s">
        <v>12</v>
      </c>
      <c r="X4" s="166" t="s">
        <v>15</v>
      </c>
      <c r="Y4" s="166" t="s">
        <v>12</v>
      </c>
      <c r="Z4" s="166" t="s">
        <v>15</v>
      </c>
      <c r="AA4" s="166" t="s">
        <v>12</v>
      </c>
      <c r="AB4" s="166" t="s">
        <v>15</v>
      </c>
      <c r="AC4" s="211"/>
      <c r="AD4" s="211"/>
      <c r="AE4" s="164" t="s">
        <v>12</v>
      </c>
      <c r="AF4" s="166" t="s">
        <v>15</v>
      </c>
      <c r="AG4" s="165" t="s">
        <v>16</v>
      </c>
      <c r="AH4" s="166" t="s">
        <v>17</v>
      </c>
      <c r="AI4" s="165" t="s">
        <v>18</v>
      </c>
      <c r="AJ4" s="166" t="s">
        <v>19</v>
      </c>
      <c r="AK4" s="165" t="s">
        <v>20</v>
      </c>
      <c r="AL4" s="166" t="s">
        <v>21</v>
      </c>
      <c r="AM4" s="202" t="s">
        <v>22</v>
      </c>
      <c r="AN4" s="208"/>
      <c r="AO4" s="209"/>
      <c r="AP4" s="233"/>
      <c r="AQ4" s="213"/>
      <c r="AR4" s="215"/>
      <c r="AS4" s="220"/>
      <c r="AT4" s="246"/>
      <c r="AU4" s="163" t="s">
        <v>12</v>
      </c>
      <c r="AV4" s="163" t="s">
        <v>15</v>
      </c>
      <c r="AW4" s="163" t="s">
        <v>16</v>
      </c>
      <c r="AX4" s="163" t="s">
        <v>17</v>
      </c>
      <c r="AY4" s="163" t="s">
        <v>18</v>
      </c>
      <c r="AZ4" s="163" t="s">
        <v>19</v>
      </c>
      <c r="BA4" s="163" t="s">
        <v>20</v>
      </c>
      <c r="BB4" s="163" t="s">
        <v>21</v>
      </c>
      <c r="BC4" s="163" t="s">
        <v>22</v>
      </c>
      <c r="BD4" s="227"/>
      <c r="BE4" s="229"/>
      <c r="BF4" s="253"/>
      <c r="BG4" s="253"/>
      <c r="BH4" s="253"/>
      <c r="BI4" s="247"/>
      <c r="BJ4" s="131"/>
    </row>
    <row r="5" spans="1:62" s="43" customFormat="1" ht="15" customHeight="1" x14ac:dyDescent="0.25">
      <c r="A5" s="131"/>
      <c r="B5" s="199" t="s">
        <v>41</v>
      </c>
      <c r="C5" s="167" t="s">
        <v>0</v>
      </c>
      <c r="D5" s="168" t="s">
        <v>11</v>
      </c>
      <c r="E5" s="169" t="s">
        <v>12</v>
      </c>
      <c r="F5" s="170" t="s">
        <v>13</v>
      </c>
      <c r="G5" s="170" t="s">
        <v>14</v>
      </c>
      <c r="H5" s="170" t="s">
        <v>1</v>
      </c>
      <c r="I5" s="170" t="s">
        <v>2</v>
      </c>
      <c r="J5" s="170" t="s">
        <v>3</v>
      </c>
      <c r="K5" s="171" t="s">
        <v>5326</v>
      </c>
      <c r="L5" s="171" t="s">
        <v>5327</v>
      </c>
      <c r="M5" s="172" t="s">
        <v>5328</v>
      </c>
      <c r="N5" s="172" t="s">
        <v>5329</v>
      </c>
      <c r="O5" s="173" t="s">
        <v>42</v>
      </c>
      <c r="P5" s="173" t="s">
        <v>43</v>
      </c>
      <c r="Q5" s="173" t="s">
        <v>44</v>
      </c>
      <c r="R5" s="173" t="s">
        <v>45</v>
      </c>
      <c r="S5" s="173" t="s">
        <v>46</v>
      </c>
      <c r="T5" s="173" t="s">
        <v>47</v>
      </c>
      <c r="U5" s="173" t="s">
        <v>48</v>
      </c>
      <c r="V5" s="173" t="s">
        <v>49</v>
      </c>
      <c r="W5" s="173" t="s">
        <v>50</v>
      </c>
      <c r="X5" s="173" t="s">
        <v>51</v>
      </c>
      <c r="Y5" s="173" t="s">
        <v>52</v>
      </c>
      <c r="Z5" s="173" t="s">
        <v>53</v>
      </c>
      <c r="AA5" s="173" t="s">
        <v>54</v>
      </c>
      <c r="AB5" s="173" t="s">
        <v>55</v>
      </c>
      <c r="AC5" s="173" t="s">
        <v>56</v>
      </c>
      <c r="AD5" s="173" t="s">
        <v>57</v>
      </c>
      <c r="AE5" s="174" t="s">
        <v>58</v>
      </c>
      <c r="AF5" s="173" t="s">
        <v>59</v>
      </c>
      <c r="AG5" s="197" t="s">
        <v>16</v>
      </c>
      <c r="AH5" s="173" t="s">
        <v>17</v>
      </c>
      <c r="AI5" s="197" t="s">
        <v>18</v>
      </c>
      <c r="AJ5" s="173" t="s">
        <v>19</v>
      </c>
      <c r="AK5" s="197" t="s">
        <v>20</v>
      </c>
      <c r="AL5" s="173" t="s">
        <v>21</v>
      </c>
      <c r="AM5" s="203" t="s">
        <v>22</v>
      </c>
      <c r="AN5" s="200" t="s">
        <v>79</v>
      </c>
      <c r="AO5" s="44" t="s">
        <v>74</v>
      </c>
      <c r="AP5" s="44" t="s">
        <v>5386</v>
      </c>
      <c r="AQ5" s="45" t="s">
        <v>28</v>
      </c>
      <c r="AR5" s="45" t="s">
        <v>5351</v>
      </c>
      <c r="AS5" s="45" t="s">
        <v>5420</v>
      </c>
      <c r="AT5" s="45" t="s">
        <v>5294</v>
      </c>
      <c r="AU5" s="46" t="s">
        <v>60</v>
      </c>
      <c r="AV5" s="46" t="s">
        <v>61</v>
      </c>
      <c r="AW5" s="46" t="s">
        <v>62</v>
      </c>
      <c r="AX5" s="46" t="s">
        <v>63</v>
      </c>
      <c r="AY5" s="46" t="s">
        <v>64</v>
      </c>
      <c r="AZ5" s="46" t="s">
        <v>65</v>
      </c>
      <c r="BA5" s="46" t="s">
        <v>66</v>
      </c>
      <c r="BB5" s="46" t="s">
        <v>67</v>
      </c>
      <c r="BC5" s="46" t="s">
        <v>68</v>
      </c>
      <c r="BD5" s="47" t="s">
        <v>69</v>
      </c>
      <c r="BE5" s="48" t="s">
        <v>95</v>
      </c>
      <c r="BF5" s="49" t="s">
        <v>70</v>
      </c>
      <c r="BG5" s="48" t="s">
        <v>71</v>
      </c>
      <c r="BH5" s="48" t="s">
        <v>72</v>
      </c>
      <c r="BI5" s="50" t="s">
        <v>73</v>
      </c>
      <c r="BJ5" s="131"/>
    </row>
    <row r="6" spans="1:62" s="43" customFormat="1" x14ac:dyDescent="0.25">
      <c r="A6" s="131"/>
      <c r="B6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49">
        <v>2000</v>
      </c>
      <c r="D6" s="150" t="s">
        <v>26</v>
      </c>
      <c r="E6" s="151">
        <v>1</v>
      </c>
      <c r="F6" s="152"/>
      <c r="G6" s="153"/>
      <c r="H6" s="153"/>
      <c r="I6" s="153"/>
      <c r="J6" s="153" t="s">
        <v>5324</v>
      </c>
      <c r="K6" s="154"/>
      <c r="L6" s="154"/>
      <c r="M6" s="154"/>
      <c r="N6" s="155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85"/>
      <c r="AN6" s="184">
        <f>SUM(Logbook[[#This Row],[SeIcusDay]:[CopilotNight]])</f>
        <v>0</v>
      </c>
      <c r="AO6" s="156">
        <f>SUM(Logbook[[#This Row],[ILS]:[DGA (Azi)]])</f>
        <v>0</v>
      </c>
      <c r="AP6" s="14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4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4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48"/>
      <c r="AT6" s="14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2" cm="1">
        <f t="array" aca="1" ref="AU6" ca="1">IF(ROW()=MAX(ROW(Logbook[LandingsDay])), Logbook[[#This Row],[LandingsDay]], Logbook[[#This Row],[LandingsDay]] + OFFSET(INDIRECT(ADDRESS(ROW(),COLUMN())),1,0))</f>
        <v>0</v>
      </c>
      <c r="AV6" s="182" cm="1">
        <f t="array" aca="1" ref="AV6" ca="1">IF(ROW()=MAX(ROW(Logbook[LandingsNight])), Logbook[[#This Row],[LandingsNight]], Logbook[[#This Row],[LandingsNight]] + OFFSET(INDIRECT(ADDRESS(ROW(),COLUMN())),1,0))</f>
        <v>0</v>
      </c>
      <c r="AW6" s="182" cm="1">
        <f t="array" aca="1" ref="AW6" ca="1">IF(ROW()=MAX(ROW(Logbook[ILS])), Logbook[[#This Row],[ILS]], Logbook[[#This Row],[ILS]] + OFFSET(INDIRECT(ADDRESS(ROW(),COLUMN())),1,0))</f>
        <v>0</v>
      </c>
      <c r="AX6" s="182" cm="1">
        <f t="array" aca="1" ref="AX6" ca="1">IF(ROW()=MAX(ROW(Logbook[VOR])), Logbook[[#This Row],[VOR]], Logbook[[#This Row],[VOR]] + OFFSET(INDIRECT(ADDRESS(ROW(),COLUMN())),1,0))</f>
        <v>0</v>
      </c>
      <c r="AY6" s="182" cm="1">
        <f t="array" aca="1" ref="AY6" ca="1">IF(ROW()=MAX(ROW(Logbook[RNAV])), Logbook[[#This Row],[RNAV]], Logbook[[#This Row],[RNAV]] + OFFSET(INDIRECT(ADDRESS(ROW(),COLUMN())),1,0))</f>
        <v>0</v>
      </c>
      <c r="AZ6" s="182" cm="1">
        <f t="array" aca="1" ref="AZ6" ca="1">IF(ROW()=MAX(ROW(Logbook[NDB])), Logbook[[#This Row],[NDB]], Logbook[[#This Row],[NDB]] + OFFSET(INDIRECT(ADDRESS(ROW(),COLUMN())),1,0))</f>
        <v>0</v>
      </c>
      <c r="BA6" s="182" cm="1">
        <f t="array" aca="1" ref="BA6" ca="1">IF(ROW()=MAX(ROW(Logbook[DGA (CDI)])), Logbook[[#This Row],[DGA (CDI)]], Logbook[[#This Row],[DGA (CDI)]] + OFFSET(INDIRECT(ADDRESS(ROW(),COLUMN())),1,0))</f>
        <v>0</v>
      </c>
      <c r="BB6" s="182" cm="1">
        <f t="array" aca="1" ref="BB6" ca="1">IF(ROW()=MAX(ROW(Logbook[DGA (Azi)])), Logbook[[#This Row],[DGA (Azi)]], Logbook[[#This Row],[DGA (Azi)]] + OFFSET(INDIRECT(ADDRESS(ROW(),COLUMN())),1,0))</f>
        <v>0</v>
      </c>
      <c r="BC6" s="182" cm="1">
        <f t="array" aca="1" ref="BC6" ca="1">IF(ROW()=MAX(ROW(Logbook[Circling])), Logbook[[#This Row],[Circling]], Logbook[[#This Row],[Circling]] + OFFSET(INDIRECT(ADDRESS(ROW(),COLUMN())),1,0))</f>
        <v>0</v>
      </c>
      <c r="BD6" s="182" cm="1">
        <f t="array" aca="1" ref="BD6" ca="1">IF(ROW()=MAX(ROW(Logbook[TotalApps])), Logbook[[#This Row],[TotalApps]], Logbook[[#This Row],[TotalApps]] + OFFSET(INDIRECT(ADDRESS(ROW(),COLUMN())),1,0))</f>
        <v>0</v>
      </c>
      <c r="BE6" s="157">
        <f>SUM(INDEX(Logbook[TotalHours],1):Logbook[[#This Row],[TotalHours]])</f>
        <v>0</v>
      </c>
      <c r="BF6" s="18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2" cm="1">
        <f t="array" aca="1" ref="BG6" ca="1">IF(ROW()=MAX(ROW(Logbook[ILS])), Logbook[[#This Row],[ILS]], Logbook[[#This Row],[ILS]] + OFFSET(INDIRECT(ADDRESS(ROW(),COLUMN())),1,0))</f>
        <v>0</v>
      </c>
      <c r="BH6" s="18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5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1"/>
    </row>
    <row r="7" spans="1:62" s="43" customFormat="1" ht="15.75" thickBot="1" x14ac:dyDescent="0.3">
      <c r="A7" s="131"/>
      <c r="B7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49">
        <v>2010</v>
      </c>
      <c r="D7" s="150" t="s">
        <v>26</v>
      </c>
      <c r="E7" s="151">
        <v>2</v>
      </c>
      <c r="F7" s="152"/>
      <c r="G7" s="153"/>
      <c r="H7" s="153"/>
      <c r="I7" s="153"/>
      <c r="J7" s="153" t="s">
        <v>5325</v>
      </c>
      <c r="K7" s="154"/>
      <c r="L7" s="154"/>
      <c r="M7" s="154"/>
      <c r="N7" s="155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3"/>
      <c r="AF7" s="153"/>
      <c r="AG7" s="153"/>
      <c r="AH7" s="153"/>
      <c r="AI7" s="153"/>
      <c r="AJ7" s="153"/>
      <c r="AK7" s="153"/>
      <c r="AL7" s="153"/>
      <c r="AM7" s="185"/>
      <c r="AN7" s="184">
        <f>SUM(Logbook[[#This Row],[SeIcusDay]:[CopilotNight]])</f>
        <v>0</v>
      </c>
      <c r="AO7" s="156">
        <f>SUM(Logbook[[#This Row],[ILS]:[DGA (Azi)]])</f>
        <v>0</v>
      </c>
      <c r="AP7" s="14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4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4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48"/>
      <c r="AT7" s="14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2" cm="1">
        <f t="array" aca="1" ref="AU7" ca="1">IF(ROW()=MAX(ROW(Logbook[LandingsDay])), Logbook[[#This Row],[LandingsDay]], Logbook[[#This Row],[LandingsDay]] + OFFSET(INDIRECT(ADDRESS(ROW(),COLUMN())),1,0))</f>
        <v>0</v>
      </c>
      <c r="AV7" s="182" cm="1">
        <f t="array" aca="1" ref="AV7" ca="1">IF(ROW()=MAX(ROW(Logbook[LandingsNight])), Logbook[[#This Row],[LandingsNight]], Logbook[[#This Row],[LandingsNight]] + OFFSET(INDIRECT(ADDRESS(ROW(),COLUMN())),1,0))</f>
        <v>0</v>
      </c>
      <c r="AW7" s="182" cm="1">
        <f t="array" aca="1" ref="AW7" ca="1">IF(ROW()=MAX(ROW(Logbook[ILS])), Logbook[[#This Row],[ILS]], Logbook[[#This Row],[ILS]] + OFFSET(INDIRECT(ADDRESS(ROW(),COLUMN())),1,0))</f>
        <v>0</v>
      </c>
      <c r="AX7" s="182" cm="1">
        <f t="array" aca="1" ref="AX7" ca="1">IF(ROW()=MAX(ROW(Logbook[VOR])), Logbook[[#This Row],[VOR]], Logbook[[#This Row],[VOR]] + OFFSET(INDIRECT(ADDRESS(ROW(),COLUMN())),1,0))</f>
        <v>0</v>
      </c>
      <c r="AY7" s="182" cm="1">
        <f t="array" aca="1" ref="AY7" ca="1">IF(ROW()=MAX(ROW(Logbook[RNAV])), Logbook[[#This Row],[RNAV]], Logbook[[#This Row],[RNAV]] + OFFSET(INDIRECT(ADDRESS(ROW(),COLUMN())),1,0))</f>
        <v>0</v>
      </c>
      <c r="AZ7" s="182" cm="1">
        <f t="array" aca="1" ref="AZ7" ca="1">IF(ROW()=MAX(ROW(Logbook[NDB])), Logbook[[#This Row],[NDB]], Logbook[[#This Row],[NDB]] + OFFSET(INDIRECT(ADDRESS(ROW(),COLUMN())),1,0))</f>
        <v>0</v>
      </c>
      <c r="BA7" s="182" cm="1">
        <f t="array" aca="1" ref="BA7" ca="1">IF(ROW()=MAX(ROW(Logbook[DGA (CDI)])), Logbook[[#This Row],[DGA (CDI)]], Logbook[[#This Row],[DGA (CDI)]] + OFFSET(INDIRECT(ADDRESS(ROW(),COLUMN())),1,0))</f>
        <v>0</v>
      </c>
      <c r="BB7" s="182" cm="1">
        <f t="array" aca="1" ref="BB7" ca="1">IF(ROW()=MAX(ROW(Logbook[DGA (Azi)])), Logbook[[#This Row],[DGA (Azi)]], Logbook[[#This Row],[DGA (Azi)]] + OFFSET(INDIRECT(ADDRESS(ROW(),COLUMN())),1,0))</f>
        <v>0</v>
      </c>
      <c r="BC7" s="182" cm="1">
        <f t="array" aca="1" ref="BC7" ca="1">IF(ROW()=MAX(ROW(Logbook[Circling])), Logbook[[#This Row],[Circling]], Logbook[[#This Row],[Circling]] + OFFSET(INDIRECT(ADDRESS(ROW(),COLUMN())),1,0))</f>
        <v>0</v>
      </c>
      <c r="BD7" s="182" cm="1">
        <f t="array" aca="1" ref="BD7" ca="1">IF(ROW()=MAX(ROW(Logbook[TotalApps])), Logbook[[#This Row],[TotalApps]], Logbook[[#This Row],[TotalApps]] + OFFSET(INDIRECT(ADDRESS(ROW(),COLUMN())),1,0))</f>
        <v>0</v>
      </c>
      <c r="BE7" s="157">
        <f>SUM(INDEX(Logbook[TotalHours],1):Logbook[[#This Row],[TotalHours]])</f>
        <v>0</v>
      </c>
      <c r="BF7" s="18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2" cm="1">
        <f t="array" aca="1" ref="BG7" ca="1">IF(ROW()=MAX(ROW(Logbook[ILS])), Logbook[[#This Row],[ILS]], Logbook[[#This Row],[ILS]] + OFFSET(INDIRECT(ADDRESS(ROW(),COLUMN())),1,0))</f>
        <v>0</v>
      </c>
      <c r="BH7" s="18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5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1"/>
    </row>
    <row r="8" spans="1:62" s="43" customFormat="1" ht="15.75" thickTop="1" x14ac:dyDescent="0.25">
      <c r="A8" s="131"/>
      <c r="B8" s="175"/>
      <c r="C8" s="176"/>
      <c r="D8" s="177"/>
      <c r="E8" s="178"/>
      <c r="F8" s="192"/>
      <c r="G8" s="194"/>
      <c r="H8" s="195" t="s">
        <v>24</v>
      </c>
      <c r="I8" s="196">
        <f>SUM(Logbook[[#Totals],[SeIcusDay]:[CopilotNight]])</f>
        <v>0</v>
      </c>
      <c r="J8" s="193" t="s">
        <v>76</v>
      </c>
      <c r="K8" s="179">
        <f>SUBTOTAL(109,Logbook[Custom 1])</f>
        <v>0</v>
      </c>
      <c r="L8" s="179">
        <f>SUBTOTAL(109,Logbook[Custom 2])</f>
        <v>0</v>
      </c>
      <c r="M8" s="179">
        <f>SUBTOTAL(109,Logbook[Custom 3])</f>
        <v>0</v>
      </c>
      <c r="N8" s="180">
        <f>SUBTOTAL(109,Logbook[Custom 4])</f>
        <v>0</v>
      </c>
      <c r="O8" s="179">
        <f>SUBTOTAL(109,Logbook[SeIcusDay])</f>
        <v>0</v>
      </c>
      <c r="P8" s="179">
        <f>SUBTOTAL(109,Logbook[SeIcusNight])</f>
        <v>0</v>
      </c>
      <c r="Q8" s="179">
        <f>SUBTOTAL(109,Logbook[SeDualDay])</f>
        <v>0</v>
      </c>
      <c r="R8" s="179">
        <f>SUBTOTAL(109,Logbook[SeDualNight])</f>
        <v>0</v>
      </c>
      <c r="S8" s="179">
        <f>SUBTOTAL(109,Logbook[SeCommandDay])</f>
        <v>0</v>
      </c>
      <c r="T8" s="179">
        <f>SUBTOTAL(109,Logbook[SeCommandNight])</f>
        <v>0</v>
      </c>
      <c r="U8" s="179">
        <f>SUBTOTAL(109,Logbook[MeIcusDay])</f>
        <v>0</v>
      </c>
      <c r="V8" s="179">
        <f>SUBTOTAL(109,Logbook[MeIcusNight])</f>
        <v>0</v>
      </c>
      <c r="W8" s="179">
        <f>SUBTOTAL(109,Logbook[MeDualDay])</f>
        <v>0</v>
      </c>
      <c r="X8" s="179">
        <f>SUBTOTAL(109,Logbook[MeDualNight])</f>
        <v>0</v>
      </c>
      <c r="Y8" s="179">
        <f>SUBTOTAL(109,Logbook[MeCommandDay])</f>
        <v>0</v>
      </c>
      <c r="Z8" s="179">
        <f>SUBTOTAL(109,Logbook[MeCommandNight])</f>
        <v>0</v>
      </c>
      <c r="AA8" s="179">
        <f>SUBTOTAL(109,Logbook[CopilotDay])</f>
        <v>0</v>
      </c>
      <c r="AB8" s="179">
        <f>SUBTOTAL(109,Logbook[CopilotNight])</f>
        <v>0</v>
      </c>
      <c r="AC8" s="179">
        <f>SUBTOTAL(109,Logbook[IfrIf])</f>
        <v>0</v>
      </c>
      <c r="AD8" s="179">
        <f>SUBTOTAL(109,Logbook[IfrSim])</f>
        <v>0</v>
      </c>
      <c r="AE8" s="180">
        <f>SUBTOTAL(109,Logbook[LandingsDay])</f>
        <v>0</v>
      </c>
      <c r="AF8" s="180">
        <f>SUBTOTAL(109,Logbook[LandingsNight])</f>
        <v>0</v>
      </c>
      <c r="AG8" s="180">
        <f>SUBTOTAL(109,Logbook[ILS])</f>
        <v>0</v>
      </c>
      <c r="AH8" s="180">
        <f>SUBTOTAL(109,Logbook[VOR])</f>
        <v>0</v>
      </c>
      <c r="AI8" s="180">
        <f>SUBTOTAL(109,Logbook[RNAV])</f>
        <v>0</v>
      </c>
      <c r="AJ8" s="180">
        <f>SUBTOTAL(109,Logbook[NDB])</f>
        <v>0</v>
      </c>
      <c r="AK8" s="180">
        <f>SUBTOTAL(109,Logbook[DGA (CDI)])</f>
        <v>0</v>
      </c>
      <c r="AL8" s="180">
        <f>SUBTOTAL(109,Logbook[DGA (Azi)])</f>
        <v>0</v>
      </c>
      <c r="AM8" s="180">
        <f>SUBTOTAL(109,Logbook[Circling])</f>
        <v>0</v>
      </c>
      <c r="AN8" s="201">
        <f>SUBTOTAL(109,Logbook[TotalHours])</f>
        <v>0</v>
      </c>
      <c r="AO8" s="181">
        <f>SUBTOTAL(109,Logbook[TotalApps])</f>
        <v>0</v>
      </c>
      <c r="AP8" s="189"/>
      <c r="AQ8" s="189"/>
      <c r="AR8" s="189"/>
      <c r="AS8" s="189"/>
      <c r="AT8" s="189"/>
      <c r="AU8" s="190"/>
      <c r="AV8" s="190"/>
      <c r="AW8" s="190"/>
      <c r="AX8" s="190"/>
      <c r="AY8" s="190"/>
      <c r="AZ8" s="190"/>
      <c r="BA8" s="190"/>
      <c r="BB8" s="190"/>
      <c r="BC8" s="190"/>
      <c r="BD8" s="189"/>
      <c r="BE8" s="190"/>
      <c r="BF8" s="190"/>
      <c r="BG8" s="190"/>
      <c r="BH8" s="190"/>
      <c r="BI8" s="191"/>
      <c r="BJ8" s="131"/>
    </row>
    <row r="9" spans="1:62" s="43" customFormat="1" ht="15.75" thickBot="1" x14ac:dyDescent="0.3">
      <c r="A9" s="131"/>
      <c r="B9" s="132"/>
      <c r="C9" s="133"/>
      <c r="D9" s="134"/>
      <c r="E9" s="135"/>
      <c r="F9" s="144"/>
      <c r="G9" s="186"/>
      <c r="H9" s="187" t="s">
        <v>25</v>
      </c>
      <c r="I9" s="188">
        <f>Logbook[[#Totals],[Other Pilot or Crew]]+Logbook[[#Totals],[IfrSim]]</f>
        <v>0</v>
      </c>
      <c r="J9" s="144"/>
      <c r="K9" s="145"/>
      <c r="L9" s="145"/>
      <c r="M9" s="146"/>
      <c r="N9" s="146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31"/>
      <c r="AF9" s="131"/>
      <c r="AG9" s="131"/>
      <c r="AH9" s="131"/>
      <c r="AI9" s="131"/>
      <c r="AJ9" s="131"/>
      <c r="AK9" s="131"/>
      <c r="AL9" s="131"/>
      <c r="AM9" s="131"/>
      <c r="AN9" s="159"/>
      <c r="AO9" s="160"/>
      <c r="AP9" s="160"/>
      <c r="AQ9" s="161"/>
      <c r="AR9" s="161"/>
      <c r="AS9" s="161"/>
      <c r="AT9" s="161"/>
      <c r="AU9" s="162"/>
      <c r="AV9" s="162"/>
      <c r="AW9" s="162"/>
      <c r="AX9" s="162"/>
      <c r="AY9" s="162"/>
      <c r="AZ9" s="162"/>
      <c r="BA9" s="162"/>
      <c r="BB9" s="162"/>
      <c r="BC9" s="162"/>
      <c r="BD9" s="162"/>
      <c r="BE9" s="162"/>
      <c r="BF9" s="162"/>
      <c r="BG9" s="162"/>
      <c r="BH9" s="161"/>
      <c r="BI9" s="162"/>
      <c r="BJ9" s="131"/>
    </row>
    <row r="10" spans="1:62" x14ac:dyDescent="0.25">
      <c r="J10" s="138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39"/>
      <c r="AC10" s="139"/>
      <c r="AD10" s="139"/>
    </row>
    <row r="11" spans="1:62" hidden="1" x14ac:dyDescent="0.25">
      <c r="J11" s="138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</row>
    <row r="12" spans="1:62" hidden="1" x14ac:dyDescent="0.25">
      <c r="J12" s="138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</row>
    <row r="13" spans="1:62" hidden="1" x14ac:dyDescent="0.25">
      <c r="J13" s="138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39"/>
      <c r="AC13" s="139"/>
      <c r="AD13" s="139"/>
    </row>
    <row r="14" spans="1:62" hidden="1" x14ac:dyDescent="0.25">
      <c r="J14" s="140"/>
      <c r="K14" s="140"/>
      <c r="L14" s="140"/>
      <c r="M14" s="141"/>
      <c r="N14" s="141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</row>
    <row r="15" spans="1:62" hidden="1" x14ac:dyDescent="0.25">
      <c r="D15" s="142"/>
      <c r="E15" s="143"/>
      <c r="F15" s="140"/>
      <c r="G15" s="140"/>
      <c r="H15" s="140"/>
      <c r="I15" s="140"/>
      <c r="J15" s="140"/>
      <c r="K15" s="140"/>
      <c r="L15" s="140"/>
      <c r="M15" s="141"/>
      <c r="N15" s="141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</row>
    <row r="16" spans="1:62" hidden="1" x14ac:dyDescent="0.25">
      <c r="D16" s="142"/>
      <c r="E16" s="143"/>
      <c r="F16" s="140"/>
      <c r="G16" s="140"/>
      <c r="H16" s="140"/>
      <c r="I16" s="140"/>
      <c r="J16" s="140"/>
      <c r="K16" s="140"/>
      <c r="L16" s="140"/>
      <c r="M16" s="141"/>
      <c r="N16" s="141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</row>
    <row r="17" spans="4:31" hidden="1" x14ac:dyDescent="0.25">
      <c r="D17" s="142"/>
      <c r="E17" s="143"/>
      <c r="F17" s="140"/>
      <c r="G17" s="140"/>
      <c r="H17" s="140"/>
      <c r="I17" s="140"/>
      <c r="J17" s="140"/>
      <c r="K17" s="140"/>
      <c r="L17" s="140"/>
      <c r="M17" s="141"/>
      <c r="N17" s="141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</row>
    <row r="18" spans="4:31" hidden="1" x14ac:dyDescent="0.25">
      <c r="D18" s="142"/>
      <c r="E18" s="143"/>
      <c r="F18" s="140"/>
      <c r="G18" s="140"/>
      <c r="H18" s="140"/>
      <c r="I18" s="140"/>
      <c r="J18" s="140"/>
      <c r="K18" s="140"/>
      <c r="L18" s="140"/>
      <c r="M18" s="141"/>
      <c r="N18" s="141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</row>
    <row r="19" spans="4:31" hidden="1" x14ac:dyDescent="0.25">
      <c r="D19" s="142"/>
      <c r="E19" s="143"/>
      <c r="F19" s="140"/>
      <c r="G19" s="140"/>
      <c r="H19" s="140"/>
      <c r="I19" s="140"/>
    </row>
  </sheetData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Q18" sqref="Q18"/>
    </sheetView>
  </sheetViews>
  <sheetFormatPr defaultColWidth="0" defaultRowHeight="15" zeroHeight="1" x14ac:dyDescent="0.25"/>
  <cols>
    <col min="1" max="1" width="3.7109375" style="121" customWidth="1"/>
    <col min="2" max="2" width="18" style="121" bestFit="1" customWidth="1"/>
    <col min="3" max="3" width="20.5703125" style="121" bestFit="1" customWidth="1"/>
    <col min="4" max="4" width="14.5703125" style="121" bestFit="1" customWidth="1"/>
    <col min="5" max="5" width="25.28515625" style="121" hidden="1" customWidth="1"/>
    <col min="6" max="6" width="11" style="121" bestFit="1" customWidth="1"/>
    <col min="7" max="7" width="15.7109375" style="121" customWidth="1"/>
    <col min="8" max="8" width="20.140625" style="121" customWidth="1"/>
    <col min="9" max="9" width="21.42578125" style="121" hidden="1" customWidth="1"/>
    <col min="10" max="10" width="26.28515625" style="121" hidden="1" customWidth="1"/>
    <col min="11" max="11" width="11" style="121" bestFit="1" customWidth="1"/>
    <col min="12" max="12" width="15.7109375" style="121" customWidth="1"/>
    <col min="13" max="13" width="20.140625" style="121" customWidth="1"/>
    <col min="14" max="14" width="22.28515625" style="121" hidden="1" customWidth="1"/>
    <col min="15" max="15" width="3.7109375" style="121" customWidth="1"/>
    <col min="16" max="16" width="13.140625" style="121" customWidth="1"/>
    <col min="17" max="17" width="20.85546875" style="121" customWidth="1"/>
    <col min="18" max="18" width="3.7109375" style="121" customWidth="1"/>
    <col min="19" max="19" width="27" style="121" hidden="1" customWidth="1"/>
    <col min="20" max="20" width="10.42578125" style="121" hidden="1" customWidth="1"/>
    <col min="21" max="21" width="129.5703125" style="121" hidden="1" customWidth="1"/>
    <col min="22" max="22" width="3.7109375" style="121" hidden="1" customWidth="1"/>
    <col min="23" max="23" width="16" style="121" hidden="1" customWidth="1"/>
    <col min="24" max="24" width="7.85546875" style="121" hidden="1" customWidth="1"/>
    <col min="25" max="25" width="7" style="121" hidden="1" customWidth="1"/>
    <col min="26" max="26" width="3.7109375" style="121" hidden="1" customWidth="1"/>
    <col min="27" max="16384" width="9.140625" style="121" hidden="1"/>
  </cols>
  <sheetData>
    <row r="1" spans="2:25" x14ac:dyDescent="0.25"/>
    <row r="2" spans="2:25" ht="24" x14ac:dyDescent="0.4">
      <c r="D2" s="130"/>
      <c r="E2" s="284" t="s">
        <v>5397</v>
      </c>
      <c r="F2" s="285"/>
      <c r="G2" s="286"/>
      <c r="H2" s="287"/>
      <c r="I2" s="2"/>
      <c r="J2" s="288" t="s">
        <v>5398</v>
      </c>
      <c r="K2" s="289"/>
      <c r="L2" s="289"/>
      <c r="M2" s="289"/>
      <c r="N2" s="290"/>
      <c r="O2" s="127"/>
    </row>
    <row r="3" spans="2:25" ht="15" customHeight="1" x14ac:dyDescent="0.25">
      <c r="B3" s="3" t="s">
        <v>75</v>
      </c>
      <c r="C3" s="4" t="s">
        <v>5367</v>
      </c>
      <c r="D3" s="4" t="s">
        <v>35</v>
      </c>
      <c r="E3" s="5" t="s">
        <v>5368</v>
      </c>
      <c r="F3" s="5" t="s">
        <v>5370</v>
      </c>
      <c r="G3" s="4" t="s">
        <v>5369</v>
      </c>
      <c r="H3" s="6" t="s">
        <v>5371</v>
      </c>
      <c r="I3" s="6" t="s">
        <v>5372</v>
      </c>
      <c r="J3" s="5" t="s">
        <v>5368</v>
      </c>
      <c r="K3" s="4" t="s">
        <v>5370</v>
      </c>
      <c r="L3" s="4" t="s">
        <v>5369</v>
      </c>
      <c r="M3" s="6" t="s">
        <v>5371</v>
      </c>
      <c r="N3" s="6" t="s">
        <v>5372</v>
      </c>
      <c r="O3" s="127"/>
      <c r="P3" s="119" t="s">
        <v>5392</v>
      </c>
      <c r="Q3" s="119" t="s">
        <v>5393</v>
      </c>
    </row>
    <row r="4" spans="2:25" hidden="1" x14ac:dyDescent="0.25">
      <c r="B4" s="7" t="s">
        <v>75</v>
      </c>
      <c r="C4" s="8" t="s">
        <v>5399</v>
      </c>
      <c r="D4" s="8" t="s">
        <v>5366</v>
      </c>
      <c r="E4" s="9" t="s">
        <v>5400</v>
      </c>
      <c r="F4" s="117" t="s">
        <v>5402</v>
      </c>
      <c r="G4" s="9" t="s">
        <v>5401</v>
      </c>
      <c r="H4" s="10" t="s">
        <v>5403</v>
      </c>
      <c r="I4" s="11" t="s">
        <v>5409</v>
      </c>
      <c r="J4" s="9" t="s">
        <v>5408</v>
      </c>
      <c r="K4" s="10" t="s">
        <v>5404</v>
      </c>
      <c r="L4" s="10" t="s">
        <v>5407</v>
      </c>
      <c r="M4" s="11" t="s">
        <v>5406</v>
      </c>
      <c r="N4" s="11" t="s">
        <v>5405</v>
      </c>
      <c r="O4" s="128"/>
      <c r="P4" s="120"/>
      <c r="Q4" s="12"/>
      <c r="S4" s="1"/>
      <c r="T4" s="1"/>
      <c r="U4" s="1"/>
      <c r="W4" s="1"/>
      <c r="X4" s="1"/>
      <c r="Y4" s="1"/>
    </row>
    <row r="5" spans="2:25" x14ac:dyDescent="0.25">
      <c r="B5" s="282" t="s">
        <v>5373</v>
      </c>
      <c r="C5" s="14" t="s">
        <v>5375</v>
      </c>
      <c r="D5" s="13" t="s">
        <v>5374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29"/>
      <c r="P5" s="120" t="s">
        <v>5374</v>
      </c>
      <c r="Q5" s="12"/>
      <c r="S5" s="19" t="s">
        <v>5384</v>
      </c>
      <c r="T5" s="19" t="s">
        <v>99</v>
      </c>
      <c r="U5" s="20" t="s">
        <v>5363</v>
      </c>
      <c r="W5" s="21" t="s">
        <v>5374</v>
      </c>
      <c r="X5" s="22" t="s">
        <v>28</v>
      </c>
      <c r="Y5" s="23" t="s">
        <v>5351</v>
      </c>
    </row>
    <row r="6" spans="2:25" x14ac:dyDescent="0.25">
      <c r="B6" s="283"/>
      <c r="C6" s="25" t="s">
        <v>5378</v>
      </c>
      <c r="D6" s="24" t="s">
        <v>28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29"/>
      <c r="P6" s="120" t="s">
        <v>28</v>
      </c>
      <c r="Q6" s="12"/>
      <c r="S6" s="30" t="s">
        <v>39</v>
      </c>
      <c r="T6" s="31">
        <v>46187</v>
      </c>
      <c r="U6" s="32" t="s">
        <v>5362</v>
      </c>
      <c r="W6" s="1" t="s">
        <v>5374</v>
      </c>
      <c r="X6" s="1" t="s">
        <v>28</v>
      </c>
      <c r="Y6" s="1" t="s">
        <v>5351</v>
      </c>
    </row>
    <row r="7" spans="2:25" x14ac:dyDescent="0.25">
      <c r="B7" s="280" t="s">
        <v>34</v>
      </c>
      <c r="C7" s="34" t="s">
        <v>5376</v>
      </c>
      <c r="D7" s="33" t="s">
        <v>12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29"/>
      <c r="P7" s="120" t="s">
        <v>5351</v>
      </c>
      <c r="Q7" s="12"/>
      <c r="S7" s="39" t="s">
        <v>5352</v>
      </c>
      <c r="T7" s="40">
        <f>MAX(IFERROR(MAX(Logbook[IPC]),0),N(_xlfn.XLOOKUP("IPC",OverrideDates[Check],OverrideDates[Manual Override Date],"")),N(OPCLast))</f>
        <v>0</v>
      </c>
      <c r="U7" s="41" t="s">
        <v>5394</v>
      </c>
      <c r="W7" s="1" t="s">
        <v>5410</v>
      </c>
      <c r="X7" s="1" t="s">
        <v>5413</v>
      </c>
      <c r="Y7" s="1"/>
    </row>
    <row r="8" spans="2:25" x14ac:dyDescent="0.25">
      <c r="B8" s="280"/>
      <c r="C8" s="34" t="s">
        <v>5377</v>
      </c>
      <c r="D8" s="33" t="s">
        <v>15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29"/>
      <c r="S8" s="39" t="s">
        <v>5353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5354</v>
      </c>
      <c r="W8" s="1" t="s">
        <v>5411</v>
      </c>
      <c r="X8" s="1" t="s">
        <v>5416</v>
      </c>
      <c r="Y8" s="1"/>
    </row>
    <row r="9" spans="2:25" x14ac:dyDescent="0.25">
      <c r="B9" s="279" t="s">
        <v>35</v>
      </c>
      <c r="C9" s="14" t="s">
        <v>5379</v>
      </c>
      <c r="D9" s="13" t="s">
        <v>36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29"/>
      <c r="S9" s="39" t="s">
        <v>5355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5356</v>
      </c>
      <c r="W9" s="1" t="s">
        <v>5412</v>
      </c>
      <c r="X9" s="1"/>
      <c r="Y9" s="1"/>
    </row>
    <row r="10" spans="2:25" x14ac:dyDescent="0.25">
      <c r="B10" s="280"/>
      <c r="C10" s="34" t="s">
        <v>5433</v>
      </c>
      <c r="D10" s="33" t="s">
        <v>37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29"/>
      <c r="S10" s="39" t="s">
        <v>5357</v>
      </c>
      <c r="T10" s="40">
        <f>MAX(IFERROR(MAX(Logbook[OPC]),0),N(_xlfn.XLOOKUP("OPC",OverrideDates[Check],OverrideDates[Manual Override Date],"")))</f>
        <v>0</v>
      </c>
      <c r="U10" s="41" t="s">
        <v>5395</v>
      </c>
      <c r="W10" s="1" t="s">
        <v>5414</v>
      </c>
      <c r="X10" s="1"/>
      <c r="Y10" s="1"/>
    </row>
    <row r="11" spans="2:25" x14ac:dyDescent="0.25">
      <c r="B11" s="281"/>
      <c r="C11" s="25">
        <v>61.875</v>
      </c>
      <c r="D11" s="24" t="s">
        <v>38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29"/>
      <c r="S11" s="39" t="s">
        <v>5358</v>
      </c>
      <c r="T11" s="40">
        <f>IF(OPCLast=0,0,EDATE(OPCLast,3))</f>
        <v>0</v>
      </c>
      <c r="U11" s="41" t="s">
        <v>5359</v>
      </c>
      <c r="W11" s="1" t="s">
        <v>5415</v>
      </c>
      <c r="X11" s="1"/>
      <c r="Y11" s="1"/>
    </row>
    <row r="12" spans="2:25" x14ac:dyDescent="0.25">
      <c r="B12" s="279" t="s">
        <v>5</v>
      </c>
      <c r="C12" s="14" t="s">
        <v>5380</v>
      </c>
      <c r="D12" s="13" t="s">
        <v>16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29"/>
      <c r="S12" s="39" t="s">
        <v>5360</v>
      </c>
      <c r="T12" s="40">
        <f>IF(OPCLast=0,0,DATE(YEAR(OPCLast)+1,MONTH(OPCLast),DAY(EOMONTH(OPCLast,0))))</f>
        <v>0</v>
      </c>
      <c r="U12" s="42" t="s">
        <v>5419</v>
      </c>
      <c r="W12" s="1" t="s">
        <v>5417</v>
      </c>
      <c r="X12" s="1"/>
      <c r="Y12" s="1"/>
    </row>
    <row r="13" spans="2:25" x14ac:dyDescent="0.25">
      <c r="B13" s="280"/>
      <c r="C13" s="34" t="s">
        <v>5381</v>
      </c>
      <c r="D13" s="33" t="s">
        <v>17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29"/>
      <c r="S13" s="39" t="s">
        <v>5361</v>
      </c>
      <c r="T13" s="40">
        <f>MAX(IPCExpiry,OPCProficiencyExpiry)</f>
        <v>0</v>
      </c>
      <c r="U13" s="41" t="s">
        <v>5434</v>
      </c>
    </row>
    <row r="14" spans="2:25" x14ac:dyDescent="0.25">
      <c r="B14" s="280"/>
      <c r="C14" s="34" t="s">
        <v>5381</v>
      </c>
      <c r="D14" s="33" t="s">
        <v>18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29"/>
      <c r="S14" s="39" t="s">
        <v>5387</v>
      </c>
      <c r="T14" s="40">
        <f>MAX(IFERROR(MAX(Logbook[FlightReview]),0),N(_xlfn.XLOOKUP("Flight Review",OverrideDates[Check],OverrideDates[Manual Override Date],"")))</f>
        <v>0</v>
      </c>
      <c r="U14" s="41" t="s">
        <v>5396</v>
      </c>
    </row>
    <row r="15" spans="2:25" x14ac:dyDescent="0.25">
      <c r="B15" s="280"/>
      <c r="C15" s="34" t="s">
        <v>5382</v>
      </c>
      <c r="D15" s="33" t="s">
        <v>19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29"/>
      <c r="S15" s="39" t="s">
        <v>5388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5389</v>
      </c>
    </row>
    <row r="16" spans="2:25" x14ac:dyDescent="0.25">
      <c r="B16" s="280"/>
      <c r="C16" s="34" t="s">
        <v>5381</v>
      </c>
      <c r="D16" s="33" t="s">
        <v>20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29"/>
      <c r="S16" s="39" t="s">
        <v>5390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5391</v>
      </c>
    </row>
    <row r="17" spans="2:15" x14ac:dyDescent="0.25">
      <c r="B17" s="280"/>
      <c r="C17" s="34" t="s">
        <v>5382</v>
      </c>
      <c r="D17" s="33" t="s">
        <v>21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29"/>
    </row>
    <row r="18" spans="2:15" x14ac:dyDescent="0.25">
      <c r="B18" s="281"/>
      <c r="C18" s="25" t="s">
        <v>5383</v>
      </c>
      <c r="D18" s="24" t="s">
        <v>22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29"/>
    </row>
    <row r="19" spans="2:15" x14ac:dyDescent="0.25">
      <c r="B19" s="122"/>
      <c r="C19" s="123"/>
      <c r="D19" s="123"/>
      <c r="E19" s="124"/>
      <c r="F19" s="124"/>
      <c r="G19" s="125"/>
      <c r="H19" s="126"/>
      <c r="I19" s="126"/>
      <c r="J19" s="124"/>
      <c r="K19" s="125"/>
      <c r="L19" s="125"/>
      <c r="M19" s="125"/>
      <c r="N19" s="12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53" customWidth="1"/>
    <col min="2" max="2" width="45.85546875" style="1" bestFit="1" customWidth="1"/>
    <col min="3" max="3" width="50.7109375" style="1" bestFit="1" customWidth="1"/>
    <col min="4" max="4" width="3.7109375" style="53" customWidth="1"/>
    <col min="5" max="16384" width="9.140625" style="53" hidden="1"/>
  </cols>
  <sheetData>
    <row r="1" spans="2:3" x14ac:dyDescent="0.25">
      <c r="B1" s="53"/>
      <c r="C1" s="53"/>
    </row>
    <row r="2" spans="2:3" x14ac:dyDescent="0.25">
      <c r="B2" s="51" t="s">
        <v>98</v>
      </c>
      <c r="C2" s="51" t="s">
        <v>99</v>
      </c>
    </row>
    <row r="3" spans="2:3" ht="15.75" x14ac:dyDescent="0.25">
      <c r="B3" s="118" t="s">
        <v>100</v>
      </c>
      <c r="C3" s="10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18" t="s">
        <v>101</v>
      </c>
      <c r="C4" s="10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18" t="s">
        <v>102</v>
      </c>
      <c r="C5" s="10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18" t="s">
        <v>103</v>
      </c>
      <c r="C6" s="10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18" t="s">
        <v>105</v>
      </c>
      <c r="C7" s="10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18" t="s">
        <v>106</v>
      </c>
      <c r="C8" s="10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18" t="s">
        <v>113</v>
      </c>
      <c r="C9" s="10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18" t="s">
        <v>104</v>
      </c>
      <c r="C10" s="110">
        <f>AVERAGE(Logbook[TotalHours])</f>
        <v>0</v>
      </c>
    </row>
    <row r="11" spans="2:3" ht="15.75" x14ac:dyDescent="0.25">
      <c r="B11" s="118" t="s">
        <v>114</v>
      </c>
      <c r="C11" s="10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18" t="s">
        <v>115</v>
      </c>
      <c r="C12" s="10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18" t="s">
        <v>111</v>
      </c>
      <c r="C13" s="11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18" t="s">
        <v>112</v>
      </c>
      <c r="C14" s="111" t="str">
        <f>IFERROR(Logbook[[#Totals],[IfrIf]]/Logbook[[#Totals],[TotalHours]],"No flying hours")</f>
        <v>No flying hours</v>
      </c>
    </row>
    <row r="15" spans="2:3" ht="15.75" x14ac:dyDescent="0.25">
      <c r="B15" s="118" t="s">
        <v>107</v>
      </c>
      <c r="C15" s="10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18" t="s">
        <v>108</v>
      </c>
      <c r="C16" s="10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18" t="s">
        <v>109</v>
      </c>
      <c r="C17" s="112">
        <f>Logbook[[#Totals],[TotalHours]]*120</f>
        <v>0</v>
      </c>
    </row>
    <row r="18" spans="2:3" ht="15.75" x14ac:dyDescent="0.25">
      <c r="B18" s="118" t="s">
        <v>110</v>
      </c>
      <c r="C18" s="113">
        <f>C17/207600</f>
        <v>0</v>
      </c>
    </row>
    <row r="19" spans="2:3" ht="15.75" x14ac:dyDescent="0.25">
      <c r="B19" s="118" t="s">
        <v>116</v>
      </c>
      <c r="C19" s="10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18" t="s">
        <v>117</v>
      </c>
      <c r="C20" s="10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18" t="s">
        <v>5293</v>
      </c>
      <c r="C21" s="10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18" t="s">
        <v>5295</v>
      </c>
      <c r="C22" s="10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18" t="s">
        <v>5303</v>
      </c>
      <c r="C23" s="10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18" t="s">
        <v>5302</v>
      </c>
      <c r="C24" s="109" cm="1">
        <f t="array" ref="C24">COUNTA(_xlfn._xlws.FILTER(Airports[ICAO], ISNUMBER(Airports[Visits])))</f>
        <v>1</v>
      </c>
    </row>
    <row r="25" spans="2:3" ht="15.75" x14ac:dyDescent="0.25">
      <c r="B25" s="118" t="s">
        <v>5307</v>
      </c>
      <c r="C25" s="10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18" t="s">
        <v>5308</v>
      </c>
      <c r="C26" s="10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5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3" t="s">
        <v>5310</v>
      </c>
      <c r="B1" s="291" t="s">
        <v>5311</v>
      </c>
      <c r="C1" s="291"/>
    </row>
    <row r="2" spans="1:3" ht="26.25" x14ac:dyDescent="0.25">
      <c r="A2" s="93"/>
      <c r="B2" s="30" t="s">
        <v>5364</v>
      </c>
      <c r="C2" s="94"/>
    </row>
    <row r="3" spans="1:3" ht="39.950000000000003" customHeight="1" x14ac:dyDescent="0.25">
      <c r="A3" s="93" t="s">
        <v>5312</v>
      </c>
      <c r="B3" s="292" t="s">
        <v>5315</v>
      </c>
      <c r="C3" s="292"/>
    </row>
    <row r="4" spans="1:3" ht="39.950000000000003" customHeight="1" x14ac:dyDescent="0.25">
      <c r="A4" s="93" t="s">
        <v>5313</v>
      </c>
      <c r="B4" s="291" t="s">
        <v>5316</v>
      </c>
      <c r="C4" s="291"/>
    </row>
    <row r="5" spans="1:3" ht="39.950000000000003" customHeight="1" x14ac:dyDescent="0.25">
      <c r="A5" s="93" t="s">
        <v>5314</v>
      </c>
      <c r="B5" s="291" t="s">
        <v>5317</v>
      </c>
      <c r="C5" s="291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8" sqref="B8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6" t="s">
        <v>5337</v>
      </c>
    </row>
    <row r="2" spans="1:2" x14ac:dyDescent="0.25">
      <c r="A2" s="97" t="s">
        <v>5336</v>
      </c>
      <c r="B2" s="97" t="s">
        <v>99</v>
      </c>
    </row>
    <row r="3" spans="1:2" x14ac:dyDescent="0.25">
      <c r="A3" s="1" t="s">
        <v>5321</v>
      </c>
      <c r="B3" s="98" t="s">
        <v>5418</v>
      </c>
    </row>
    <row r="4" spans="1:2" x14ac:dyDescent="0.25">
      <c r="A4" s="1" t="s">
        <v>5338</v>
      </c>
      <c r="B4" s="99"/>
    </row>
    <row r="5" spans="1:2" x14ac:dyDescent="0.25">
      <c r="A5" s="1" t="s">
        <v>5344</v>
      </c>
      <c r="B5" s="1">
        <v>1</v>
      </c>
    </row>
    <row r="6" spans="1:2" x14ac:dyDescent="0.25">
      <c r="A6" s="99" t="s">
        <v>5323</v>
      </c>
    </row>
    <row r="7" spans="1:2" x14ac:dyDescent="0.25">
      <c r="A7" s="1" t="s">
        <v>5349</v>
      </c>
      <c r="B7" s="1" t="b">
        <v>0</v>
      </c>
    </row>
    <row r="8" spans="1:2" x14ac:dyDescent="0.25">
      <c r="A8" s="1" t="s">
        <v>5350</v>
      </c>
      <c r="B8" s="100">
        <v>1</v>
      </c>
    </row>
    <row r="9" spans="1:2" x14ac:dyDescent="0.25">
      <c r="A9" s="1" t="s">
        <v>5330</v>
      </c>
      <c r="B9" s="101"/>
    </row>
    <row r="10" spans="1:2" x14ac:dyDescent="0.25">
      <c r="A10" s="1" t="s">
        <v>5333</v>
      </c>
      <c r="B10" s="1" t="s">
        <v>5334</v>
      </c>
    </row>
    <row r="11" spans="1:2" x14ac:dyDescent="0.25">
      <c r="A11" s="99"/>
    </row>
    <row r="12" spans="1:2" hidden="1" x14ac:dyDescent="0.25">
      <c r="B12" s="1" t="s">
        <v>5334</v>
      </c>
    </row>
    <row r="13" spans="1:2" hidden="1" x14ac:dyDescent="0.25">
      <c r="B13" s="1" t="s">
        <v>5335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0" bestFit="1" customWidth="1"/>
    <col min="8" max="16384" width="9.140625" style="1"/>
  </cols>
  <sheetData>
    <row r="1" spans="1:7" x14ac:dyDescent="0.25">
      <c r="A1" s="97" t="s">
        <v>5296</v>
      </c>
      <c r="B1" s="97" t="s">
        <v>5297</v>
      </c>
      <c r="C1" s="97" t="s">
        <v>5298</v>
      </c>
      <c r="D1" s="97" t="s">
        <v>5299</v>
      </c>
      <c r="E1" s="97" t="s">
        <v>5300</v>
      </c>
      <c r="F1" s="97" t="s">
        <v>5301</v>
      </c>
      <c r="G1" s="102" t="s">
        <v>5306</v>
      </c>
    </row>
    <row r="2" spans="1:7" x14ac:dyDescent="0.25">
      <c r="A2" s="97"/>
      <c r="B2" s="97"/>
      <c r="C2" s="97"/>
      <c r="D2" s="97"/>
      <c r="E2" s="97"/>
      <c r="F2" s="97"/>
      <c r="G2" s="10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4" bestFit="1" customWidth="1"/>
    <col min="8" max="8" width="13.42578125" style="104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7" t="s">
        <v>118</v>
      </c>
      <c r="B1" s="97" t="s">
        <v>5288</v>
      </c>
      <c r="C1" s="97" t="s">
        <v>119</v>
      </c>
      <c r="D1" s="97" t="s">
        <v>120</v>
      </c>
      <c r="E1" s="97" t="s">
        <v>121</v>
      </c>
      <c r="F1" s="97" t="s">
        <v>122</v>
      </c>
      <c r="G1" s="103" t="s">
        <v>5304</v>
      </c>
      <c r="H1" s="103" t="s">
        <v>5305</v>
      </c>
      <c r="I1" s="97" t="s">
        <v>5289</v>
      </c>
      <c r="J1" s="97" t="s">
        <v>5294</v>
      </c>
      <c r="K1" s="97" t="s">
        <v>5292</v>
      </c>
    </row>
    <row r="2" spans="1:11" x14ac:dyDescent="0.25">
      <c r="A2" s="1" t="s">
        <v>123</v>
      </c>
      <c r="B2" s="1" t="s">
        <v>124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125</v>
      </c>
      <c r="B3" s="1" t="s">
        <v>126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127</v>
      </c>
      <c r="B4" s="1" t="s">
        <v>128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129</v>
      </c>
      <c r="B5" s="1" t="s">
        <v>130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131</v>
      </c>
      <c r="B6" s="1" t="s">
        <v>132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133</v>
      </c>
      <c r="B7" s="1" t="s">
        <v>134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135</v>
      </c>
      <c r="B8" s="1" t="s">
        <v>136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137</v>
      </c>
      <c r="B9" s="1" t="s">
        <v>138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139</v>
      </c>
      <c r="B10" s="1" t="s">
        <v>140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141</v>
      </c>
      <c r="B11" s="1" t="s">
        <v>142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143</v>
      </c>
      <c r="B12" s="1" t="s">
        <v>144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145</v>
      </c>
      <c r="B13" s="1" t="s">
        <v>146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147</v>
      </c>
      <c r="B14" s="1" t="s">
        <v>148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149</v>
      </c>
      <c r="B15" s="1" t="s">
        <v>150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151</v>
      </c>
      <c r="B16" s="1" t="s">
        <v>152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153</v>
      </c>
      <c r="B17" s="1" t="s">
        <v>154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155</v>
      </c>
      <c r="B18" s="1" t="s">
        <v>156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157</v>
      </c>
      <c r="B19" s="1" t="s">
        <v>158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159</v>
      </c>
      <c r="B20" s="1" t="s">
        <v>160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161</v>
      </c>
      <c r="B21" s="1" t="s">
        <v>162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163</v>
      </c>
      <c r="B22" s="1" t="s">
        <v>164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165</v>
      </c>
      <c r="B23" s="1" t="s">
        <v>166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167</v>
      </c>
      <c r="B24" s="1" t="s">
        <v>168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169</v>
      </c>
      <c r="B25" s="1" t="s">
        <v>170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171</v>
      </c>
      <c r="B26" s="1" t="s">
        <v>172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173</v>
      </c>
      <c r="B27" s="1" t="s">
        <v>174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175</v>
      </c>
      <c r="B28" s="1" t="s">
        <v>176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177</v>
      </c>
      <c r="B29" s="1" t="s">
        <v>178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179</v>
      </c>
      <c r="B30" s="1" t="s">
        <v>180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181</v>
      </c>
      <c r="B31" s="1" t="s">
        <v>182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183</v>
      </c>
      <c r="B32" s="1" t="s">
        <v>184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185</v>
      </c>
      <c r="B33" s="1" t="s">
        <v>186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187</v>
      </c>
      <c r="B34" s="1" t="s">
        <v>188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189</v>
      </c>
      <c r="B35" s="1" t="s">
        <v>190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191</v>
      </c>
      <c r="B36" s="1" t="s">
        <v>192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193</v>
      </c>
      <c r="B37" s="1" t="s">
        <v>194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195</v>
      </c>
      <c r="B38" s="1" t="s">
        <v>196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197</v>
      </c>
      <c r="B39" s="1" t="s">
        <v>198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199</v>
      </c>
      <c r="B40" s="1" t="s">
        <v>200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201</v>
      </c>
      <c r="B41" s="1" t="s">
        <v>202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203</v>
      </c>
      <c r="B42" s="1" t="s">
        <v>204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205</v>
      </c>
      <c r="B43" s="1" t="s">
        <v>206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207</v>
      </c>
      <c r="B44" s="1" t="s">
        <v>208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209</v>
      </c>
      <c r="B45" s="1" t="s">
        <v>210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211</v>
      </c>
      <c r="B46" s="1" t="s">
        <v>212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213</v>
      </c>
      <c r="B47" s="1" t="s">
        <v>214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215</v>
      </c>
      <c r="B48" s="1" t="s">
        <v>216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217</v>
      </c>
      <c r="B49" s="1" t="s">
        <v>218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219</v>
      </c>
      <c r="B50" s="1" t="s">
        <v>220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221</v>
      </c>
      <c r="B51" s="1" t="s">
        <v>222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223</v>
      </c>
      <c r="B52" s="1" t="s">
        <v>224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225</v>
      </c>
      <c r="B53" s="1" t="s">
        <v>226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227</v>
      </c>
      <c r="B54" s="1" t="s">
        <v>228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229</v>
      </c>
      <c r="B55" s="1" t="s">
        <v>230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231</v>
      </c>
      <c r="B56" s="1" t="s">
        <v>232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233</v>
      </c>
      <c r="B57" s="1" t="s">
        <v>234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235</v>
      </c>
      <c r="B58" s="1" t="s">
        <v>236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237</v>
      </c>
      <c r="B59" s="1" t="s">
        <v>238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239</v>
      </c>
      <c r="B60" s="1" t="s">
        <v>240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241</v>
      </c>
      <c r="B61" s="1" t="s">
        <v>242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243</v>
      </c>
      <c r="B62" s="1" t="s">
        <v>244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245</v>
      </c>
      <c r="B63" s="1" t="s">
        <v>246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247</v>
      </c>
      <c r="B64" s="1" t="s">
        <v>248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249</v>
      </c>
      <c r="B65" s="1" t="s">
        <v>250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251</v>
      </c>
      <c r="B66" s="1" t="s">
        <v>252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253</v>
      </c>
      <c r="B67" s="1" t="s">
        <v>254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255</v>
      </c>
      <c r="B68" s="1" t="s">
        <v>256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257</v>
      </c>
      <c r="B69" s="1" t="s">
        <v>258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259</v>
      </c>
      <c r="B70" s="1" t="s">
        <v>260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261</v>
      </c>
      <c r="B71" s="1" t="s">
        <v>262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263</v>
      </c>
      <c r="B72" s="1" t="s">
        <v>264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265</v>
      </c>
      <c r="B73" s="1" t="s">
        <v>266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267</v>
      </c>
      <c r="B74" s="1" t="s">
        <v>268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269</v>
      </c>
      <c r="B75" s="1" t="s">
        <v>270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271</v>
      </c>
      <c r="B76" s="1" t="s">
        <v>272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273</v>
      </c>
      <c r="B77" s="1" t="s">
        <v>174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274</v>
      </c>
      <c r="B78" s="1" t="s">
        <v>275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276</v>
      </c>
      <c r="B79" s="1" t="s">
        <v>277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278</v>
      </c>
      <c r="B80" s="1" t="s">
        <v>279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280</v>
      </c>
      <c r="B81" s="1" t="s">
        <v>281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282</v>
      </c>
      <c r="B82" s="1" t="s">
        <v>283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284</v>
      </c>
      <c r="B83" s="1" t="s">
        <v>285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286</v>
      </c>
      <c r="B84" s="1" t="s">
        <v>287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288</v>
      </c>
      <c r="B85" s="1" t="s">
        <v>289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290</v>
      </c>
      <c r="B86" s="1" t="s">
        <v>291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292</v>
      </c>
      <c r="B87" s="1" t="s">
        <v>293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294</v>
      </c>
      <c r="B88" s="1" t="s">
        <v>295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296</v>
      </c>
      <c r="B89" s="1" t="s">
        <v>297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298</v>
      </c>
      <c r="B90" s="1" t="s">
        <v>299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300</v>
      </c>
      <c r="B91" s="1" t="s">
        <v>301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302</v>
      </c>
      <c r="B92" s="1" t="s">
        <v>303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304</v>
      </c>
      <c r="B93" s="1" t="s">
        <v>305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306</v>
      </c>
      <c r="B94" s="1" t="s">
        <v>307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308</v>
      </c>
      <c r="B95" s="1" t="s">
        <v>309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310</v>
      </c>
      <c r="B96" s="1" t="s">
        <v>311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312</v>
      </c>
      <c r="B97" s="1" t="s">
        <v>313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314</v>
      </c>
      <c r="B98" s="1" t="s">
        <v>315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316</v>
      </c>
      <c r="B99" s="1" t="s">
        <v>317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318</v>
      </c>
      <c r="B100" s="1" t="s">
        <v>319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320</v>
      </c>
      <c r="B101" s="1" t="s">
        <v>321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322</v>
      </c>
      <c r="B102" s="1" t="s">
        <v>323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324</v>
      </c>
      <c r="B103" s="1" t="s">
        <v>325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326</v>
      </c>
      <c r="B104" s="1" t="s">
        <v>327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328</v>
      </c>
      <c r="B105" s="1" t="s">
        <v>329</v>
      </c>
      <c r="C105" s="1">
        <v>-24.186667</v>
      </c>
      <c r="D105" s="1">
        <v>149.845</v>
      </c>
      <c r="E105" s="1" t="str">
        <f>RIGHT(Airports[[#This Row],[ICAO]],3)</f>
        <v>BAB</v>
      </c>
      <c r="G105" s="10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330</v>
      </c>
      <c r="B106" s="1" t="s">
        <v>331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332</v>
      </c>
      <c r="B107" s="1" t="s">
        <v>333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334</v>
      </c>
      <c r="B108" s="1" t="s">
        <v>335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336</v>
      </c>
      <c r="B109" s="1" t="s">
        <v>337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338</v>
      </c>
      <c r="B110" s="1" t="s">
        <v>339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340</v>
      </c>
      <c r="B111" s="1" t="s">
        <v>341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342</v>
      </c>
      <c r="B112" s="1" t="s">
        <v>343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344</v>
      </c>
      <c r="B113" s="1" t="s">
        <v>345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346</v>
      </c>
      <c r="B114" s="1" t="s">
        <v>347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348</v>
      </c>
      <c r="B115" s="1" t="s">
        <v>349</v>
      </c>
      <c r="C115" s="1">
        <v>-13.148056</v>
      </c>
      <c r="D115" s="1">
        <v>135.81611100000001</v>
      </c>
      <c r="G115" s="10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350</v>
      </c>
      <c r="B116" s="1" t="s">
        <v>351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352</v>
      </c>
      <c r="B117" s="1" t="s">
        <v>353</v>
      </c>
      <c r="C117" s="1">
        <v>-20.95</v>
      </c>
      <c r="D117" s="1">
        <v>120.15</v>
      </c>
      <c r="E117" s="1" t="str">
        <f>RIGHT(Airports[[#This Row],[ICAO]],3)</f>
        <v>BBC</v>
      </c>
      <c r="G117" s="10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354</v>
      </c>
      <c r="B118" s="1" t="s">
        <v>355</v>
      </c>
      <c r="C118" s="1">
        <v>-28.739722</v>
      </c>
      <c r="D118" s="1">
        <v>153.487222</v>
      </c>
      <c r="E118" s="1" t="str">
        <f>RIGHT(Airports[[#This Row],[ICAO]],3)</f>
        <v>BBF</v>
      </c>
      <c r="G118" s="10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356</v>
      </c>
      <c r="B119" s="1" t="s">
        <v>357</v>
      </c>
      <c r="C119" s="1">
        <v>-16.491667</v>
      </c>
      <c r="D119" s="1">
        <v>139.283333</v>
      </c>
      <c r="E119" s="1" t="str">
        <f>RIGHT(Airports[[#This Row],[ICAO]],3)</f>
        <v>BBH</v>
      </c>
      <c r="G119" s="10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358</v>
      </c>
      <c r="B120" s="1" t="s">
        <v>359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360</v>
      </c>
      <c r="B121" s="1" t="s">
        <v>361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362</v>
      </c>
      <c r="B122" s="1" t="s">
        <v>363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364</v>
      </c>
      <c r="B123" s="1" t="s">
        <v>365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366</v>
      </c>
      <c r="B124" s="1" t="s">
        <v>367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368</v>
      </c>
      <c r="B125" s="1" t="s">
        <v>369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370</v>
      </c>
      <c r="B126" s="1" t="s">
        <v>371</v>
      </c>
      <c r="C126" s="1">
        <v>-15.766389</v>
      </c>
      <c r="D126" s="1">
        <v>130.033333</v>
      </c>
      <c r="E126" s="1" t="str">
        <f>RIGHT(Airports[[#This Row],[ICAO]],3)</f>
        <v>BCA</v>
      </c>
      <c r="G126" s="10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372</v>
      </c>
      <c r="B127" s="1" t="s">
        <v>373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374</v>
      </c>
      <c r="B128" s="1" t="s">
        <v>375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376</v>
      </c>
      <c r="B129" s="1" t="s">
        <v>377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378</v>
      </c>
      <c r="B130" s="1" t="s">
        <v>379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380</v>
      </c>
      <c r="B131" s="1" t="s">
        <v>381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382</v>
      </c>
      <c r="B132" s="1" t="s">
        <v>383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384</v>
      </c>
      <c r="B133" s="1" t="s">
        <v>385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386</v>
      </c>
      <c r="B134" s="1" t="s">
        <v>387</v>
      </c>
      <c r="C134" s="1">
        <v>-13.061111</v>
      </c>
      <c r="D134" s="1">
        <v>131.024722</v>
      </c>
      <c r="E134" s="1" t="str">
        <f>RIGHT(Airports[[#This Row],[ICAO]],3)</f>
        <v>BCR</v>
      </c>
      <c r="G134" s="10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388</v>
      </c>
      <c r="B135" s="1" t="s">
        <v>389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390</v>
      </c>
      <c r="B136" s="1" t="s">
        <v>391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392</v>
      </c>
      <c r="B137" s="1" t="s">
        <v>393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394</v>
      </c>
      <c r="B138" s="1" t="s">
        <v>395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396</v>
      </c>
      <c r="B139" s="1" t="s">
        <v>397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398</v>
      </c>
      <c r="B140" s="1" t="s">
        <v>399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400</v>
      </c>
      <c r="B141" s="1" t="s">
        <v>401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402</v>
      </c>
      <c r="B142" s="1" t="s">
        <v>403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404</v>
      </c>
      <c r="B143" s="1" t="s">
        <v>405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406</v>
      </c>
      <c r="B144" s="1" t="s">
        <v>407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408</v>
      </c>
      <c r="B145" s="1" t="s">
        <v>409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410</v>
      </c>
      <c r="B146" s="1" t="s">
        <v>411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412</v>
      </c>
      <c r="B147" s="1" t="s">
        <v>413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414</v>
      </c>
      <c r="B148" s="1" t="s">
        <v>415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416</v>
      </c>
      <c r="B149" s="1" t="s">
        <v>417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418</v>
      </c>
      <c r="B150" s="1" t="s">
        <v>419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420</v>
      </c>
      <c r="B151" s="1" t="s">
        <v>421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422</v>
      </c>
      <c r="B152" s="1" t="s">
        <v>423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424</v>
      </c>
      <c r="B153" s="1" t="s">
        <v>425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426</v>
      </c>
      <c r="B154" s="1" t="s">
        <v>427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428</v>
      </c>
      <c r="B155" s="1" t="s">
        <v>429</v>
      </c>
      <c r="C155" s="1">
        <v>-30.186667</v>
      </c>
      <c r="D155" s="1">
        <v>139.558333</v>
      </c>
      <c r="E155" s="1" t="str">
        <f>RIGHT(Airports[[#This Row],[ICAO]],3)</f>
        <v>BEE</v>
      </c>
      <c r="G155" s="10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430</v>
      </c>
      <c r="B156" s="1" t="s">
        <v>431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432</v>
      </c>
      <c r="B157" s="1" t="s">
        <v>433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434</v>
      </c>
      <c r="B158" s="1" t="s">
        <v>435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436</v>
      </c>
      <c r="B159" s="1" t="s">
        <v>437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438</v>
      </c>
      <c r="B160" s="1" t="s">
        <v>439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440</v>
      </c>
      <c r="B161" s="1" t="s">
        <v>441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442</v>
      </c>
      <c r="B162" s="1" t="s">
        <v>443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444</v>
      </c>
      <c r="B163" s="1" t="s">
        <v>445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446</v>
      </c>
      <c r="B164" s="1" t="s">
        <v>447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448</v>
      </c>
      <c r="B165" s="1" t="s">
        <v>449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450</v>
      </c>
      <c r="B166" s="1" t="s">
        <v>451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452</v>
      </c>
      <c r="B167" s="1" t="s">
        <v>453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454</v>
      </c>
      <c r="B168" s="1" t="s">
        <v>455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456</v>
      </c>
      <c r="B169" s="1" t="s">
        <v>457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458</v>
      </c>
      <c r="B170" s="1" t="s">
        <v>459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460</v>
      </c>
      <c r="B171" s="1" t="s">
        <v>461</v>
      </c>
      <c r="C171" s="1">
        <v>-25.37</v>
      </c>
      <c r="D171" s="1">
        <v>143.773056</v>
      </c>
      <c r="E171" s="1" t="str">
        <f>RIGHT(Airports[[#This Row],[ICAO]],3)</f>
        <v>BGT</v>
      </c>
      <c r="G171" s="10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462</v>
      </c>
      <c r="B172" s="1" t="s">
        <v>463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464</v>
      </c>
      <c r="B173" s="1" t="s">
        <v>465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466</v>
      </c>
      <c r="B174" s="1" t="s">
        <v>467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468</v>
      </c>
      <c r="B175" s="1" t="s">
        <v>469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470</v>
      </c>
      <c r="B176" s="1" t="s">
        <v>471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472</v>
      </c>
      <c r="B177" s="1" t="s">
        <v>473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474</v>
      </c>
      <c r="B178" s="1" t="s">
        <v>475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476</v>
      </c>
      <c r="B179" s="1" t="s">
        <v>477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478</v>
      </c>
      <c r="B180" s="1" t="s">
        <v>479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480</v>
      </c>
      <c r="B181" s="1" t="s">
        <v>481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482</v>
      </c>
      <c r="B182" s="1" t="s">
        <v>483</v>
      </c>
      <c r="C182" s="1">
        <v>-29.916667</v>
      </c>
      <c r="D182" s="1">
        <v>136.186667</v>
      </c>
      <c r="E182" s="1" t="str">
        <f>RIGHT(Airports[[#This Row],[ICAO]],3)</f>
        <v>BIK</v>
      </c>
      <c r="G182" s="10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484</v>
      </c>
      <c r="B183" s="1" t="s">
        <v>485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486</v>
      </c>
      <c r="B184" s="1" t="s">
        <v>487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488</v>
      </c>
      <c r="B185" s="1" t="s">
        <v>489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490</v>
      </c>
      <c r="B186" s="1" t="s">
        <v>491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492</v>
      </c>
      <c r="B187" s="1" t="s">
        <v>493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494</v>
      </c>
      <c r="B188" s="1" t="s">
        <v>495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496</v>
      </c>
      <c r="B189" s="1" t="s">
        <v>497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498</v>
      </c>
      <c r="B190" s="1" t="s">
        <v>499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500</v>
      </c>
      <c r="B191" s="1" t="s">
        <v>501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502</v>
      </c>
      <c r="B192" s="1" t="s">
        <v>503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504</v>
      </c>
      <c r="B193" s="1" t="s">
        <v>505</v>
      </c>
      <c r="C193" s="1">
        <v>-30.038611</v>
      </c>
      <c r="D193" s="1">
        <v>145.951944</v>
      </c>
      <c r="E193" s="1" t="str">
        <f>RIGHT(Airports[[#This Row],[ICAO]],3)</f>
        <v>BKE</v>
      </c>
      <c r="G193" s="10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506</v>
      </c>
      <c r="B194" s="1" t="s">
        <v>507</v>
      </c>
      <c r="C194" s="1">
        <v>-12.960556</v>
      </c>
      <c r="D194" s="1">
        <v>136.600278</v>
      </c>
      <c r="E194" s="1" t="str">
        <f>RIGHT(Airports[[#This Row],[ICAO]],3)</f>
        <v>BKL</v>
      </c>
      <c r="G194" s="10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508</v>
      </c>
      <c r="B195" s="1" t="s">
        <v>509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510</v>
      </c>
      <c r="B196" s="1" t="s">
        <v>511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512</v>
      </c>
      <c r="B197" s="1" t="s">
        <v>513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514</v>
      </c>
      <c r="B198" s="1" t="s">
        <v>515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516</v>
      </c>
      <c r="B199" s="1" t="s">
        <v>517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518</v>
      </c>
      <c r="B200" s="1" t="s">
        <v>519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520</v>
      </c>
      <c r="B201" s="1" t="s">
        <v>521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522</v>
      </c>
      <c r="B202" s="1" t="s">
        <v>523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524</v>
      </c>
      <c r="B203" s="1" t="s">
        <v>525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526</v>
      </c>
      <c r="B204" s="1" t="s">
        <v>527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528</v>
      </c>
      <c r="B205" s="1" t="s">
        <v>529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530</v>
      </c>
      <c r="B206" s="1" t="s">
        <v>531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532</v>
      </c>
      <c r="B207" s="1" t="s">
        <v>533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534</v>
      </c>
      <c r="B208" s="1" t="s">
        <v>535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536</v>
      </c>
      <c r="B209" s="1" t="s">
        <v>537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538</v>
      </c>
      <c r="B210" s="1" t="s">
        <v>539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540</v>
      </c>
      <c r="B211" s="1" t="s">
        <v>541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542</v>
      </c>
      <c r="B212" s="1" t="s">
        <v>543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544</v>
      </c>
      <c r="B213" s="1" t="s">
        <v>545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546</v>
      </c>
      <c r="B214" s="1" t="s">
        <v>547</v>
      </c>
      <c r="C214" s="1">
        <v>-36.426389</v>
      </c>
      <c r="D214" s="1">
        <v>150.076111</v>
      </c>
      <c r="E214" s="1" t="str">
        <f>RIGHT(Airports[[#This Row],[ICAO]],3)</f>
        <v>BMG</v>
      </c>
      <c r="G214" s="10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548</v>
      </c>
      <c r="B215" s="1" t="s">
        <v>549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550</v>
      </c>
      <c r="B216" s="1" t="s">
        <v>551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552</v>
      </c>
      <c r="B217" s="1" t="s">
        <v>553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554</v>
      </c>
      <c r="B218" s="1" t="s">
        <v>555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556</v>
      </c>
      <c r="B219" s="1" t="s">
        <v>557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558</v>
      </c>
      <c r="B220" s="1" t="s">
        <v>559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560</v>
      </c>
      <c r="B221" s="1" t="s">
        <v>561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562</v>
      </c>
      <c r="B222" s="1" t="s">
        <v>563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564</v>
      </c>
      <c r="B223" s="1" t="s">
        <v>565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566</v>
      </c>
      <c r="B224" s="1" t="s">
        <v>567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568</v>
      </c>
      <c r="B225" s="1" t="s">
        <v>569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570</v>
      </c>
      <c r="B226" s="1" t="s">
        <v>571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572</v>
      </c>
      <c r="B227" s="1" t="s">
        <v>573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574</v>
      </c>
      <c r="B228" s="1" t="s">
        <v>575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576</v>
      </c>
      <c r="B229" s="1" t="s">
        <v>577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578</v>
      </c>
      <c r="B230" s="1" t="s">
        <v>579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580</v>
      </c>
      <c r="B231" s="1" t="s">
        <v>581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582</v>
      </c>
      <c r="B232" s="1" t="s">
        <v>583</v>
      </c>
      <c r="C232" s="1">
        <v>-31.206944</v>
      </c>
      <c r="D232" s="1">
        <v>120.318889</v>
      </c>
      <c r="E232" s="1" t="str">
        <f>RIGHT(Airports[[#This Row],[ICAO]],3)</f>
        <v>BOB</v>
      </c>
      <c r="G232" s="10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584</v>
      </c>
      <c r="B233" s="1" t="s">
        <v>585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586</v>
      </c>
      <c r="B234" s="1" t="s">
        <v>587</v>
      </c>
      <c r="C234" s="1">
        <v>-9.233333</v>
      </c>
      <c r="D234" s="1">
        <v>142.216667</v>
      </c>
      <c r="E234" s="1" t="str">
        <f>RIGHT(Airports[[#This Row],[ICAO]],3)</f>
        <v>BOI</v>
      </c>
      <c r="G234" s="10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588</v>
      </c>
      <c r="B235" s="1" t="s">
        <v>589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590</v>
      </c>
      <c r="B236" s="1" t="s">
        <v>591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592</v>
      </c>
      <c r="B237" s="1" t="s">
        <v>593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594</v>
      </c>
      <c r="B238" s="1" t="s">
        <v>595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596</v>
      </c>
      <c r="B239" s="1" t="s">
        <v>597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598</v>
      </c>
      <c r="B240" s="1" t="s">
        <v>599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600</v>
      </c>
      <c r="B241" s="1" t="s">
        <v>601</v>
      </c>
      <c r="C241" s="1">
        <v>-18.116667</v>
      </c>
      <c r="D241" s="1">
        <v>125.65</v>
      </c>
      <c r="E241" s="1" t="str">
        <f>RIGHT(Airports[[#This Row],[ICAO]],3)</f>
        <v>BOS</v>
      </c>
      <c r="G241" s="10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602</v>
      </c>
      <c r="B242" s="1" t="s">
        <v>603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604</v>
      </c>
      <c r="B243" s="1" t="s">
        <v>605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606</v>
      </c>
      <c r="B244" s="1" t="s">
        <v>607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608</v>
      </c>
      <c r="B245" s="1" t="s">
        <v>609</v>
      </c>
      <c r="C245" s="1">
        <v>-27.75</v>
      </c>
      <c r="D245" s="1">
        <v>119.9</v>
      </c>
      <c r="E245" s="1" t="str">
        <f>RIGHT(Airports[[#This Row],[ICAO]],3)</f>
        <v>BOY</v>
      </c>
      <c r="G245" s="10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610</v>
      </c>
      <c r="B246" s="1" t="s">
        <v>611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612</v>
      </c>
      <c r="B247" s="1" t="s">
        <v>613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614</v>
      </c>
      <c r="B248" s="1" t="s">
        <v>615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616</v>
      </c>
      <c r="B249" s="1" t="s">
        <v>617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618</v>
      </c>
      <c r="B250" s="1" t="s">
        <v>619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620</v>
      </c>
      <c r="B251" s="1" t="s">
        <v>621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622</v>
      </c>
      <c r="B252" s="1" t="s">
        <v>623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624</v>
      </c>
      <c r="B253" s="1" t="s">
        <v>625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626</v>
      </c>
      <c r="B254" s="1" t="s">
        <v>627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628</v>
      </c>
      <c r="B255" s="1" t="s">
        <v>629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630</v>
      </c>
      <c r="B256" s="1" t="s">
        <v>631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632</v>
      </c>
      <c r="B257" s="1" t="s">
        <v>633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634</v>
      </c>
      <c r="B258" s="1" t="s">
        <v>635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636</v>
      </c>
      <c r="B259" s="1" t="s">
        <v>637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638</v>
      </c>
      <c r="B260" s="1" t="s">
        <v>639</v>
      </c>
      <c r="C260" s="1">
        <v>-17.949444</v>
      </c>
      <c r="D260" s="1">
        <v>122.227778</v>
      </c>
      <c r="E260" s="1" t="str">
        <f>RIGHT(Airports[[#This Row],[ICAO]],3)</f>
        <v>BRM</v>
      </c>
      <c r="G260" s="10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640</v>
      </c>
      <c r="B261" s="1" t="s">
        <v>641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642</v>
      </c>
      <c r="B262" s="1" t="s">
        <v>643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644</v>
      </c>
      <c r="B263" s="1" t="s">
        <v>645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646</v>
      </c>
      <c r="B264" s="1" t="s">
        <v>647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648</v>
      </c>
      <c r="B265" s="1" t="s">
        <v>649</v>
      </c>
      <c r="C265" s="1">
        <v>-29.973889</v>
      </c>
      <c r="D265" s="1">
        <v>146.816667</v>
      </c>
      <c r="E265" s="1" t="str">
        <f>RIGHT(Airports[[#This Row],[ICAO]],3)</f>
        <v>BRW</v>
      </c>
      <c r="G265" s="10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650</v>
      </c>
      <c r="B266" s="1" t="s">
        <v>651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652</v>
      </c>
      <c r="B267" s="1" t="s">
        <v>653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654</v>
      </c>
      <c r="B268" s="1" t="s">
        <v>655</v>
      </c>
      <c r="C268" s="1">
        <v>-22.5</v>
      </c>
      <c r="D268" s="1">
        <v>146.933333</v>
      </c>
      <c r="E268" s="1" t="str">
        <f>RIGHT(Airports[[#This Row],[ICAO]],3)</f>
        <v>BSF</v>
      </c>
      <c r="G268" s="10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656</v>
      </c>
      <c r="B269" s="1" t="s">
        <v>657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658</v>
      </c>
      <c r="B270" s="1" t="s">
        <v>659</v>
      </c>
      <c r="C270" s="1">
        <v>-19.724722</v>
      </c>
      <c r="D270" s="1">
        <v>150.424722</v>
      </c>
      <c r="E270" s="1" t="str">
        <f>RIGHT(Airports[[#This Row],[ICAO]],3)</f>
        <v>BSM</v>
      </c>
      <c r="G270" s="10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660</v>
      </c>
      <c r="B271" s="1" t="s">
        <v>661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662</v>
      </c>
      <c r="B272" s="1" t="s">
        <v>663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664</v>
      </c>
      <c r="B273" s="1" t="s">
        <v>665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666</v>
      </c>
      <c r="B274" s="1" t="s">
        <v>667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668</v>
      </c>
      <c r="B275" s="1" t="s">
        <v>669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670</v>
      </c>
      <c r="B276" s="1" t="s">
        <v>671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672</v>
      </c>
      <c r="B277" s="1" t="s">
        <v>673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674</v>
      </c>
      <c r="B278" s="1" t="s">
        <v>675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676</v>
      </c>
      <c r="B279" s="1" t="s">
        <v>677</v>
      </c>
      <c r="C279" s="1">
        <v>-23.35</v>
      </c>
      <c r="D279" s="1">
        <v>141.533333</v>
      </c>
      <c r="E279" s="1" t="str">
        <f>RIGHT(Airports[[#This Row],[ICAO]],3)</f>
        <v>BTD</v>
      </c>
      <c r="G279" s="10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678</v>
      </c>
      <c r="B280" s="1" t="s">
        <v>679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680</v>
      </c>
      <c r="B281" s="1" t="s">
        <v>681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682</v>
      </c>
      <c r="B282" s="1" t="s">
        <v>683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684</v>
      </c>
      <c r="B283" s="1" t="s">
        <v>685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686</v>
      </c>
      <c r="B284" s="1" t="s">
        <v>687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688</v>
      </c>
      <c r="B285" s="1" t="s">
        <v>689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690</v>
      </c>
      <c r="B286" s="1" t="s">
        <v>691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692</v>
      </c>
      <c r="B287" s="1" t="s">
        <v>693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694</v>
      </c>
      <c r="B288" s="1" t="s">
        <v>695</v>
      </c>
      <c r="C288" s="1">
        <v>-18.711389</v>
      </c>
      <c r="D288" s="1">
        <v>134.078889</v>
      </c>
      <c r="E288" s="1" t="str">
        <f>RIGHT(Airports[[#This Row],[ICAO]],3)</f>
        <v>BTU</v>
      </c>
      <c r="G288" s="10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696</v>
      </c>
      <c r="B289" s="1" t="s">
        <v>697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698</v>
      </c>
      <c r="B290" s="1" t="s">
        <v>699</v>
      </c>
      <c r="C290" s="1">
        <v>-21.083333</v>
      </c>
      <c r="D290" s="1">
        <v>140.25</v>
      </c>
      <c r="E290" s="1" t="str">
        <f>RIGHT(Airports[[#This Row],[ICAO]],3)</f>
        <v>BTX</v>
      </c>
      <c r="G290" s="10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700</v>
      </c>
      <c r="B291" s="1" t="s">
        <v>701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702</v>
      </c>
      <c r="B292" s="1" t="s">
        <v>703</v>
      </c>
      <c r="C292" s="1">
        <v>-28.489722</v>
      </c>
      <c r="D292" s="1">
        <v>119.746944</v>
      </c>
      <c r="E292" s="1" t="str">
        <f>RIGHT(Airports[[#This Row],[ICAO]],3)</f>
        <v>BUG</v>
      </c>
      <c r="G292" s="10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704</v>
      </c>
      <c r="B293" s="1" t="s">
        <v>705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706</v>
      </c>
      <c r="B294" s="1" t="s">
        <v>707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708</v>
      </c>
      <c r="B295" s="1" t="s">
        <v>709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710</v>
      </c>
      <c r="B296" s="1" t="s">
        <v>711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712</v>
      </c>
      <c r="B297" s="1" t="s">
        <v>713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714</v>
      </c>
      <c r="B298" s="1" t="s">
        <v>715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716</v>
      </c>
      <c r="B299" s="1" t="s">
        <v>717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718</v>
      </c>
      <c r="B300" s="1" t="s">
        <v>719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720</v>
      </c>
      <c r="B301" s="1" t="s">
        <v>721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722</v>
      </c>
      <c r="B302" s="1" t="s">
        <v>723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724</v>
      </c>
      <c r="B303" s="1" t="s">
        <v>539</v>
      </c>
      <c r="C303" s="1">
        <v>-16.516389</v>
      </c>
      <c r="D303" s="1">
        <v>144.183333</v>
      </c>
      <c r="E303" s="1" t="str">
        <f>RIGHT(Airports[[#This Row],[ICAO]],3)</f>
        <v>BVE</v>
      </c>
      <c r="G303" s="10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725</v>
      </c>
      <c r="B304" s="1" t="s">
        <v>726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727</v>
      </c>
      <c r="B305" s="1" t="s">
        <v>728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729</v>
      </c>
      <c r="B306" s="1" t="s">
        <v>730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731</v>
      </c>
      <c r="B307" s="1" t="s">
        <v>732</v>
      </c>
      <c r="C307" s="1">
        <v>-20.6</v>
      </c>
      <c r="D307" s="1">
        <v>147.083056</v>
      </c>
      <c r="E307" s="1" t="str">
        <f>RIGHT(Airports[[#This Row],[ICAO]],3)</f>
        <v>BWI</v>
      </c>
      <c r="G307" s="10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733</v>
      </c>
      <c r="B308" s="1" t="s">
        <v>734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735</v>
      </c>
      <c r="B309" s="1" t="s">
        <v>736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737</v>
      </c>
      <c r="B310" s="1" t="s">
        <v>738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739</v>
      </c>
      <c r="B311" s="1" t="s">
        <v>740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741</v>
      </c>
      <c r="B312" s="1" t="s">
        <v>742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743</v>
      </c>
      <c r="B313" s="1" t="s">
        <v>744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745</v>
      </c>
      <c r="B314" s="1" t="s">
        <v>746</v>
      </c>
      <c r="C314" s="1">
        <v>-14.1</v>
      </c>
      <c r="D314" s="1">
        <v>123.5</v>
      </c>
      <c r="E314" s="1" t="str">
        <f>RIGHT(Airports[[#This Row],[ICAO]],3)</f>
        <v>BWS</v>
      </c>
      <c r="G314" s="10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747</v>
      </c>
      <c r="B315" s="1" t="s">
        <v>748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749</v>
      </c>
      <c r="B316" s="1" t="s">
        <v>750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751</v>
      </c>
      <c r="B317" s="1" t="s">
        <v>752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753</v>
      </c>
      <c r="B318" s="1" t="s">
        <v>754</v>
      </c>
      <c r="C318" s="1">
        <v>-22.266389</v>
      </c>
      <c r="D318" s="1">
        <v>119.883056</v>
      </c>
      <c r="E318" s="1" t="str">
        <f>RIGHT(Airports[[#This Row],[ICAO]],3)</f>
        <v>BYD</v>
      </c>
      <c r="G318" s="10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755</v>
      </c>
      <c r="B319" s="1" t="s">
        <v>756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757</v>
      </c>
      <c r="B320" s="1" t="s">
        <v>758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759</v>
      </c>
      <c r="B321" s="1" t="s">
        <v>760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761</v>
      </c>
      <c r="B322" s="1" t="s">
        <v>762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763</v>
      </c>
      <c r="B323" s="1" t="s">
        <v>764</v>
      </c>
      <c r="C323" s="1">
        <v>-11.07</v>
      </c>
      <c r="D323" s="1">
        <v>126.613333</v>
      </c>
      <c r="E323" s="1" t="str">
        <f>RIGHT(Airports[[#This Row],[ICAO]],3)</f>
        <v>BYU</v>
      </c>
      <c r="G323" s="10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765</v>
      </c>
      <c r="B324" s="1" t="s">
        <v>766</v>
      </c>
      <c r="C324" s="1">
        <v>-25.45</v>
      </c>
      <c r="D324" s="1">
        <v>145.583056</v>
      </c>
      <c r="E324" s="1" t="str">
        <f>RIGHT(Airports[[#This Row],[ICAO]],3)</f>
        <v>BYW</v>
      </c>
      <c r="G324" s="10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767</v>
      </c>
      <c r="B325" s="1" t="s">
        <v>768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769</v>
      </c>
      <c r="B326" s="1" t="s">
        <v>770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771</v>
      </c>
      <c r="B327" s="1" t="s">
        <v>772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773</v>
      </c>
      <c r="B328" s="1" t="s">
        <v>774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775</v>
      </c>
      <c r="B329" s="1" t="s">
        <v>776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777</v>
      </c>
      <c r="B330" s="1" t="s">
        <v>778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779</v>
      </c>
      <c r="B331" s="1" t="s">
        <v>780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781</v>
      </c>
      <c r="B332" s="1" t="s">
        <v>782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783</v>
      </c>
      <c r="B333" s="1" t="s">
        <v>784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785</v>
      </c>
      <c r="B334" s="1" t="s">
        <v>786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787</v>
      </c>
      <c r="B335" s="1" t="s">
        <v>788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789</v>
      </c>
      <c r="B336" s="1" t="s">
        <v>790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791</v>
      </c>
      <c r="B337" s="1" t="s">
        <v>792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793</v>
      </c>
      <c r="B338" s="1" t="s">
        <v>794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795</v>
      </c>
      <c r="B339" s="1" t="s">
        <v>796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797</v>
      </c>
      <c r="B340" s="1" t="s">
        <v>798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799</v>
      </c>
      <c r="B341" s="1" t="s">
        <v>800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801</v>
      </c>
      <c r="B342" s="1" t="s">
        <v>802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803</v>
      </c>
      <c r="B343" s="1" t="s">
        <v>804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805</v>
      </c>
      <c r="B344" s="1" t="s">
        <v>806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807</v>
      </c>
      <c r="B345" s="1" t="s">
        <v>808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809</v>
      </c>
      <c r="B346" s="1" t="s">
        <v>810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811</v>
      </c>
      <c r="B347" s="1" t="s">
        <v>812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813</v>
      </c>
      <c r="B348" s="1" t="s">
        <v>814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815</v>
      </c>
      <c r="B349" s="1" t="s">
        <v>816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817</v>
      </c>
      <c r="B350" s="1" t="s">
        <v>818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819</v>
      </c>
      <c r="B351" s="1" t="s">
        <v>820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821</v>
      </c>
      <c r="B352" s="1" t="s">
        <v>822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823</v>
      </c>
      <c r="B353" s="1" t="s">
        <v>824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825</v>
      </c>
      <c r="B354" s="1" t="s">
        <v>826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827</v>
      </c>
      <c r="B355" s="1" t="s">
        <v>828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829</v>
      </c>
      <c r="B356" s="1" t="s">
        <v>830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831</v>
      </c>
      <c r="B357" s="1" t="s">
        <v>832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833</v>
      </c>
      <c r="B358" s="1" t="s">
        <v>834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835</v>
      </c>
      <c r="B359" s="1" t="s">
        <v>836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837</v>
      </c>
      <c r="B360" s="1" t="s">
        <v>838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839</v>
      </c>
      <c r="B361" s="1" t="s">
        <v>840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841</v>
      </c>
      <c r="B362" s="1" t="s">
        <v>842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843</v>
      </c>
      <c r="B363" s="1" t="s">
        <v>844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845</v>
      </c>
      <c r="B364" s="1" t="s">
        <v>846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847</v>
      </c>
      <c r="B365" s="1" t="s">
        <v>848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849</v>
      </c>
      <c r="B366" s="1" t="s">
        <v>850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851</v>
      </c>
      <c r="B367" s="1" t="s">
        <v>852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853</v>
      </c>
      <c r="B368" s="1" t="s">
        <v>854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855</v>
      </c>
      <c r="B369" s="1" t="s">
        <v>856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857</v>
      </c>
      <c r="B370" s="1" t="s">
        <v>858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859</v>
      </c>
      <c r="B371" s="1" t="s">
        <v>860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861</v>
      </c>
      <c r="B372" s="1" t="s">
        <v>862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863</v>
      </c>
      <c r="B373" s="1" t="s">
        <v>864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865</v>
      </c>
      <c r="B374" s="1" t="s">
        <v>866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867</v>
      </c>
      <c r="B375" s="1" t="s">
        <v>868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869</v>
      </c>
      <c r="B376" s="1" t="s">
        <v>870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871</v>
      </c>
      <c r="B377" s="1" t="s">
        <v>872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873</v>
      </c>
      <c r="B378" s="1" t="s">
        <v>874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875</v>
      </c>
      <c r="B379" s="1" t="s">
        <v>876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877</v>
      </c>
      <c r="B380" s="1" t="s">
        <v>878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879</v>
      </c>
      <c r="B381" s="1" t="s">
        <v>880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881</v>
      </c>
      <c r="B382" s="1" t="s">
        <v>882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883</v>
      </c>
      <c r="B383" s="1" t="s">
        <v>884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885</v>
      </c>
      <c r="B384" s="1" t="s">
        <v>886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887</v>
      </c>
      <c r="B385" s="1" t="s">
        <v>888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889</v>
      </c>
      <c r="B386" s="1" t="s">
        <v>890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891</v>
      </c>
      <c r="B387" s="1" t="s">
        <v>892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893</v>
      </c>
      <c r="B388" s="1" t="s">
        <v>894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895</v>
      </c>
      <c r="B389" s="1" t="s">
        <v>896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897</v>
      </c>
      <c r="B390" s="1" t="s">
        <v>898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899</v>
      </c>
      <c r="B391" s="1" t="s">
        <v>900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901</v>
      </c>
      <c r="B392" s="1" t="s">
        <v>902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903</v>
      </c>
      <c r="B393" s="1" t="s">
        <v>904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905</v>
      </c>
      <c r="B394" s="1" t="s">
        <v>906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907</v>
      </c>
      <c r="B395" s="1" t="s">
        <v>908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909</v>
      </c>
      <c r="B396" s="1" t="s">
        <v>910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911</v>
      </c>
      <c r="B397" s="1" t="s">
        <v>912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913</v>
      </c>
      <c r="B398" s="1" t="s">
        <v>914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915</v>
      </c>
      <c r="B399" s="1" t="s">
        <v>916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917</v>
      </c>
      <c r="B400" s="1" t="s">
        <v>918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919</v>
      </c>
      <c r="B401" s="1" t="s">
        <v>920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921</v>
      </c>
      <c r="B402" s="1" t="s">
        <v>922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923</v>
      </c>
      <c r="B403" s="1" t="s">
        <v>924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925</v>
      </c>
      <c r="B404" s="1" t="s">
        <v>926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927</v>
      </c>
      <c r="B405" s="1" t="s">
        <v>928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929</v>
      </c>
      <c r="B406" s="1" t="s">
        <v>930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931</v>
      </c>
      <c r="B407" s="1" t="s">
        <v>932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933</v>
      </c>
      <c r="B408" s="1" t="s">
        <v>934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935</v>
      </c>
      <c r="B409" s="1" t="s">
        <v>936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937</v>
      </c>
      <c r="B410" s="1" t="s">
        <v>938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939</v>
      </c>
      <c r="B411" s="1" t="s">
        <v>940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941</v>
      </c>
      <c r="B412" s="1" t="s">
        <v>942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943</v>
      </c>
      <c r="B413" s="1" t="s">
        <v>944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945</v>
      </c>
      <c r="B414" s="1" t="s">
        <v>946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947</v>
      </c>
      <c r="B415" s="1" t="s">
        <v>948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949</v>
      </c>
      <c r="B416" s="1" t="s">
        <v>950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951</v>
      </c>
      <c r="B417" s="1" t="s">
        <v>952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953</v>
      </c>
      <c r="B418" s="1" t="s">
        <v>954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955</v>
      </c>
      <c r="B419" s="1" t="s">
        <v>956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957</v>
      </c>
      <c r="B420" s="1" t="s">
        <v>958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959</v>
      </c>
      <c r="B421" s="1" t="s">
        <v>960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961</v>
      </c>
      <c r="B422" s="1" t="s">
        <v>962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963</v>
      </c>
      <c r="B423" s="1" t="s">
        <v>964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965</v>
      </c>
      <c r="B424" s="1" t="s">
        <v>966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967</v>
      </c>
      <c r="B425" s="1" t="s">
        <v>968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969</v>
      </c>
      <c r="B426" s="1" t="s">
        <v>970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971</v>
      </c>
      <c r="B427" s="1" t="s">
        <v>972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973</v>
      </c>
      <c r="B428" s="1" t="s">
        <v>974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975</v>
      </c>
      <c r="B429" s="1" t="s">
        <v>976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977</v>
      </c>
      <c r="B430" s="1" t="s">
        <v>978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979</v>
      </c>
      <c r="B431" s="1" t="s">
        <v>980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981</v>
      </c>
      <c r="B432" s="1" t="s">
        <v>982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983</v>
      </c>
      <c r="B433" s="1" t="s">
        <v>984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985</v>
      </c>
      <c r="B434" s="1" t="s">
        <v>986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987</v>
      </c>
      <c r="B435" s="1" t="s">
        <v>988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989</v>
      </c>
      <c r="B436" s="1" t="s">
        <v>990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991</v>
      </c>
      <c r="B437" s="1" t="s">
        <v>992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993</v>
      </c>
      <c r="B438" s="1" t="s">
        <v>994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995</v>
      </c>
      <c r="B439" s="1" t="s">
        <v>996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997</v>
      </c>
      <c r="B440" s="1" t="s">
        <v>998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999</v>
      </c>
      <c r="B441" s="1" t="s">
        <v>1000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1001</v>
      </c>
      <c r="B442" s="1" t="s">
        <v>1002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1003</v>
      </c>
      <c r="B443" s="1" t="s">
        <v>1004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1005</v>
      </c>
      <c r="B444" s="1" t="s">
        <v>1006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1007</v>
      </c>
      <c r="B445" s="1" t="s">
        <v>1008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1009</v>
      </c>
      <c r="B446" s="1" t="s">
        <v>1010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1011</v>
      </c>
      <c r="B447" s="1" t="s">
        <v>1012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1013</v>
      </c>
      <c r="B448" s="1" t="s">
        <v>1014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1015</v>
      </c>
      <c r="B449" s="1" t="s">
        <v>1016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1017</v>
      </c>
      <c r="B450" s="1" t="s">
        <v>1018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1019</v>
      </c>
      <c r="B451" s="1" t="s">
        <v>1020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1021</v>
      </c>
      <c r="B452" s="1" t="s">
        <v>1022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1023</v>
      </c>
      <c r="B453" s="1" t="s">
        <v>1024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1025</v>
      </c>
      <c r="B454" s="1" t="s">
        <v>1026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1027</v>
      </c>
      <c r="B455" s="1" t="s">
        <v>1028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1029</v>
      </c>
      <c r="B456" s="1" t="s">
        <v>1030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1031</v>
      </c>
      <c r="B457" s="1" t="s">
        <v>1032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1033</v>
      </c>
      <c r="B458" s="1" t="s">
        <v>1034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1035</v>
      </c>
      <c r="B459" s="1" t="s">
        <v>1036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1037</v>
      </c>
      <c r="B460" s="1" t="s">
        <v>1038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1039</v>
      </c>
      <c r="B461" s="1" t="s">
        <v>1040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1041</v>
      </c>
      <c r="B462" s="1" t="s">
        <v>1042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1043</v>
      </c>
      <c r="B463" s="1" t="s">
        <v>1044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1045</v>
      </c>
      <c r="B464" s="1" t="s">
        <v>1046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1047</v>
      </c>
      <c r="B465" s="1" t="s">
        <v>1048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1049</v>
      </c>
      <c r="B466" s="1" t="s">
        <v>1050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1051</v>
      </c>
      <c r="B467" s="1" t="s">
        <v>1052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1053</v>
      </c>
      <c r="B468" s="1" t="s">
        <v>1054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1055</v>
      </c>
      <c r="B469" s="1" t="s">
        <v>1056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1057</v>
      </c>
      <c r="B470" s="1" t="s">
        <v>1058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1059</v>
      </c>
      <c r="B471" s="1" t="s">
        <v>1060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1061</v>
      </c>
      <c r="B472" s="1" t="s">
        <v>1062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1063</v>
      </c>
      <c r="B473" s="1" t="s">
        <v>1064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1065</v>
      </c>
      <c r="B474" s="1" t="s">
        <v>1066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1067</v>
      </c>
      <c r="B475" s="1" t="s">
        <v>1068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1069</v>
      </c>
      <c r="B476" s="1" t="s">
        <v>1070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1071</v>
      </c>
      <c r="B477" s="1" t="s">
        <v>1072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1073</v>
      </c>
      <c r="B478" s="1" t="s">
        <v>1074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1075</v>
      </c>
      <c r="B479" s="1" t="s">
        <v>1076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1077</v>
      </c>
      <c r="B480" s="1" t="s">
        <v>1078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1079</v>
      </c>
      <c r="B481" s="1" t="s">
        <v>1080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1081</v>
      </c>
      <c r="B482" s="1" t="s">
        <v>1082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1083</v>
      </c>
      <c r="B483" s="1" t="s">
        <v>1084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1085</v>
      </c>
      <c r="B484" s="1" t="s">
        <v>1086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1087</v>
      </c>
      <c r="B485" s="1" t="s">
        <v>1088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1089</v>
      </c>
      <c r="B486" s="1" t="s">
        <v>1090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1091</v>
      </c>
      <c r="B487" s="1" t="s">
        <v>1092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1093</v>
      </c>
      <c r="B488" s="1" t="s">
        <v>1094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1095</v>
      </c>
      <c r="B489" s="1" t="s">
        <v>1096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1097</v>
      </c>
      <c r="B490" s="1" t="s">
        <v>1098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1099</v>
      </c>
      <c r="B491" s="1" t="s">
        <v>1100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1101</v>
      </c>
      <c r="B492" s="1" t="s">
        <v>1102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1103</v>
      </c>
      <c r="B493" s="1" t="s">
        <v>1104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1105</v>
      </c>
      <c r="B494" s="1" t="s">
        <v>1106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1107</v>
      </c>
      <c r="B495" s="1" t="s">
        <v>1108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1109</v>
      </c>
      <c r="B496" s="1" t="s">
        <v>1110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1111</v>
      </c>
      <c r="B497" s="1" t="s">
        <v>1112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1113</v>
      </c>
      <c r="B498" s="1" t="s">
        <v>1114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1115</v>
      </c>
      <c r="B499" s="1" t="s">
        <v>1116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1117</v>
      </c>
      <c r="B500" s="1" t="s">
        <v>1118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1119</v>
      </c>
      <c r="B501" s="1" t="s">
        <v>1120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1121</v>
      </c>
      <c r="B502" s="1" t="s">
        <v>1122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1123</v>
      </c>
      <c r="B503" s="1" t="s">
        <v>1124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1125</v>
      </c>
      <c r="B504" s="1" t="s">
        <v>1126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1127</v>
      </c>
      <c r="B505" s="1" t="s">
        <v>1128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1129</v>
      </c>
      <c r="B506" s="1" t="s">
        <v>1130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1131</v>
      </c>
      <c r="B507" s="1" t="s">
        <v>1132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1133</v>
      </c>
      <c r="B508" s="1" t="s">
        <v>1134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1135</v>
      </c>
      <c r="B509" s="1" t="s">
        <v>1136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1137</v>
      </c>
      <c r="B510" s="1" t="s">
        <v>1138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1139</v>
      </c>
      <c r="B511" s="1" t="s">
        <v>1140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1141</v>
      </c>
      <c r="B512" s="1" t="s">
        <v>1142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1143</v>
      </c>
      <c r="B513" s="1" t="s">
        <v>1144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1145</v>
      </c>
      <c r="B514" s="1" t="s">
        <v>1146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1147</v>
      </c>
      <c r="B515" s="1" t="s">
        <v>1148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1149</v>
      </c>
      <c r="B516" s="1" t="s">
        <v>1150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1151</v>
      </c>
      <c r="B517" s="1" t="s">
        <v>1152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1153</v>
      </c>
      <c r="B518" s="1" t="s">
        <v>1154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1155</v>
      </c>
      <c r="B519" s="1" t="s">
        <v>1156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1157</v>
      </c>
      <c r="B520" s="1" t="s">
        <v>1158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1159</v>
      </c>
      <c r="B521" s="1" t="s">
        <v>1160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1161</v>
      </c>
      <c r="B522" s="1" t="s">
        <v>1162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1163</v>
      </c>
      <c r="B523" s="1" t="s">
        <v>1164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1165</v>
      </c>
      <c r="B524" s="1" t="s">
        <v>1166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1167</v>
      </c>
      <c r="B525" s="1" t="s">
        <v>1168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1169</v>
      </c>
      <c r="B526" s="1" t="s">
        <v>1170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1171</v>
      </c>
      <c r="B527" s="1" t="s">
        <v>1172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1173</v>
      </c>
      <c r="B528" s="1" t="s">
        <v>1174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1175</v>
      </c>
      <c r="B529" s="1" t="s">
        <v>1176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1177</v>
      </c>
      <c r="B530" s="1" t="s">
        <v>1178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1179</v>
      </c>
      <c r="B531" s="1" t="s">
        <v>1180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1181</v>
      </c>
      <c r="B532" s="1" t="s">
        <v>1182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1183</v>
      </c>
      <c r="B533" s="1" t="s">
        <v>1184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1185</v>
      </c>
      <c r="B534" s="1" t="s">
        <v>1186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1187</v>
      </c>
      <c r="B535" s="1" t="s">
        <v>1188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1189</v>
      </c>
      <c r="B536" s="1" t="s">
        <v>1190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1191</v>
      </c>
      <c r="B537" s="1" t="s">
        <v>1192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1193</v>
      </c>
      <c r="B538" s="1" t="s">
        <v>1194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1195</v>
      </c>
      <c r="B539" s="1" t="s">
        <v>1196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1197</v>
      </c>
      <c r="B540" s="1" t="s">
        <v>1198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1199</v>
      </c>
      <c r="B541" s="1" t="s">
        <v>1200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1201</v>
      </c>
      <c r="B542" s="1" t="s">
        <v>1202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1203</v>
      </c>
      <c r="B543" s="1" t="s">
        <v>1204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1205</v>
      </c>
      <c r="B544" s="1" t="s">
        <v>1206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1207</v>
      </c>
      <c r="B545" s="1" t="s">
        <v>1208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1209</v>
      </c>
      <c r="B546" s="1" t="s">
        <v>1210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1211</v>
      </c>
      <c r="B547" s="1" t="s">
        <v>1212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1213</v>
      </c>
      <c r="B548" s="1" t="s">
        <v>1214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1215</v>
      </c>
      <c r="B549" s="1" t="s">
        <v>1216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1217</v>
      </c>
      <c r="B550" s="1" t="s">
        <v>1218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1219</v>
      </c>
      <c r="B551" s="1" t="s">
        <v>1220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1221</v>
      </c>
      <c r="B552" s="1" t="s">
        <v>1222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1223</v>
      </c>
      <c r="B553" s="1" t="s">
        <v>1224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1225</v>
      </c>
      <c r="B554" s="1" t="s">
        <v>1226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1227</v>
      </c>
      <c r="B555" s="1" t="s">
        <v>1228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1229</v>
      </c>
      <c r="B556" s="1" t="s">
        <v>1230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1231</v>
      </c>
      <c r="B557" s="1" t="s">
        <v>1232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1233</v>
      </c>
      <c r="B558" s="1" t="s">
        <v>1234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1235</v>
      </c>
      <c r="B559" s="1" t="s">
        <v>1236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1237</v>
      </c>
      <c r="B560" s="1" t="s">
        <v>1238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1239</v>
      </c>
      <c r="B561" s="1" t="s">
        <v>1240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1241</v>
      </c>
      <c r="B562" s="1" t="s">
        <v>1242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1243</v>
      </c>
      <c r="B563" s="1" t="s">
        <v>1244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1245</v>
      </c>
      <c r="B564" s="1" t="s">
        <v>1246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1247</v>
      </c>
      <c r="B565" s="1" t="s">
        <v>1248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1249</v>
      </c>
      <c r="B566" s="1" t="s">
        <v>1250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1251</v>
      </c>
      <c r="B567" s="1" t="s">
        <v>1252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1253</v>
      </c>
      <c r="B568" s="1" t="s">
        <v>1254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1255</v>
      </c>
      <c r="B569" s="1" t="s">
        <v>1256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1257</v>
      </c>
      <c r="B570" s="1" t="s">
        <v>1258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1259</v>
      </c>
      <c r="B571" s="1" t="s">
        <v>1260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1261</v>
      </c>
      <c r="B572" s="1" t="s">
        <v>1262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1263</v>
      </c>
      <c r="B573" s="1" t="s">
        <v>1264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1265</v>
      </c>
      <c r="B574" s="1" t="s">
        <v>1266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1267</v>
      </c>
      <c r="B575" s="1" t="s">
        <v>1268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1269</v>
      </c>
      <c r="B576" s="1" t="s">
        <v>1270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1271</v>
      </c>
      <c r="B577" s="1" t="s">
        <v>1272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1273</v>
      </c>
      <c r="B578" s="1" t="s">
        <v>1274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1275</v>
      </c>
      <c r="B579" s="1" t="s">
        <v>1276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1277</v>
      </c>
      <c r="B580" s="1" t="s">
        <v>1278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1279</v>
      </c>
      <c r="B581" s="1" t="s">
        <v>1280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1281</v>
      </c>
      <c r="B582" s="1" t="s">
        <v>1282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1283</v>
      </c>
      <c r="B583" s="1" t="s">
        <v>1284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1285</v>
      </c>
      <c r="B584" s="1" t="s">
        <v>1286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1287</v>
      </c>
      <c r="B585" s="1" t="s">
        <v>1288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1289</v>
      </c>
      <c r="B586" s="1" t="s">
        <v>1290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1291</v>
      </c>
      <c r="B587" s="1" t="s">
        <v>1292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1293</v>
      </c>
      <c r="B588" s="1" t="s">
        <v>1294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1295</v>
      </c>
      <c r="B589" s="1" t="s">
        <v>1296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1297</v>
      </c>
      <c r="B590" s="1" t="s">
        <v>1298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1299</v>
      </c>
      <c r="B591" s="1" t="s">
        <v>1300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1301</v>
      </c>
      <c r="B592" s="1" t="s">
        <v>1302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1303</v>
      </c>
      <c r="B593" s="1" t="s">
        <v>1304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1305</v>
      </c>
      <c r="B594" s="1" t="s">
        <v>1306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1307</v>
      </c>
      <c r="B595" s="1" t="s">
        <v>1308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1309</v>
      </c>
      <c r="B596" s="1" t="s">
        <v>1310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1311</v>
      </c>
      <c r="B597" s="1" t="s">
        <v>1312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1313</v>
      </c>
      <c r="B598" s="1" t="s">
        <v>1314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1315</v>
      </c>
      <c r="B599" s="1" t="s">
        <v>1316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1317</v>
      </c>
      <c r="B600" s="1" t="s">
        <v>1318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1319</v>
      </c>
      <c r="B601" s="1" t="s">
        <v>1320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1321</v>
      </c>
      <c r="B602" s="1" t="s">
        <v>1322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1323</v>
      </c>
      <c r="B603" s="1" t="s">
        <v>1324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1325</v>
      </c>
      <c r="B604" s="1" t="s">
        <v>1326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1327</v>
      </c>
      <c r="B605" s="1" t="s">
        <v>1328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1329</v>
      </c>
      <c r="B606" s="1" t="s">
        <v>1330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1331</v>
      </c>
      <c r="B607" s="1" t="s">
        <v>1332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1333</v>
      </c>
      <c r="B608" s="1" t="s">
        <v>1334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1335</v>
      </c>
      <c r="B609" s="1" t="s">
        <v>1336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1337</v>
      </c>
      <c r="B610" s="1" t="s">
        <v>1338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1339</v>
      </c>
      <c r="B611" s="1" t="s">
        <v>1340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1341</v>
      </c>
      <c r="B612" s="1" t="s">
        <v>1342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1343</v>
      </c>
      <c r="B613" s="1" t="s">
        <v>1344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1345</v>
      </c>
      <c r="B614" s="1" t="s">
        <v>1346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1347</v>
      </c>
      <c r="B615" s="1" t="s">
        <v>1348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1349</v>
      </c>
      <c r="B616" s="1" t="s">
        <v>1350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1351</v>
      </c>
      <c r="B617" s="1" t="s">
        <v>1352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1353</v>
      </c>
      <c r="B618" s="1" t="s">
        <v>1354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1355</v>
      </c>
      <c r="B619" s="1" t="s">
        <v>1356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1357</v>
      </c>
      <c r="B620" s="1" t="s">
        <v>1358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1359</v>
      </c>
      <c r="B621" s="1" t="s">
        <v>1360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1361</v>
      </c>
      <c r="B622" s="1" t="s">
        <v>1362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1363</v>
      </c>
      <c r="B623" s="1" t="s">
        <v>1364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1365</v>
      </c>
      <c r="B624" s="1" t="s">
        <v>1366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1367</v>
      </c>
      <c r="B625" s="1" t="s">
        <v>1368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1369</v>
      </c>
      <c r="B626" s="1" t="s">
        <v>1370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1371</v>
      </c>
      <c r="B627" s="1" t="s">
        <v>1372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1373</v>
      </c>
      <c r="B628" s="1" t="s">
        <v>1374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1375</v>
      </c>
      <c r="B629" s="1" t="s">
        <v>1376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1377</v>
      </c>
      <c r="B630" s="1" t="s">
        <v>1378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1379</v>
      </c>
      <c r="B631" s="1" t="s">
        <v>1380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1381</v>
      </c>
      <c r="B632" s="1" t="s">
        <v>1382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1383</v>
      </c>
      <c r="B633" s="1" t="s">
        <v>1384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1385</v>
      </c>
      <c r="B634" s="1" t="s">
        <v>1386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1387</v>
      </c>
      <c r="B635" s="1" t="s">
        <v>1388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1389</v>
      </c>
      <c r="B636" s="1" t="s">
        <v>1390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1391</v>
      </c>
      <c r="B637" s="1" t="s">
        <v>1392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1393</v>
      </c>
      <c r="B638" s="1" t="s">
        <v>1394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1395</v>
      </c>
      <c r="B639" s="1" t="s">
        <v>1396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1397</v>
      </c>
      <c r="B640" s="1" t="s">
        <v>1398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1399</v>
      </c>
      <c r="B641" s="1" t="s">
        <v>1400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1401</v>
      </c>
      <c r="B642" s="1" t="s">
        <v>1402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1403</v>
      </c>
      <c r="B643" s="1" t="s">
        <v>1404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1405</v>
      </c>
      <c r="B644" s="1" t="s">
        <v>1406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1407</v>
      </c>
      <c r="B645" s="1" t="s">
        <v>1408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1409</v>
      </c>
      <c r="B646" s="1" t="s">
        <v>1410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1411</v>
      </c>
      <c r="B647" s="1" t="s">
        <v>1412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1413</v>
      </c>
      <c r="B648" s="1" t="s">
        <v>1414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1415</v>
      </c>
      <c r="B649" s="1" t="s">
        <v>1416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1417</v>
      </c>
      <c r="B650" s="1" t="s">
        <v>1418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1419</v>
      </c>
      <c r="B651" s="1" t="s">
        <v>1420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1421</v>
      </c>
      <c r="B652" s="1" t="s">
        <v>1422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1423</v>
      </c>
      <c r="B653" s="1" t="s">
        <v>1424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1425</v>
      </c>
      <c r="B654" s="1" t="s">
        <v>1426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1427</v>
      </c>
      <c r="B655" s="1" t="s">
        <v>1428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1429</v>
      </c>
      <c r="B656" s="1" t="s">
        <v>1430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1431</v>
      </c>
      <c r="B657" s="1" t="s">
        <v>1432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1433</v>
      </c>
      <c r="B658" s="1" t="s">
        <v>1434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1435</v>
      </c>
      <c r="B659" s="1" t="s">
        <v>1436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1437</v>
      </c>
      <c r="B660" s="1" t="s">
        <v>1438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1439</v>
      </c>
      <c r="B661" s="1" t="s">
        <v>1440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1441</v>
      </c>
      <c r="B662" s="1" t="s">
        <v>1442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1443</v>
      </c>
      <c r="B663" s="1" t="s">
        <v>1444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1445</v>
      </c>
      <c r="B664" s="1" t="s">
        <v>1446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1447</v>
      </c>
      <c r="B665" s="1" t="s">
        <v>1448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1449</v>
      </c>
      <c r="B666" s="1" t="s">
        <v>1450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1451</v>
      </c>
      <c r="B667" s="1" t="s">
        <v>1452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1453</v>
      </c>
      <c r="B668" s="1" t="s">
        <v>1454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1455</v>
      </c>
      <c r="B669" s="1" t="s">
        <v>1456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1457</v>
      </c>
      <c r="B670" s="1" t="s">
        <v>1458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1459</v>
      </c>
      <c r="B671" s="1" t="s">
        <v>1460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1461</v>
      </c>
      <c r="B672" s="1" t="s">
        <v>1462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1463</v>
      </c>
      <c r="B673" s="1" t="s">
        <v>1464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1465</v>
      </c>
      <c r="B674" s="1" t="s">
        <v>1466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1467</v>
      </c>
      <c r="B675" s="1" t="s">
        <v>1468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1469</v>
      </c>
      <c r="B676" s="1" t="s">
        <v>1470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1471</v>
      </c>
      <c r="B677" s="1" t="s">
        <v>1472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1473</v>
      </c>
      <c r="B678" s="1" t="s">
        <v>1474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1475</v>
      </c>
      <c r="B679" s="1" t="s">
        <v>1476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1477</v>
      </c>
      <c r="B680" s="1" t="s">
        <v>1478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1479</v>
      </c>
      <c r="B681" s="1" t="s">
        <v>1480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1481</v>
      </c>
      <c r="B682" s="1" t="s">
        <v>1482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1483</v>
      </c>
      <c r="B683" s="1" t="s">
        <v>1484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1485</v>
      </c>
      <c r="B684" s="1" t="s">
        <v>1486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1487</v>
      </c>
      <c r="B685" s="1" t="s">
        <v>1488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1489</v>
      </c>
      <c r="B686" s="1" t="s">
        <v>1490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1491</v>
      </c>
      <c r="B687" s="1" t="s">
        <v>1492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1493</v>
      </c>
      <c r="B688" s="1" t="s">
        <v>1494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1495</v>
      </c>
      <c r="B689" s="1" t="s">
        <v>1496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1497</v>
      </c>
      <c r="B690" s="1" t="s">
        <v>1498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1499</v>
      </c>
      <c r="B691" s="1" t="s">
        <v>1500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1501</v>
      </c>
      <c r="B692" s="1" t="s">
        <v>1502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1503</v>
      </c>
      <c r="B693" s="1" t="s">
        <v>1504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1505</v>
      </c>
      <c r="B694" s="1" t="s">
        <v>1506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1507</v>
      </c>
      <c r="B695" s="1" t="s">
        <v>1508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1509</v>
      </c>
      <c r="B696" s="1" t="s">
        <v>1510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1511</v>
      </c>
      <c r="B697" s="1" t="s">
        <v>1512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1513</v>
      </c>
      <c r="B698" s="1" t="s">
        <v>1514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1515</v>
      </c>
      <c r="B699" s="1" t="s">
        <v>1516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1517</v>
      </c>
      <c r="B700" s="1" t="s">
        <v>1518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1519</v>
      </c>
      <c r="B701" s="1" t="s">
        <v>1520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1521</v>
      </c>
      <c r="B702" s="1" t="s">
        <v>1522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1523</v>
      </c>
      <c r="B703" s="1" t="s">
        <v>1524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1525</v>
      </c>
      <c r="B704" s="1" t="s">
        <v>1526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1527</v>
      </c>
      <c r="B705" s="1" t="s">
        <v>1528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1529</v>
      </c>
      <c r="B706" s="1" t="s">
        <v>1530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1531</v>
      </c>
      <c r="B707" s="1" t="s">
        <v>1532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1533</v>
      </c>
      <c r="B708" s="1" t="s">
        <v>1534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1535</v>
      </c>
      <c r="B709" s="1" t="s">
        <v>1536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1537</v>
      </c>
      <c r="B710" s="1" t="s">
        <v>1538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1539</v>
      </c>
      <c r="B711" s="1" t="s">
        <v>1540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1541</v>
      </c>
      <c r="B712" s="1" t="s">
        <v>1542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1543</v>
      </c>
      <c r="B713" s="1" t="s">
        <v>1544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1545</v>
      </c>
      <c r="B714" s="1" t="s">
        <v>1546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1547</v>
      </c>
      <c r="B715" s="1" t="s">
        <v>1548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1549</v>
      </c>
      <c r="B716" s="1" t="s">
        <v>1550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1551</v>
      </c>
      <c r="B717" s="1" t="s">
        <v>1552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1553</v>
      </c>
      <c r="B718" s="1" t="s">
        <v>1554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1555</v>
      </c>
      <c r="B719" s="1" t="s">
        <v>1556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1557</v>
      </c>
      <c r="B720" s="1" t="s">
        <v>1552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1558</v>
      </c>
      <c r="B721" s="1" t="s">
        <v>1559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1560</v>
      </c>
      <c r="B722" s="1" t="s">
        <v>1561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1562</v>
      </c>
      <c r="B723" s="1" t="s">
        <v>1563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1564</v>
      </c>
      <c r="B724" s="1" t="s">
        <v>1565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1566</v>
      </c>
      <c r="B725" s="1" t="s">
        <v>1567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1568</v>
      </c>
      <c r="B726" s="1" t="s">
        <v>1569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1570</v>
      </c>
      <c r="B727" s="1" t="s">
        <v>1571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1572</v>
      </c>
      <c r="B728" s="1" t="s">
        <v>1573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1574</v>
      </c>
      <c r="B729" s="1" t="s">
        <v>1575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1576</v>
      </c>
      <c r="B730" s="1" t="s">
        <v>1577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1578</v>
      </c>
      <c r="B731" s="1" t="s">
        <v>1579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1580</v>
      </c>
      <c r="B732" s="1" t="s">
        <v>1581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1582</v>
      </c>
      <c r="B733" s="1" t="s">
        <v>1583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1584</v>
      </c>
      <c r="B734" s="1" t="s">
        <v>1585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1586</v>
      </c>
      <c r="B735" s="1" t="s">
        <v>1587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1588</v>
      </c>
      <c r="B736" s="1" t="s">
        <v>1589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1590</v>
      </c>
      <c r="B737" s="1" t="s">
        <v>1591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1592</v>
      </c>
      <c r="B738" s="1" t="s">
        <v>1593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1594</v>
      </c>
      <c r="B739" s="1" t="s">
        <v>1595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1596</v>
      </c>
      <c r="B740" s="1" t="s">
        <v>1597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1598</v>
      </c>
      <c r="B741" s="1" t="s">
        <v>1599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1600</v>
      </c>
      <c r="B742" s="1" t="s">
        <v>1601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1602</v>
      </c>
      <c r="B743" s="1" t="s">
        <v>1603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1604</v>
      </c>
      <c r="B744" s="1" t="s">
        <v>1605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1606</v>
      </c>
      <c r="B745" s="1" t="s">
        <v>1607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1608</v>
      </c>
      <c r="B746" s="1" t="s">
        <v>1609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1610</v>
      </c>
      <c r="B747" s="1" t="s">
        <v>1611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1612</v>
      </c>
      <c r="B748" s="1" t="s">
        <v>1613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1614</v>
      </c>
      <c r="B749" s="1" t="s">
        <v>1615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1616</v>
      </c>
      <c r="B750" s="1" t="s">
        <v>1617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1618</v>
      </c>
      <c r="B751" s="1" t="s">
        <v>1619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1620</v>
      </c>
      <c r="B752" s="1" t="s">
        <v>1621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1622</v>
      </c>
      <c r="B753" s="1" t="s">
        <v>1623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1624</v>
      </c>
      <c r="B754" s="1" t="s">
        <v>1625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1626</v>
      </c>
      <c r="B755" s="1" t="s">
        <v>1627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1628</v>
      </c>
      <c r="B756" s="1" t="s">
        <v>1629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1630</v>
      </c>
      <c r="B757" s="1" t="s">
        <v>1631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1632</v>
      </c>
      <c r="B758" s="1" t="s">
        <v>1633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1634</v>
      </c>
      <c r="B759" s="1" t="s">
        <v>1635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1636</v>
      </c>
      <c r="B760" s="1" t="s">
        <v>1637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1638</v>
      </c>
      <c r="B761" s="1" t="s">
        <v>1639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1640</v>
      </c>
      <c r="B762" s="1" t="s">
        <v>1641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1642</v>
      </c>
      <c r="B763" s="1" t="s">
        <v>1643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1644</v>
      </c>
      <c r="B764" s="1" t="s">
        <v>1645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1646</v>
      </c>
      <c r="B765" s="1" t="s">
        <v>1647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1648</v>
      </c>
      <c r="B766" s="1" t="s">
        <v>1649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1650</v>
      </c>
      <c r="B767" s="1" t="s">
        <v>1651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1652</v>
      </c>
      <c r="B768" s="1" t="s">
        <v>1653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1654</v>
      </c>
      <c r="B769" s="1" t="s">
        <v>1655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1656</v>
      </c>
      <c r="B770" s="1" t="s">
        <v>1657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1658</v>
      </c>
      <c r="B771" s="1" t="s">
        <v>1659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1660</v>
      </c>
      <c r="B772" s="1" t="s">
        <v>1661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1662</v>
      </c>
      <c r="B773" s="1" t="s">
        <v>1663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1664</v>
      </c>
      <c r="B774" s="1" t="s">
        <v>1665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1666</v>
      </c>
      <c r="B775" s="1" t="s">
        <v>1667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1668</v>
      </c>
      <c r="B776" s="1" t="s">
        <v>1669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1670</v>
      </c>
      <c r="B777" s="1" t="s">
        <v>1671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1672</v>
      </c>
      <c r="B778" s="1" t="s">
        <v>1673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1674</v>
      </c>
      <c r="B779" s="1" t="s">
        <v>1675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1676</v>
      </c>
      <c r="B780" s="1" t="s">
        <v>1677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1678</v>
      </c>
      <c r="B781" s="1" t="s">
        <v>1679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1680</v>
      </c>
      <c r="B782" s="1" t="s">
        <v>1681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1682</v>
      </c>
      <c r="B783" s="1" t="s">
        <v>1683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1684</v>
      </c>
      <c r="B784" s="1" t="s">
        <v>1685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1686</v>
      </c>
      <c r="B785" s="1" t="s">
        <v>1687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1688</v>
      </c>
      <c r="B786" s="1" t="s">
        <v>1689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1690</v>
      </c>
      <c r="B787" s="1" t="s">
        <v>1691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1692</v>
      </c>
      <c r="B788" s="1" t="s">
        <v>1693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1694</v>
      </c>
      <c r="B789" s="1" t="s">
        <v>1695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1696</v>
      </c>
      <c r="B790" s="1" t="s">
        <v>1697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1698</v>
      </c>
      <c r="B791" s="1" t="s">
        <v>1699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1700</v>
      </c>
      <c r="B792" s="1" t="s">
        <v>1701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1702</v>
      </c>
      <c r="B793" s="1" t="s">
        <v>1703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1704</v>
      </c>
      <c r="B794" s="1" t="s">
        <v>1705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1706</v>
      </c>
      <c r="B795" s="1" t="s">
        <v>1707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1708</v>
      </c>
      <c r="B796" s="1" t="s">
        <v>1709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1710</v>
      </c>
      <c r="B797" s="1" t="s">
        <v>1711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1712</v>
      </c>
      <c r="B798" s="1" t="s">
        <v>1713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1714</v>
      </c>
      <c r="B799" s="1" t="s">
        <v>1715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1716</v>
      </c>
      <c r="B800" s="1" t="s">
        <v>1717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1718</v>
      </c>
      <c r="B801" s="1" t="s">
        <v>1719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1720</v>
      </c>
      <c r="B802" s="1" t="s">
        <v>1721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1722</v>
      </c>
      <c r="B803" s="1" t="s">
        <v>1723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1724</v>
      </c>
      <c r="B804" s="1" t="s">
        <v>1725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1726</v>
      </c>
      <c r="B805" s="1" t="s">
        <v>1727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1728</v>
      </c>
      <c r="B806" s="1" t="s">
        <v>1729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1730</v>
      </c>
      <c r="B807" s="1" t="s">
        <v>1731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1732</v>
      </c>
      <c r="B808" s="1" t="s">
        <v>1733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1734</v>
      </c>
      <c r="B809" s="1" t="s">
        <v>1735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1736</v>
      </c>
      <c r="B810" s="1" t="s">
        <v>1737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1738</v>
      </c>
      <c r="B811" s="1" t="s">
        <v>1739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1740</v>
      </c>
      <c r="B812" s="1" t="s">
        <v>1741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1742</v>
      </c>
      <c r="B813" s="1" t="s">
        <v>1743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1744</v>
      </c>
      <c r="B814" s="1" t="s">
        <v>1745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1746</v>
      </c>
      <c r="B815" s="1" t="s">
        <v>1747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1748</v>
      </c>
      <c r="B816" s="1" t="s">
        <v>1749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1750</v>
      </c>
      <c r="B817" s="1" t="s">
        <v>1751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1752</v>
      </c>
      <c r="B818" s="1" t="s">
        <v>1753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1754</v>
      </c>
      <c r="B819" s="1" t="s">
        <v>1755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1756</v>
      </c>
      <c r="B820" s="1" t="s">
        <v>1757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1758</v>
      </c>
      <c r="B821" s="1" t="s">
        <v>1759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1760</v>
      </c>
      <c r="B822" s="1" t="s">
        <v>1761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1762</v>
      </c>
      <c r="B823" s="1" t="s">
        <v>1763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1764</v>
      </c>
      <c r="B824" s="1" t="s">
        <v>1765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1766</v>
      </c>
      <c r="B825" s="1" t="s">
        <v>1767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1768</v>
      </c>
      <c r="B826" s="1" t="s">
        <v>1769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1770</v>
      </c>
      <c r="B827" s="1" t="s">
        <v>1771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1772</v>
      </c>
      <c r="B828" s="1" t="s">
        <v>1773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1774</v>
      </c>
      <c r="B829" s="1" t="s">
        <v>1775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1776</v>
      </c>
      <c r="B830" s="1" t="s">
        <v>1777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1778</v>
      </c>
      <c r="B831" s="1" t="s">
        <v>1779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1780</v>
      </c>
      <c r="B832" s="1" t="s">
        <v>1781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1782</v>
      </c>
      <c r="B833" s="1" t="s">
        <v>1783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1784</v>
      </c>
      <c r="B834" s="1" t="s">
        <v>1785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1786</v>
      </c>
      <c r="B835" s="1" t="s">
        <v>1787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1788</v>
      </c>
      <c r="B836" s="1" t="s">
        <v>1789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1790</v>
      </c>
      <c r="B837" s="1" t="s">
        <v>1791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1792</v>
      </c>
      <c r="B838" s="1" t="s">
        <v>1793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1794</v>
      </c>
      <c r="B839" s="1" t="s">
        <v>1795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1796</v>
      </c>
      <c r="B840" s="1" t="s">
        <v>1797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1798</v>
      </c>
      <c r="B841" s="1" t="s">
        <v>1799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1800</v>
      </c>
      <c r="B842" s="1" t="s">
        <v>1801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1802</v>
      </c>
      <c r="B843" s="1" t="s">
        <v>1803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1804</v>
      </c>
      <c r="B844" s="1" t="s">
        <v>1805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1806</v>
      </c>
      <c r="B845" s="1" t="s">
        <v>1807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1808</v>
      </c>
      <c r="B846" s="1" t="s">
        <v>1809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1810</v>
      </c>
      <c r="B847" s="1" t="s">
        <v>1811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1812</v>
      </c>
      <c r="B848" s="1" t="s">
        <v>1813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1814</v>
      </c>
      <c r="B849" s="1" t="s">
        <v>1815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1816</v>
      </c>
      <c r="B850" s="1" t="s">
        <v>1817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1818</v>
      </c>
      <c r="B851" s="1" t="s">
        <v>1819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1820</v>
      </c>
      <c r="B852" s="1" t="s">
        <v>1821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1822</v>
      </c>
      <c r="B853" s="1" t="s">
        <v>1823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1824</v>
      </c>
      <c r="B854" s="1" t="s">
        <v>1825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1826</v>
      </c>
      <c r="B855" s="1" t="s">
        <v>1827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1828</v>
      </c>
      <c r="B856" s="1" t="s">
        <v>1829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1830</v>
      </c>
      <c r="B857" s="1" t="s">
        <v>1831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1832</v>
      </c>
      <c r="B858" s="1" t="s">
        <v>1833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1834</v>
      </c>
      <c r="B859" s="1" t="s">
        <v>1835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1836</v>
      </c>
      <c r="B860" s="1" t="s">
        <v>1837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1838</v>
      </c>
      <c r="B861" s="1" t="s">
        <v>1839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1840</v>
      </c>
      <c r="B862" s="1" t="s">
        <v>1841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1842</v>
      </c>
      <c r="B863" s="1" t="s">
        <v>1843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1844</v>
      </c>
      <c r="B864" s="1" t="s">
        <v>1845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1846</v>
      </c>
      <c r="B865" s="1" t="s">
        <v>1847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1848</v>
      </c>
      <c r="B866" s="1" t="s">
        <v>1849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1850</v>
      </c>
      <c r="B867" s="1" t="s">
        <v>1851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1852</v>
      </c>
      <c r="B868" s="1" t="s">
        <v>1853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1854</v>
      </c>
      <c r="B869" s="1" t="s">
        <v>1855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1856</v>
      </c>
      <c r="B870" s="1" t="s">
        <v>1857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1858</v>
      </c>
      <c r="B871" s="1" t="s">
        <v>1859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1860</v>
      </c>
      <c r="B872" s="1" t="s">
        <v>1861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1862</v>
      </c>
      <c r="B873" s="1" t="s">
        <v>1863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1864</v>
      </c>
      <c r="B874" s="1" t="s">
        <v>1865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1866</v>
      </c>
      <c r="B875" s="1" t="s">
        <v>1867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1868</v>
      </c>
      <c r="B876" s="1" t="s">
        <v>1869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1870</v>
      </c>
      <c r="B877" s="1" t="s">
        <v>1871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1872</v>
      </c>
      <c r="B878" s="1" t="s">
        <v>1873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1874</v>
      </c>
      <c r="B879" s="1" t="s">
        <v>1875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1876</v>
      </c>
      <c r="B880" s="1" t="s">
        <v>1877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1878</v>
      </c>
      <c r="B881" s="1" t="s">
        <v>1879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1880</v>
      </c>
      <c r="B882" s="1" t="s">
        <v>1881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1882</v>
      </c>
      <c r="B883" s="1" t="s">
        <v>1883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1884</v>
      </c>
      <c r="B884" s="1" t="s">
        <v>1885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1886</v>
      </c>
      <c r="B885" s="1" t="s">
        <v>1887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1888</v>
      </c>
      <c r="B886" s="1" t="s">
        <v>1889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1890</v>
      </c>
      <c r="B887" s="1" t="s">
        <v>1891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1892</v>
      </c>
      <c r="B888" s="1" t="s">
        <v>1893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1894</v>
      </c>
      <c r="B889" s="1" t="s">
        <v>1895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1896</v>
      </c>
      <c r="B890" s="1" t="s">
        <v>1897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1898</v>
      </c>
      <c r="B891" s="1" t="s">
        <v>1899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1900</v>
      </c>
      <c r="B892" s="1" t="s">
        <v>1901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1902</v>
      </c>
      <c r="B893" s="1" t="s">
        <v>1889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1903</v>
      </c>
      <c r="B894" s="1" t="s">
        <v>1904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1905</v>
      </c>
      <c r="B895" s="1" t="s">
        <v>1906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1907</v>
      </c>
      <c r="B896" s="1" t="s">
        <v>1908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1909</v>
      </c>
      <c r="B897" s="1" t="s">
        <v>1910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1911</v>
      </c>
      <c r="B898" s="1" t="s">
        <v>1912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1913</v>
      </c>
      <c r="B899" s="1" t="s">
        <v>1914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1915</v>
      </c>
      <c r="B900" s="1" t="s">
        <v>1916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1917</v>
      </c>
      <c r="B901" s="1" t="s">
        <v>1918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1919</v>
      </c>
      <c r="B902" s="1" t="s">
        <v>1918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1920</v>
      </c>
      <c r="B903" s="1" t="s">
        <v>1921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1922</v>
      </c>
      <c r="B904" s="1" t="s">
        <v>1923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1924</v>
      </c>
      <c r="B905" s="1" t="s">
        <v>1925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1926</v>
      </c>
      <c r="B906" s="1" t="s">
        <v>1927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1928</v>
      </c>
      <c r="B907" s="1" t="s">
        <v>1929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1930</v>
      </c>
      <c r="B908" s="1" t="s">
        <v>1931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1932</v>
      </c>
      <c r="B909" s="1" t="s">
        <v>1933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1934</v>
      </c>
      <c r="B910" s="1" t="s">
        <v>1935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1936</v>
      </c>
      <c r="B911" s="1" t="s">
        <v>1937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1938</v>
      </c>
      <c r="B912" s="1" t="s">
        <v>1939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1940</v>
      </c>
      <c r="B913" s="1" t="s">
        <v>1941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1942</v>
      </c>
      <c r="B914" s="1" t="s">
        <v>1943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1944</v>
      </c>
      <c r="B915" s="1" t="s">
        <v>1945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1946</v>
      </c>
      <c r="B916" s="1" t="s">
        <v>1947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1948</v>
      </c>
      <c r="B917" s="1" t="s">
        <v>1949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1950</v>
      </c>
      <c r="B918" s="1" t="s">
        <v>1951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1952</v>
      </c>
      <c r="B919" s="1" t="s">
        <v>1953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1954</v>
      </c>
      <c r="B920" s="1" t="s">
        <v>1955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1956</v>
      </c>
      <c r="B921" s="1" t="s">
        <v>1957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1958</v>
      </c>
      <c r="B922" s="1" t="s">
        <v>1959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1960</v>
      </c>
      <c r="B923" s="1" t="s">
        <v>1961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1962</v>
      </c>
      <c r="B924" s="1" t="s">
        <v>1963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1964</v>
      </c>
      <c r="B925" s="1" t="s">
        <v>1965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1966</v>
      </c>
      <c r="B926" s="1" t="s">
        <v>1967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1968</v>
      </c>
      <c r="B927" s="1" t="s">
        <v>1969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1970</v>
      </c>
      <c r="B928" s="1" t="s">
        <v>1971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1972</v>
      </c>
      <c r="B929" s="1" t="s">
        <v>1973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1974</v>
      </c>
      <c r="B930" s="1" t="s">
        <v>1975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1976</v>
      </c>
      <c r="B931" s="1" t="s">
        <v>1977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1978</v>
      </c>
      <c r="B932" s="1" t="s">
        <v>1979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1980</v>
      </c>
      <c r="B933" s="1" t="s">
        <v>1981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1982</v>
      </c>
      <c r="B934" s="1" t="s">
        <v>1983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1984</v>
      </c>
      <c r="B935" s="1" t="s">
        <v>1985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1986</v>
      </c>
      <c r="B936" s="1" t="s">
        <v>1987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1988</v>
      </c>
      <c r="B937" s="1" t="s">
        <v>1989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1990</v>
      </c>
      <c r="B938" s="1" t="s">
        <v>1991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1992</v>
      </c>
      <c r="B939" s="1" t="s">
        <v>1993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1994</v>
      </c>
      <c r="B940" s="1" t="s">
        <v>1995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1996</v>
      </c>
      <c r="B941" s="1" t="s">
        <v>1997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1998</v>
      </c>
      <c r="B942" s="1" t="s">
        <v>1999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2000</v>
      </c>
      <c r="B943" s="1" t="s">
        <v>2001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2002</v>
      </c>
      <c r="B944" s="1" t="s">
        <v>2003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2004</v>
      </c>
      <c r="B945" s="1" t="s">
        <v>2005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2006</v>
      </c>
      <c r="B946" s="1" t="s">
        <v>2007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2008</v>
      </c>
      <c r="B947" s="1" t="s">
        <v>2009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2010</v>
      </c>
      <c r="B948" s="1" t="s">
        <v>2011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2012</v>
      </c>
      <c r="B949" s="1" t="s">
        <v>2013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2014</v>
      </c>
      <c r="B950" s="1" t="s">
        <v>2015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2016</v>
      </c>
      <c r="B951" s="1" t="s">
        <v>2017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2018</v>
      </c>
      <c r="B952" s="1" t="s">
        <v>2019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2020</v>
      </c>
      <c r="B953" s="1" t="s">
        <v>2021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2022</v>
      </c>
      <c r="B954" s="1" t="s">
        <v>2023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2024</v>
      </c>
      <c r="B955" s="1" t="s">
        <v>2025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2026</v>
      </c>
      <c r="B956" s="1" t="s">
        <v>2027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2028</v>
      </c>
      <c r="B957" s="1" t="s">
        <v>2029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2030</v>
      </c>
      <c r="B958" s="1" t="s">
        <v>2031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2032</v>
      </c>
      <c r="B959" s="1" t="s">
        <v>2033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2034</v>
      </c>
      <c r="B960" s="1" t="s">
        <v>2035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2036</v>
      </c>
      <c r="B961" s="1" t="s">
        <v>2037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2038</v>
      </c>
      <c r="B962" s="1" t="s">
        <v>2039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2040</v>
      </c>
      <c r="B963" s="1" t="s">
        <v>2041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2042</v>
      </c>
      <c r="B964" s="1" t="s">
        <v>2043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2044</v>
      </c>
      <c r="B965" s="1" t="s">
        <v>2045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2046</v>
      </c>
      <c r="B966" s="1" t="s">
        <v>2047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2048</v>
      </c>
      <c r="B967" s="1" t="s">
        <v>2049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2050</v>
      </c>
      <c r="B968" s="1" t="s">
        <v>2051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2052</v>
      </c>
      <c r="B969" s="1" t="s">
        <v>2053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2054</v>
      </c>
      <c r="B970" s="1" t="s">
        <v>2055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2056</v>
      </c>
      <c r="B971" s="1" t="s">
        <v>2057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2058</v>
      </c>
      <c r="B972" s="1" t="s">
        <v>2059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2060</v>
      </c>
      <c r="B973" s="1" t="s">
        <v>2061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2062</v>
      </c>
      <c r="B974" s="1" t="s">
        <v>2063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2064</v>
      </c>
      <c r="B975" s="1" t="s">
        <v>2065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2066</v>
      </c>
      <c r="B976" s="1" t="s">
        <v>2067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2068</v>
      </c>
      <c r="B977" s="1" t="s">
        <v>2069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2070</v>
      </c>
      <c r="B978" s="1" t="s">
        <v>2071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2072</v>
      </c>
      <c r="B979" s="1" t="s">
        <v>2073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2074</v>
      </c>
      <c r="B980" s="1" t="s">
        <v>2075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2076</v>
      </c>
      <c r="B981" s="1" t="s">
        <v>2077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2078</v>
      </c>
      <c r="B982" s="1" t="s">
        <v>2079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2080</v>
      </c>
      <c r="B983" s="1" t="s">
        <v>2081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2082</v>
      </c>
      <c r="B984" s="1" t="s">
        <v>2083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2084</v>
      </c>
      <c r="B985" s="1" t="s">
        <v>2085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2086</v>
      </c>
      <c r="B986" s="1" t="s">
        <v>2087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2088</v>
      </c>
      <c r="B987" s="1" t="s">
        <v>2089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2090</v>
      </c>
      <c r="B988" s="1" t="s">
        <v>2091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2092</v>
      </c>
      <c r="B989" s="1" t="s">
        <v>2093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2094</v>
      </c>
      <c r="B990" s="1" t="s">
        <v>2095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2096</v>
      </c>
      <c r="B991" s="1" t="s">
        <v>2097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2098</v>
      </c>
      <c r="B992" s="1" t="s">
        <v>2099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2100</v>
      </c>
      <c r="B993" s="1" t="s">
        <v>2101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2102</v>
      </c>
      <c r="B994" s="1" t="s">
        <v>2103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2104</v>
      </c>
      <c r="B995" s="1" t="s">
        <v>2105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2106</v>
      </c>
      <c r="B996" s="1" t="s">
        <v>2107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2108</v>
      </c>
      <c r="B997" s="1" t="s">
        <v>2109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2110</v>
      </c>
      <c r="B998" s="1" t="s">
        <v>2111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2112</v>
      </c>
      <c r="B999" s="1" t="s">
        <v>2113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2114</v>
      </c>
      <c r="B1000" s="1" t="s">
        <v>2115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2116</v>
      </c>
      <c r="B1001" s="1" t="s">
        <v>2117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2118</v>
      </c>
      <c r="B1002" s="1" t="s">
        <v>2119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2120</v>
      </c>
      <c r="B1003" s="1" t="s">
        <v>2121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2122</v>
      </c>
      <c r="B1004" s="1" t="s">
        <v>2123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2124</v>
      </c>
      <c r="B1005" s="1" t="s">
        <v>2125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2126</v>
      </c>
      <c r="B1006" s="1" t="s">
        <v>2127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2128</v>
      </c>
      <c r="B1007" s="1" t="s">
        <v>2129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2130</v>
      </c>
      <c r="B1008" s="1" t="s">
        <v>2131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2132</v>
      </c>
      <c r="B1009" s="1" t="s">
        <v>2133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2134</v>
      </c>
      <c r="B1010" s="1" t="s">
        <v>2135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2136</v>
      </c>
      <c r="B1011" s="1" t="s">
        <v>2137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2138</v>
      </c>
      <c r="B1012" s="1" t="s">
        <v>2139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2140</v>
      </c>
      <c r="B1013" s="1" t="s">
        <v>2141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2142</v>
      </c>
      <c r="B1014" s="1" t="s">
        <v>2143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2144</v>
      </c>
      <c r="B1015" s="1" t="s">
        <v>2145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2146</v>
      </c>
      <c r="B1016" s="1" t="s">
        <v>2147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2148</v>
      </c>
      <c r="B1017" s="1" t="s">
        <v>2149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2150</v>
      </c>
      <c r="B1018" s="1" t="s">
        <v>2151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2152</v>
      </c>
      <c r="B1019" s="1" t="s">
        <v>2153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2154</v>
      </c>
      <c r="B1020" s="1" t="s">
        <v>2155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2156</v>
      </c>
      <c r="B1021" s="1" t="s">
        <v>2157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2158</v>
      </c>
      <c r="B1022" s="1" t="s">
        <v>2159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2160</v>
      </c>
      <c r="B1023" s="1" t="s">
        <v>2161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2162</v>
      </c>
      <c r="B1024" s="1" t="s">
        <v>2163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2164</v>
      </c>
      <c r="B1025" s="1" t="s">
        <v>2165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2166</v>
      </c>
      <c r="B1026" s="1" t="s">
        <v>2167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2168</v>
      </c>
      <c r="B1027" s="1" t="s">
        <v>2169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2170</v>
      </c>
      <c r="B1028" s="1" t="s">
        <v>2171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2172</v>
      </c>
      <c r="B1029" s="1" t="s">
        <v>2173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2174</v>
      </c>
      <c r="B1030" s="1" t="s">
        <v>2175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2176</v>
      </c>
      <c r="B1031" s="1" t="s">
        <v>2177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2178</v>
      </c>
      <c r="B1032" s="1" t="s">
        <v>2179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2180</v>
      </c>
      <c r="B1033" s="1" t="s">
        <v>2181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2182</v>
      </c>
      <c r="B1034" s="1" t="s">
        <v>2183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2184</v>
      </c>
      <c r="B1035" s="1" t="s">
        <v>2185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2186</v>
      </c>
      <c r="B1036" s="1" t="s">
        <v>2187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2188</v>
      </c>
      <c r="B1037" s="1" t="s">
        <v>2189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2190</v>
      </c>
      <c r="B1038" s="1" t="s">
        <v>2191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2192</v>
      </c>
      <c r="B1039" s="1" t="s">
        <v>2193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2194</v>
      </c>
      <c r="B1040" s="1" t="s">
        <v>2195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2196</v>
      </c>
      <c r="B1041" s="1" t="s">
        <v>2197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2198</v>
      </c>
      <c r="B1042" s="1" t="s">
        <v>2199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2200</v>
      </c>
      <c r="B1043" s="1" t="s">
        <v>2201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2202</v>
      </c>
      <c r="B1044" s="1" t="s">
        <v>2203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2204</v>
      </c>
      <c r="B1045" s="1" t="s">
        <v>2205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2206</v>
      </c>
      <c r="B1046" s="1" t="s">
        <v>2207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2208</v>
      </c>
      <c r="B1047" s="1" t="s">
        <v>2209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2210</v>
      </c>
      <c r="B1048" s="1" t="s">
        <v>2211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2212</v>
      </c>
      <c r="B1049" s="1" t="s">
        <v>2213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2214</v>
      </c>
      <c r="B1050" s="1" t="s">
        <v>2215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2216</v>
      </c>
      <c r="B1051" s="1" t="s">
        <v>2217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2218</v>
      </c>
      <c r="B1052" s="1" t="s">
        <v>2219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2220</v>
      </c>
      <c r="B1053" s="1" t="s">
        <v>2221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2222</v>
      </c>
      <c r="B1054" s="1" t="s">
        <v>2223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2224</v>
      </c>
      <c r="B1055" s="1" t="s">
        <v>2225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2226</v>
      </c>
      <c r="B1056" s="1" t="s">
        <v>2227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2228</v>
      </c>
      <c r="B1057" s="1" t="s">
        <v>2229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2230</v>
      </c>
      <c r="B1058" s="1" t="s">
        <v>2231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2232</v>
      </c>
      <c r="B1059" s="1" t="s">
        <v>2233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2234</v>
      </c>
      <c r="B1060" s="1" t="s">
        <v>2235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2236</v>
      </c>
      <c r="B1061" s="1" t="s">
        <v>2237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2238</v>
      </c>
      <c r="B1062" s="1" t="s">
        <v>2239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2240</v>
      </c>
      <c r="B1063" s="1" t="s">
        <v>2241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2242</v>
      </c>
      <c r="B1064" s="1" t="s">
        <v>2243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2244</v>
      </c>
      <c r="B1065" s="1" t="s">
        <v>2245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2246</v>
      </c>
      <c r="B1066" s="1" t="s">
        <v>2247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2248</v>
      </c>
      <c r="B1067" s="1" t="s">
        <v>2249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2250</v>
      </c>
      <c r="B1068" s="1" t="s">
        <v>2251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2252</v>
      </c>
      <c r="B1069" s="1" t="s">
        <v>2253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2254</v>
      </c>
      <c r="B1070" s="1" t="s">
        <v>2255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2256</v>
      </c>
      <c r="B1071" s="1" t="s">
        <v>2257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2258</v>
      </c>
      <c r="B1072" s="1" t="s">
        <v>2259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2260</v>
      </c>
      <c r="B1073" s="1" t="s">
        <v>2261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2262</v>
      </c>
      <c r="B1074" s="1" t="s">
        <v>2263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2264</v>
      </c>
      <c r="B1075" s="1" t="s">
        <v>2265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2266</v>
      </c>
      <c r="B1076" s="1" t="s">
        <v>2267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2268</v>
      </c>
      <c r="B1077" s="1" t="s">
        <v>2269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2270</v>
      </c>
      <c r="B1078" s="1" t="s">
        <v>2271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2272</v>
      </c>
      <c r="B1079" s="1" t="s">
        <v>2273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2274</v>
      </c>
      <c r="B1080" s="1" t="s">
        <v>2275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2276</v>
      </c>
      <c r="B1081" s="1" t="s">
        <v>2277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2278</v>
      </c>
      <c r="B1082" s="1" t="s">
        <v>2279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2280</v>
      </c>
      <c r="B1083" s="1" t="s">
        <v>2281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2282</v>
      </c>
      <c r="B1084" s="1" t="s">
        <v>2283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2284</v>
      </c>
      <c r="B1085" s="1" t="s">
        <v>2285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2286</v>
      </c>
      <c r="B1086" s="1" t="s">
        <v>2287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2288</v>
      </c>
      <c r="B1087" s="1" t="s">
        <v>2289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2290</v>
      </c>
      <c r="B1088" s="1" t="s">
        <v>2291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2292</v>
      </c>
      <c r="B1089" s="1" t="s">
        <v>2293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2294</v>
      </c>
      <c r="B1090" s="1" t="s">
        <v>2295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2296</v>
      </c>
      <c r="B1091" s="1" t="s">
        <v>2297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2298</v>
      </c>
      <c r="B1092" s="1" t="s">
        <v>2299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2300</v>
      </c>
      <c r="B1093" s="1" t="s">
        <v>2301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2302</v>
      </c>
      <c r="B1094" s="1" t="s">
        <v>2303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2304</v>
      </c>
      <c r="B1095" s="1" t="s">
        <v>2305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2306</v>
      </c>
      <c r="B1096" s="1" t="s">
        <v>2307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2308</v>
      </c>
      <c r="B1097" s="1" t="s">
        <v>2309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2310</v>
      </c>
      <c r="B1098" s="1" t="s">
        <v>2311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2312</v>
      </c>
      <c r="B1099" s="1" t="s">
        <v>2313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2314</v>
      </c>
      <c r="B1100" s="1" t="s">
        <v>2315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2316</v>
      </c>
      <c r="B1101" s="1" t="s">
        <v>2317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2318</v>
      </c>
      <c r="B1102" s="1" t="s">
        <v>2319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2320</v>
      </c>
      <c r="B1103" s="1" t="s">
        <v>2321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2322</v>
      </c>
      <c r="B1104" s="1" t="s">
        <v>2323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2324</v>
      </c>
      <c r="B1105" s="1" t="s">
        <v>2325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2326</v>
      </c>
      <c r="B1106" s="1" t="s">
        <v>2327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2328</v>
      </c>
      <c r="B1107" s="1" t="s">
        <v>2329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2330</v>
      </c>
      <c r="B1108" s="1" t="s">
        <v>2331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2332</v>
      </c>
      <c r="B1109" s="1" t="s">
        <v>2333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2334</v>
      </c>
      <c r="B1110" s="1" t="s">
        <v>2335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2336</v>
      </c>
      <c r="B1111" s="1" t="s">
        <v>2337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2338</v>
      </c>
      <c r="B1112" s="1" t="s">
        <v>2339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2340</v>
      </c>
      <c r="B1113" s="1" t="s">
        <v>2341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2342</v>
      </c>
      <c r="B1114" s="1" t="s">
        <v>2343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2344</v>
      </c>
      <c r="B1115" s="1" t="s">
        <v>2345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2346</v>
      </c>
      <c r="B1116" s="1" t="s">
        <v>2347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2348</v>
      </c>
      <c r="B1117" s="1" t="s">
        <v>2349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2350</v>
      </c>
      <c r="B1118" s="1" t="s">
        <v>2351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2352</v>
      </c>
      <c r="B1119" s="1" t="s">
        <v>2353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2354</v>
      </c>
      <c r="B1120" s="1" t="s">
        <v>2355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2356</v>
      </c>
      <c r="B1121" s="1" t="s">
        <v>2357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2358</v>
      </c>
      <c r="B1122" s="1" t="s">
        <v>2359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2360</v>
      </c>
      <c r="B1123" s="1" t="s">
        <v>2361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2362</v>
      </c>
      <c r="B1124" s="1" t="s">
        <v>2363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2364</v>
      </c>
      <c r="B1125" s="1" t="s">
        <v>2365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2366</v>
      </c>
      <c r="B1126" s="1" t="s">
        <v>2367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2368</v>
      </c>
      <c r="B1127" s="1" t="s">
        <v>2369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2370</v>
      </c>
      <c r="B1128" s="1" t="s">
        <v>2371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2372</v>
      </c>
      <c r="B1129" s="1" t="s">
        <v>2373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2374</v>
      </c>
      <c r="B1130" s="1" t="s">
        <v>2375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2376</v>
      </c>
      <c r="B1131" s="1" t="s">
        <v>2377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2378</v>
      </c>
      <c r="B1132" s="1" t="s">
        <v>2379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2380</v>
      </c>
      <c r="B1133" s="1" t="s">
        <v>2381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2382</v>
      </c>
      <c r="B1134" s="1" t="s">
        <v>2383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2384</v>
      </c>
      <c r="B1135" s="1" t="s">
        <v>2385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2386</v>
      </c>
      <c r="B1136" s="1" t="s">
        <v>2387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2388</v>
      </c>
      <c r="B1137" s="1" t="s">
        <v>2389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2390</v>
      </c>
      <c r="B1138" s="1" t="s">
        <v>2391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2392</v>
      </c>
      <c r="B1139" s="1" t="s">
        <v>2393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2394</v>
      </c>
      <c r="B1140" s="1" t="s">
        <v>2395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2396</v>
      </c>
      <c r="B1141" s="1" t="s">
        <v>2397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2398</v>
      </c>
      <c r="B1142" s="1" t="s">
        <v>2399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2400</v>
      </c>
      <c r="B1143" s="1" t="s">
        <v>2401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2402</v>
      </c>
      <c r="B1144" s="1" t="s">
        <v>2403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2404</v>
      </c>
      <c r="B1145" s="1" t="s">
        <v>2405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2406</v>
      </c>
      <c r="B1146" s="1" t="s">
        <v>2407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2408</v>
      </c>
      <c r="B1147" s="1" t="s">
        <v>2409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2410</v>
      </c>
      <c r="B1148" s="1" t="s">
        <v>2411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2412</v>
      </c>
      <c r="B1149" s="1" t="s">
        <v>2413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2414</v>
      </c>
      <c r="B1150" s="1" t="s">
        <v>2415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2416</v>
      </c>
      <c r="B1151" s="1" t="s">
        <v>2417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2418</v>
      </c>
      <c r="B1152" s="1" t="s">
        <v>2419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2420</v>
      </c>
      <c r="B1153" s="1" t="s">
        <v>2421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2422</v>
      </c>
      <c r="B1154" s="1" t="s">
        <v>2423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2424</v>
      </c>
      <c r="B1155" s="1" t="s">
        <v>2425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2426</v>
      </c>
      <c r="B1156" s="1" t="s">
        <v>2427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2428</v>
      </c>
      <c r="B1157" s="1" t="s">
        <v>2381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2429</v>
      </c>
      <c r="B1158" s="1" t="s">
        <v>2430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2431</v>
      </c>
      <c r="B1159" s="1" t="s">
        <v>2432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2433</v>
      </c>
      <c r="B1160" s="1" t="s">
        <v>2434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2435</v>
      </c>
      <c r="B1161" s="1" t="s">
        <v>2436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2437</v>
      </c>
      <c r="B1162" s="1" t="s">
        <v>2438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2439</v>
      </c>
      <c r="B1163" s="1" t="s">
        <v>2440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2441</v>
      </c>
      <c r="B1164" s="1" t="s">
        <v>2442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2443</v>
      </c>
      <c r="B1165" s="1" t="s">
        <v>2444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2445</v>
      </c>
      <c r="B1166" s="1" t="s">
        <v>2446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2447</v>
      </c>
      <c r="B1167" s="1" t="s">
        <v>2448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2449</v>
      </c>
      <c r="B1168" s="1" t="s">
        <v>2450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2451</v>
      </c>
      <c r="B1169" s="1" t="s">
        <v>2452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2453</v>
      </c>
      <c r="B1170" s="1" t="s">
        <v>2454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2455</v>
      </c>
      <c r="B1171" s="1" t="s">
        <v>2456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2457</v>
      </c>
      <c r="B1172" s="1" t="s">
        <v>2458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2459</v>
      </c>
      <c r="B1173" s="1" t="s">
        <v>2460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2461</v>
      </c>
      <c r="B1174" s="1" t="s">
        <v>2462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2463</v>
      </c>
      <c r="B1175" s="1" t="s">
        <v>2464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2465</v>
      </c>
      <c r="B1176" s="1" t="s">
        <v>2466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2467</v>
      </c>
      <c r="B1177" s="1" t="s">
        <v>2468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2469</v>
      </c>
      <c r="B1178" s="1" t="s">
        <v>2470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2471</v>
      </c>
      <c r="B1179" s="1" t="s">
        <v>2472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2473</v>
      </c>
      <c r="B1180" s="1" t="s">
        <v>2474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2475</v>
      </c>
      <c r="B1181" s="1" t="s">
        <v>2476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2477</v>
      </c>
      <c r="B1182" s="1" t="s">
        <v>2478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2479</v>
      </c>
      <c r="B1183" s="1" t="s">
        <v>2480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2481</v>
      </c>
      <c r="B1184" s="1" t="s">
        <v>2482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2483</v>
      </c>
      <c r="B1185" s="1" t="s">
        <v>2484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2485</v>
      </c>
      <c r="B1186" s="1" t="s">
        <v>2486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2487</v>
      </c>
      <c r="B1187" s="1" t="s">
        <v>2488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2489</v>
      </c>
      <c r="B1188" s="1" t="s">
        <v>2490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2491</v>
      </c>
      <c r="B1189" s="1" t="s">
        <v>2492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2493</v>
      </c>
      <c r="B1190" s="1" t="s">
        <v>2494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2495</v>
      </c>
      <c r="B1191" s="1" t="s">
        <v>2496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2497</v>
      </c>
      <c r="B1192" s="1" t="s">
        <v>2498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2499</v>
      </c>
      <c r="B1193" s="1" t="s">
        <v>2500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2501</v>
      </c>
      <c r="B1194" s="1" t="s">
        <v>2502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2503</v>
      </c>
      <c r="B1195" s="1" t="s">
        <v>2504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2505</v>
      </c>
      <c r="B1196" s="1" t="s">
        <v>2506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2507</v>
      </c>
      <c r="B1197" s="1" t="s">
        <v>2508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2509</v>
      </c>
      <c r="B1198" s="1" t="s">
        <v>2510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2511</v>
      </c>
      <c r="B1199" s="1" t="s">
        <v>2512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2513</v>
      </c>
      <c r="B1200" s="1" t="s">
        <v>2514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2515</v>
      </c>
      <c r="B1201" s="1" t="s">
        <v>2516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2517</v>
      </c>
      <c r="B1202" s="1" t="s">
        <v>2518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2519</v>
      </c>
      <c r="B1203" s="1" t="s">
        <v>2520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2521</v>
      </c>
      <c r="B1204" s="1" t="s">
        <v>2522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2523</v>
      </c>
      <c r="B1205" s="1" t="s">
        <v>2524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2525</v>
      </c>
      <c r="B1206" s="1" t="s">
        <v>2526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2527</v>
      </c>
      <c r="B1207" s="1" t="s">
        <v>2528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2529</v>
      </c>
      <c r="B1208" s="1" t="s">
        <v>2530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2531</v>
      </c>
      <c r="B1209" s="1" t="s">
        <v>2532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2533</v>
      </c>
      <c r="B1210" s="1" t="s">
        <v>2534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2535</v>
      </c>
      <c r="B1211" s="1" t="s">
        <v>2536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2537</v>
      </c>
      <c r="B1212" s="1" t="s">
        <v>2538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2539</v>
      </c>
      <c r="B1213" s="1" t="s">
        <v>2540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2541</v>
      </c>
      <c r="B1214" s="1" t="s">
        <v>2542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2543</v>
      </c>
      <c r="B1215" s="1" t="s">
        <v>2544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2545</v>
      </c>
      <c r="B1216" s="1" t="s">
        <v>2546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2547</v>
      </c>
      <c r="B1217" s="1" t="s">
        <v>2548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2549</v>
      </c>
      <c r="B1218" s="1" t="s">
        <v>2550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2551</v>
      </c>
      <c r="B1219" s="1" t="s">
        <v>2552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2553</v>
      </c>
      <c r="B1220" s="1" t="s">
        <v>2554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2555</v>
      </c>
      <c r="B1221" s="1" t="s">
        <v>2556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2557</v>
      </c>
      <c r="B1222" s="1" t="s">
        <v>2558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2559</v>
      </c>
      <c r="B1223" s="1" t="s">
        <v>2560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2561</v>
      </c>
      <c r="B1224" s="1" t="s">
        <v>2562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2563</v>
      </c>
      <c r="B1225" s="1" t="s">
        <v>2564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2565</v>
      </c>
      <c r="B1226" s="1" t="s">
        <v>2566</v>
      </c>
      <c r="C1226" s="1">
        <v>-14.6</v>
      </c>
      <c r="D1226" s="1">
        <v>132.183333</v>
      </c>
      <c r="E1226" s="1" t="str">
        <f>RIGHT(Airports[[#This Row],[ICAO]],3)</f>
        <v>MAX</v>
      </c>
      <c r="G1226" s="10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2567</v>
      </c>
      <c r="B1227" s="1" t="s">
        <v>2568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2569</v>
      </c>
      <c r="B1228" s="1" t="s">
        <v>2570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2571</v>
      </c>
      <c r="B1229" s="1" t="s">
        <v>2572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2573</v>
      </c>
      <c r="B1230" s="1" t="s">
        <v>2574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2575</v>
      </c>
      <c r="B1231" s="1" t="s">
        <v>2576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2577</v>
      </c>
      <c r="B1232" s="1" t="s">
        <v>2578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2579</v>
      </c>
      <c r="B1233" s="1" t="s">
        <v>2580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2581</v>
      </c>
      <c r="B1234" s="1" t="s">
        <v>2582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2583</v>
      </c>
      <c r="B1235" s="1" t="s">
        <v>2584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2585</v>
      </c>
      <c r="B1236" s="1" t="s">
        <v>2586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2587</v>
      </c>
      <c r="B1237" s="1" t="s">
        <v>2588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2589</v>
      </c>
      <c r="B1238" s="1" t="s">
        <v>2590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2591</v>
      </c>
      <c r="B1239" s="1" t="s">
        <v>2592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2593</v>
      </c>
      <c r="B1240" s="1" t="s">
        <v>2594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2595</v>
      </c>
      <c r="B1241" s="1" t="s">
        <v>2596</v>
      </c>
      <c r="C1241" s="1">
        <v>-25.1</v>
      </c>
      <c r="D1241" s="1">
        <v>117.583333</v>
      </c>
      <c r="E1241" s="1" t="str">
        <f>RIGHT(Airports[[#This Row],[ICAO]],3)</f>
        <v>MCE</v>
      </c>
      <c r="G1241" s="10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2597</v>
      </c>
      <c r="B1242" s="1" t="s">
        <v>2598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2599</v>
      </c>
      <c r="B1243" s="1" t="s">
        <v>2600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2601</v>
      </c>
      <c r="B1244" s="1" t="s">
        <v>2602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2603</v>
      </c>
      <c r="B1245" s="1" t="s">
        <v>2604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2605</v>
      </c>
      <c r="B1246" s="1" t="s">
        <v>2606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2607</v>
      </c>
      <c r="B1247" s="1" t="s">
        <v>2608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2609</v>
      </c>
      <c r="B1248" s="1" t="s">
        <v>2610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2611</v>
      </c>
      <c r="B1249" s="1" t="s">
        <v>2612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2613</v>
      </c>
      <c r="B1250" s="1" t="s">
        <v>2614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2615</v>
      </c>
      <c r="B1251" s="1" t="s">
        <v>2616</v>
      </c>
      <c r="C1251" s="1">
        <v>-18.2</v>
      </c>
      <c r="D1251" s="1">
        <v>127.5</v>
      </c>
      <c r="E1251" s="1" t="str">
        <f>RIGHT(Airports[[#This Row],[ICAO]],3)</f>
        <v>MCW</v>
      </c>
      <c r="G1251" s="10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2617</v>
      </c>
      <c r="B1252" s="1" t="s">
        <v>2618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2619</v>
      </c>
      <c r="B1253" s="1" t="s">
        <v>2620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2621</v>
      </c>
      <c r="B1254" s="1" t="s">
        <v>2622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2623</v>
      </c>
      <c r="B1255" s="1" t="s">
        <v>2624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2625</v>
      </c>
      <c r="B1256" s="1" t="s">
        <v>2626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2627</v>
      </c>
      <c r="B1257" s="1" t="s">
        <v>2628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2629</v>
      </c>
      <c r="B1258" s="1" t="s">
        <v>2630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2631</v>
      </c>
      <c r="B1259" s="1" t="s">
        <v>2632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2633</v>
      </c>
      <c r="B1260" s="1" t="s">
        <v>2634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2635</v>
      </c>
      <c r="B1261" s="1" t="s">
        <v>2636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2637</v>
      </c>
      <c r="B1262" s="1" t="s">
        <v>2638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2639</v>
      </c>
      <c r="B1263" s="1" t="s">
        <v>2640</v>
      </c>
      <c r="C1263" s="1">
        <v>-26.173333</v>
      </c>
      <c r="D1263" s="1">
        <v>129.13</v>
      </c>
      <c r="E1263" s="1" t="str">
        <f>RIGHT(Airports[[#This Row],[ICAO]],3)</f>
        <v>MDV</v>
      </c>
      <c r="G1263" s="10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2641</v>
      </c>
      <c r="B1264" s="1" t="s">
        <v>2642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2643</v>
      </c>
      <c r="B1265" s="1" t="s">
        <v>2644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2645</v>
      </c>
      <c r="B1266" s="1" t="s">
        <v>2646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2647</v>
      </c>
      <c r="B1267" s="1" t="s">
        <v>2648</v>
      </c>
      <c r="C1267" s="1">
        <v>-21.2</v>
      </c>
      <c r="D1267" s="1">
        <v>115.983056</v>
      </c>
      <c r="E1267" s="1" t="str">
        <f>RIGHT(Airports[[#This Row],[ICAO]],3)</f>
        <v>MDZ</v>
      </c>
      <c r="G1267" s="10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2649</v>
      </c>
      <c r="B1268" s="1" t="s">
        <v>2650</v>
      </c>
      <c r="C1268" s="1">
        <v>-41.497500000000002</v>
      </c>
      <c r="D1268" s="1">
        <v>147.02583300000001</v>
      </c>
      <c r="G1268" s="10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2651</v>
      </c>
      <c r="B1269" s="1" t="s">
        <v>2652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2653</v>
      </c>
      <c r="B1270" s="1" t="s">
        <v>2654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2655</v>
      </c>
      <c r="B1271" s="1" t="s">
        <v>2656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2657</v>
      </c>
      <c r="B1272" s="1" t="s">
        <v>2658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2659</v>
      </c>
      <c r="B1273" s="1" t="s">
        <v>2660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2661</v>
      </c>
      <c r="B1274" s="1" t="s">
        <v>2662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2663</v>
      </c>
      <c r="B1275" s="1" t="s">
        <v>2664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2665</v>
      </c>
      <c r="B1276" s="1" t="s">
        <v>2666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2667</v>
      </c>
      <c r="B1277" s="1" t="s">
        <v>5290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2668</v>
      </c>
      <c r="B1278" s="1" t="s">
        <v>2669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2670</v>
      </c>
      <c r="B1279" s="1" t="s">
        <v>2671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2672</v>
      </c>
      <c r="B1280" s="1" t="s">
        <v>2673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2674</v>
      </c>
      <c r="B1281" s="1" t="s">
        <v>2675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2676</v>
      </c>
      <c r="B1282" s="1" t="s">
        <v>2677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2678</v>
      </c>
      <c r="B1283" s="1" t="s">
        <v>2679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2680</v>
      </c>
      <c r="B1284" s="1" t="s">
        <v>2681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2682</v>
      </c>
      <c r="B1285" s="1" t="s">
        <v>2683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2684</v>
      </c>
      <c r="B1286" s="1" t="s">
        <v>2685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2686</v>
      </c>
      <c r="B1287" s="1" t="s">
        <v>2687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2688</v>
      </c>
      <c r="B1288" s="1" t="s">
        <v>2689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2690</v>
      </c>
      <c r="B1289" s="1" t="s">
        <v>2691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2692</v>
      </c>
      <c r="B1290" s="1" t="s">
        <v>2693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2694</v>
      </c>
      <c r="B1291" s="1" t="s">
        <v>2695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2696</v>
      </c>
      <c r="B1292" s="1" t="s">
        <v>2697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2698</v>
      </c>
      <c r="B1293" s="1" t="s">
        <v>2699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2700</v>
      </c>
      <c r="B1294" s="1" t="s">
        <v>2701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2702</v>
      </c>
      <c r="B1295" s="1" t="s">
        <v>2703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2704</v>
      </c>
      <c r="B1296" s="1" t="s">
        <v>2705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2706</v>
      </c>
      <c r="B1297" s="1" t="s">
        <v>2707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2708</v>
      </c>
      <c r="B1298" s="1" t="s">
        <v>2709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2710</v>
      </c>
      <c r="B1299" s="1" t="s">
        <v>2711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2712</v>
      </c>
      <c r="B1300" s="1" t="s">
        <v>2713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2714</v>
      </c>
      <c r="B1301" s="1" t="s">
        <v>2715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2716</v>
      </c>
      <c r="B1302" s="1" t="s">
        <v>2717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2718</v>
      </c>
      <c r="B1303" s="1" t="s">
        <v>2719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2720</v>
      </c>
      <c r="B1304" s="1" t="s">
        <v>2721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2722</v>
      </c>
      <c r="B1305" s="1" t="s">
        <v>2723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2724</v>
      </c>
      <c r="B1306" s="1" t="s">
        <v>2725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2726</v>
      </c>
      <c r="B1307" s="1" t="s">
        <v>2727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2728</v>
      </c>
      <c r="B1308" s="1" t="s">
        <v>2729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2730</v>
      </c>
      <c r="B1309" s="1" t="s">
        <v>2731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2732</v>
      </c>
      <c r="B1310" s="1" t="s">
        <v>2733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2734</v>
      </c>
      <c r="B1311" s="1" t="s">
        <v>2735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2736</v>
      </c>
      <c r="B1312" s="1" t="s">
        <v>2737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2738</v>
      </c>
      <c r="B1313" s="1" t="s">
        <v>2739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2740</v>
      </c>
      <c r="B1314" s="1" t="s">
        <v>2741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2742</v>
      </c>
      <c r="B1315" s="1" t="s">
        <v>2743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2744</v>
      </c>
      <c r="B1316" s="1" t="s">
        <v>2745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2746</v>
      </c>
      <c r="B1317" s="1" t="s">
        <v>2747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2748</v>
      </c>
      <c r="B1318" s="1" t="s">
        <v>2749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2750</v>
      </c>
      <c r="B1319" s="1" t="s">
        <v>2751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2752</v>
      </c>
      <c r="B1320" s="1" t="s">
        <v>2753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2754</v>
      </c>
      <c r="B1321" s="1" t="s">
        <v>2755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2756</v>
      </c>
      <c r="B1322" s="1" t="s">
        <v>2757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2758</v>
      </c>
      <c r="B1323" s="1" t="s">
        <v>2759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2760</v>
      </c>
      <c r="B1324" s="1" t="s">
        <v>2761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2762</v>
      </c>
      <c r="B1325" s="1" t="s">
        <v>2763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2764</v>
      </c>
      <c r="B1326" s="1" t="s">
        <v>2765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2766</v>
      </c>
      <c r="B1327" s="1" t="s">
        <v>2767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2768</v>
      </c>
      <c r="B1328" s="1" t="s">
        <v>2769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2770</v>
      </c>
      <c r="B1329" s="1" t="s">
        <v>2771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2772</v>
      </c>
      <c r="B1330" s="1" t="s">
        <v>2773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2774</v>
      </c>
      <c r="B1331" s="1" t="s">
        <v>2775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2776</v>
      </c>
      <c r="B1332" s="1" t="s">
        <v>2777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2778</v>
      </c>
      <c r="B1333" s="1" t="s">
        <v>2779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2780</v>
      </c>
      <c r="B1334" s="1" t="s">
        <v>2781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2782</v>
      </c>
      <c r="B1335" s="1" t="s">
        <v>2783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2784</v>
      </c>
      <c r="B1336" s="1" t="s">
        <v>2785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2786</v>
      </c>
      <c r="B1337" s="1" t="s">
        <v>2787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2788</v>
      </c>
      <c r="B1338" s="1" t="s">
        <v>2789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2790</v>
      </c>
      <c r="B1339" s="1" t="s">
        <v>2791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2792</v>
      </c>
      <c r="B1340" s="1" t="s">
        <v>2793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2794</v>
      </c>
      <c r="B1341" s="1" t="s">
        <v>5291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2795</v>
      </c>
      <c r="B1342" s="1" t="s">
        <v>2796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2797</v>
      </c>
      <c r="B1343" s="1" t="s">
        <v>2798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2799</v>
      </c>
      <c r="B1344" s="1" t="s">
        <v>2800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2801</v>
      </c>
      <c r="B1345" s="1" t="s">
        <v>2802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2803</v>
      </c>
      <c r="B1346" s="1" t="s">
        <v>2804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2805</v>
      </c>
      <c r="B1347" s="1" t="s">
        <v>2806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2807</v>
      </c>
      <c r="B1348" s="1" t="s">
        <v>2808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2809</v>
      </c>
      <c r="B1349" s="1" t="s">
        <v>2810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2811</v>
      </c>
      <c r="B1350" s="1" t="s">
        <v>2812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2813</v>
      </c>
      <c r="B1351" s="1" t="s">
        <v>2814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2815</v>
      </c>
      <c r="B1352" s="1" t="s">
        <v>2816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2817</v>
      </c>
      <c r="B1353" s="1" t="s">
        <v>2818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2819</v>
      </c>
      <c r="B1354" s="1" t="s">
        <v>2820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2821</v>
      </c>
      <c r="B1355" s="1" t="s">
        <v>2822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2823</v>
      </c>
      <c r="B1356" s="1" t="s">
        <v>2824</v>
      </c>
      <c r="C1356" s="1">
        <v>-26.45</v>
      </c>
      <c r="D1356" s="1">
        <v>116.55</v>
      </c>
      <c r="E1356" s="1" t="str">
        <f>RIGHT(Airports[[#This Row],[ICAO]],3)</f>
        <v>MNF</v>
      </c>
      <c r="G1356" s="10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2825</v>
      </c>
      <c r="B1357" s="1" t="s">
        <v>2826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2827</v>
      </c>
      <c r="B1358" s="1" t="s">
        <v>2828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2829</v>
      </c>
      <c r="B1359" s="1" t="s">
        <v>2830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2831</v>
      </c>
      <c r="B1360" s="1" t="s">
        <v>2832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2833</v>
      </c>
      <c r="B1361" s="1" t="s">
        <v>2834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2835</v>
      </c>
      <c r="B1362" s="1" t="s">
        <v>2836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2837</v>
      </c>
      <c r="B1363" s="1" t="s">
        <v>2838</v>
      </c>
      <c r="C1363" s="1">
        <v>-22.6</v>
      </c>
      <c r="D1363" s="1">
        <v>135.016389</v>
      </c>
      <c r="E1363" s="1" t="str">
        <f>RIGHT(Airports[[#This Row],[ICAO]],3)</f>
        <v>MNS</v>
      </c>
      <c r="G1363" s="10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2839</v>
      </c>
      <c r="B1364" s="1" t="s">
        <v>2840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2841</v>
      </c>
      <c r="B1365" s="1" t="s">
        <v>2842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2843</v>
      </c>
      <c r="B1366" s="1" t="s">
        <v>2844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2845</v>
      </c>
      <c r="B1367" s="1" t="s">
        <v>2846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2847</v>
      </c>
      <c r="B1368" s="1" t="s">
        <v>2848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2849</v>
      </c>
      <c r="B1369" s="1" t="s">
        <v>2850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2851</v>
      </c>
      <c r="B1370" s="1" t="s">
        <v>2852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2853</v>
      </c>
      <c r="B1371" s="1" t="s">
        <v>2854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2855</v>
      </c>
      <c r="B1372" s="1" t="s">
        <v>2856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2857</v>
      </c>
      <c r="B1373" s="1" t="s">
        <v>2858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2859</v>
      </c>
      <c r="B1374" s="1" t="s">
        <v>2860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2861</v>
      </c>
      <c r="B1375" s="1" t="s">
        <v>2862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2863</v>
      </c>
      <c r="B1376" s="1" t="s">
        <v>2864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2865</v>
      </c>
      <c r="B1377" s="1" t="s">
        <v>2866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2867</v>
      </c>
      <c r="B1378" s="1" t="s">
        <v>2868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2869</v>
      </c>
      <c r="B1379" s="1" t="s">
        <v>2870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2871</v>
      </c>
      <c r="B1380" s="1" t="s">
        <v>2872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2873</v>
      </c>
      <c r="B1381" s="1" t="s">
        <v>2874</v>
      </c>
      <c r="C1381" s="1">
        <v>-37.932222000000003</v>
      </c>
      <c r="D1381" s="1">
        <v>144.753333</v>
      </c>
      <c r="E1381" s="1" t="s">
        <v>5287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2875</v>
      </c>
      <c r="B1382" s="1" t="s">
        <v>2876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2877</v>
      </c>
      <c r="B1383" s="1" t="s">
        <v>2878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2879</v>
      </c>
      <c r="B1384" s="1" t="s">
        <v>2880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2881</v>
      </c>
      <c r="B1385" s="1" t="s">
        <v>2882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2883</v>
      </c>
      <c r="B1386" s="1" t="s">
        <v>2884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2885</v>
      </c>
      <c r="B1387" s="1" t="s">
        <v>2886</v>
      </c>
      <c r="C1387" s="1">
        <v>-22.85</v>
      </c>
      <c r="D1387" s="1">
        <v>137.333056</v>
      </c>
      <c r="E1387" s="1" t="str">
        <f>RIGHT(Airports[[#This Row],[ICAO]],3)</f>
        <v>MQA</v>
      </c>
      <c r="G1387" s="10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2887</v>
      </c>
      <c r="B1388" s="1" t="s">
        <v>2888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2889</v>
      </c>
      <c r="B1389" s="1" t="s">
        <v>2890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2891</v>
      </c>
      <c r="B1390" s="1" t="s">
        <v>2892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2893</v>
      </c>
      <c r="B1391" s="1" t="s">
        <v>2894</v>
      </c>
      <c r="C1391" s="1">
        <v>-30.18</v>
      </c>
      <c r="D1391" s="1">
        <v>119.302222</v>
      </c>
      <c r="E1391" s="1" t="str">
        <f>RIGHT(Airports[[#This Row],[ICAO]],3)</f>
        <v>MRD</v>
      </c>
      <c r="G1391" s="10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2895</v>
      </c>
      <c r="B1392" s="1" t="s">
        <v>2896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2897</v>
      </c>
      <c r="B1393" s="1" t="s">
        <v>2898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2899</v>
      </c>
      <c r="B1394" s="1" t="s">
        <v>2900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2901</v>
      </c>
      <c r="B1395" s="1" t="s">
        <v>2902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2903</v>
      </c>
      <c r="B1396" s="1" t="s">
        <v>2904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2905</v>
      </c>
      <c r="B1397" s="1" t="s">
        <v>2906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2907</v>
      </c>
      <c r="B1398" s="1" t="s">
        <v>2908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2909</v>
      </c>
      <c r="B1399" s="1" t="s">
        <v>2910</v>
      </c>
      <c r="C1399" s="1">
        <v>-17.7</v>
      </c>
      <c r="D1399" s="1">
        <v>145.15</v>
      </c>
      <c r="E1399" s="1" t="str">
        <f>RIGHT(Airports[[#This Row],[ICAO]],3)</f>
        <v>MRT</v>
      </c>
      <c r="G1399" s="10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2911</v>
      </c>
      <c r="B1400" s="1" t="s">
        <v>2912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2913</v>
      </c>
      <c r="B1401" s="1" t="s">
        <v>2914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2915</v>
      </c>
      <c r="B1402" s="1" t="s">
        <v>2916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2917</v>
      </c>
      <c r="B1403" s="1" t="s">
        <v>2918</v>
      </c>
      <c r="C1403" s="1">
        <v>-19.508333</v>
      </c>
      <c r="D1403" s="1">
        <v>138.37</v>
      </c>
      <c r="E1403" s="1" t="str">
        <f>RIGHT(Airports[[#This Row],[ICAO]],3)</f>
        <v>MSE</v>
      </c>
      <c r="G1403" s="10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2919</v>
      </c>
      <c r="B1404" s="1" t="s">
        <v>2920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2921</v>
      </c>
      <c r="B1405" s="1" t="s">
        <v>2922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2923</v>
      </c>
      <c r="B1406" s="1" t="s">
        <v>2924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2925</v>
      </c>
      <c r="B1407" s="1" t="s">
        <v>2926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2927</v>
      </c>
      <c r="B1408" s="1" t="s">
        <v>2928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2929</v>
      </c>
      <c r="B1409" s="1" t="s">
        <v>2930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2931</v>
      </c>
      <c r="B1410" s="1" t="s">
        <v>2932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2933</v>
      </c>
      <c r="B1411" s="1" t="s">
        <v>2934</v>
      </c>
      <c r="C1411" s="1">
        <v>-22.45</v>
      </c>
      <c r="D1411" s="1">
        <v>116.05</v>
      </c>
      <c r="E1411" s="1" t="str">
        <f>RIGHT(Airports[[#This Row],[ICAO]],3)</f>
        <v>MSW</v>
      </c>
      <c r="G1411" s="10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2935</v>
      </c>
      <c r="B1412" s="1" t="s">
        <v>2936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2937</v>
      </c>
      <c r="B1413" s="1" t="s">
        <v>2938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2939</v>
      </c>
      <c r="B1414" s="1" t="s">
        <v>2940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2941</v>
      </c>
      <c r="B1415" s="1" t="s">
        <v>2942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2943</v>
      </c>
      <c r="B1416" s="1" t="s">
        <v>2944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2945</v>
      </c>
      <c r="B1417" s="1" t="s">
        <v>2946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2947</v>
      </c>
      <c r="B1418" s="1" t="s">
        <v>2948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2949</v>
      </c>
      <c r="B1419" s="1" t="s">
        <v>2950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2951</v>
      </c>
      <c r="B1420" s="1" t="s">
        <v>2952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2953</v>
      </c>
      <c r="B1421" s="1" t="s">
        <v>2954</v>
      </c>
      <c r="C1421" s="1">
        <v>-24.516389</v>
      </c>
      <c r="D1421" s="1">
        <v>150</v>
      </c>
      <c r="E1421" s="1" t="str">
        <f>RIGHT(Airports[[#This Row],[ICAO]],3)</f>
        <v>MTN</v>
      </c>
      <c r="G1421" s="10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2955</v>
      </c>
      <c r="B1422" s="1" t="s">
        <v>2956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2957</v>
      </c>
      <c r="B1423" s="1" t="s">
        <v>2958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2959</v>
      </c>
      <c r="B1424" s="1" t="s">
        <v>2960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2961</v>
      </c>
      <c r="B1425" s="1" t="s">
        <v>2962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2963</v>
      </c>
      <c r="B1426" s="1" t="s">
        <v>2964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2965</v>
      </c>
      <c r="B1427" s="1" t="s">
        <v>2966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2967</v>
      </c>
      <c r="B1428" s="1" t="s">
        <v>2968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2969</v>
      </c>
      <c r="B1429" s="1" t="s">
        <v>2970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2971</v>
      </c>
      <c r="B1430" s="1" t="s">
        <v>2972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2973</v>
      </c>
      <c r="B1431" s="1" t="s">
        <v>2974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2975</v>
      </c>
      <c r="B1432" s="1" t="s">
        <v>2976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2977</v>
      </c>
      <c r="B1433" s="1" t="s">
        <v>2978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2979</v>
      </c>
      <c r="B1434" s="1" t="s">
        <v>2980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2981</v>
      </c>
      <c r="B1435" s="1" t="s">
        <v>2982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2983</v>
      </c>
      <c r="B1436" s="1" t="s">
        <v>2984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2985</v>
      </c>
      <c r="B1437" s="1" t="s">
        <v>2986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2987</v>
      </c>
      <c r="B1438" s="1" t="s">
        <v>2988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2989</v>
      </c>
      <c r="B1439" s="1" t="s">
        <v>2990</v>
      </c>
      <c r="C1439" s="1">
        <v>-13.8</v>
      </c>
      <c r="D1439" s="1">
        <v>134.433333</v>
      </c>
      <c r="E1439" s="1" t="str">
        <f>RIGHT(Airports[[#This Row],[ICAO]],3)</f>
        <v>MUN</v>
      </c>
      <c r="G1439" s="10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2991</v>
      </c>
      <c r="B1440" s="1" t="s">
        <v>2992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2993</v>
      </c>
      <c r="B1441" s="1" t="s">
        <v>2994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2995</v>
      </c>
      <c r="B1442" s="1" t="s">
        <v>2996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2997</v>
      </c>
      <c r="B1443" s="1" t="s">
        <v>2998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2999</v>
      </c>
      <c r="B1444" s="1" t="s">
        <v>3000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3001</v>
      </c>
      <c r="B1445" s="1" t="s">
        <v>3002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3003</v>
      </c>
      <c r="B1446" s="1" t="s">
        <v>3004</v>
      </c>
      <c r="C1446" s="1">
        <v>-26.4</v>
      </c>
      <c r="D1446" s="1">
        <v>147.123333</v>
      </c>
      <c r="E1446" s="1" t="str">
        <f>RIGHT(Airports[[#This Row],[ICAO]],3)</f>
        <v>MVN</v>
      </c>
      <c r="G1446" s="10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3005</v>
      </c>
      <c r="B1447" s="1" t="s">
        <v>3006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3007</v>
      </c>
      <c r="B1448" s="1" t="s">
        <v>3008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3009</v>
      </c>
      <c r="B1449" s="1" t="s">
        <v>3010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3011</v>
      </c>
      <c r="B1450" s="1" t="s">
        <v>3012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3013</v>
      </c>
      <c r="B1451" s="1" t="s">
        <v>3014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3015</v>
      </c>
      <c r="B1452" s="1" t="s">
        <v>3016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3017</v>
      </c>
      <c r="B1453" s="1" t="s">
        <v>3018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3019</v>
      </c>
      <c r="B1454" s="1" t="s">
        <v>3020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3021</v>
      </c>
      <c r="B1455" s="1" t="s">
        <v>1364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3022</v>
      </c>
      <c r="B1456" s="1" t="s">
        <v>3023</v>
      </c>
      <c r="C1456" s="1">
        <v>-11.55</v>
      </c>
      <c r="D1456" s="1">
        <v>130.583056</v>
      </c>
      <c r="E1456" s="1" t="str">
        <f>RIGHT(Airports[[#This Row],[ICAO]],3)</f>
        <v>MXC</v>
      </c>
      <c r="G1456" s="10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3024</v>
      </c>
      <c r="B1457" s="1" t="s">
        <v>3025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3026</v>
      </c>
      <c r="B1458" s="1" t="s">
        <v>3027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3028</v>
      </c>
      <c r="B1459" s="1" t="s">
        <v>3029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3030</v>
      </c>
      <c r="B1460" s="1" t="s">
        <v>3031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3032</v>
      </c>
      <c r="B1461" s="1" t="s">
        <v>3033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3034</v>
      </c>
      <c r="B1462" s="1" t="s">
        <v>3035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3036</v>
      </c>
      <c r="B1463" s="1" t="s">
        <v>2771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3037</v>
      </c>
      <c r="B1464" s="1" t="s">
        <v>3038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3039</v>
      </c>
      <c r="B1465" s="1" t="s">
        <v>3040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3041</v>
      </c>
      <c r="B1466" s="1" t="s">
        <v>3042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3043</v>
      </c>
      <c r="B1467" s="1" t="s">
        <v>3044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3045</v>
      </c>
      <c r="B1468" s="1" t="s">
        <v>3046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3047</v>
      </c>
      <c r="B1469" s="1" t="s">
        <v>3048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3049</v>
      </c>
      <c r="B1470" s="1" t="s">
        <v>3050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3051</v>
      </c>
      <c r="B1471" s="1" t="s">
        <v>3052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3053</v>
      </c>
      <c r="B1472" s="1" t="s">
        <v>3054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3055</v>
      </c>
      <c r="B1473" s="1" t="s">
        <v>3056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3057</v>
      </c>
      <c r="B1474" s="1" t="s">
        <v>3058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3059</v>
      </c>
      <c r="B1475" s="1" t="s">
        <v>3060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3061</v>
      </c>
      <c r="B1476" s="1" t="s">
        <v>3062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3063</v>
      </c>
      <c r="B1477" s="1" t="s">
        <v>3064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3065</v>
      </c>
      <c r="B1478" s="1" t="s">
        <v>3066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3067</v>
      </c>
      <c r="B1479" s="1" t="s">
        <v>3068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3069</v>
      </c>
      <c r="B1480" s="1" t="s">
        <v>3070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3071</v>
      </c>
      <c r="B1481" s="1" t="s">
        <v>3072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3073</v>
      </c>
      <c r="B1482" s="1" t="s">
        <v>3074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3075</v>
      </c>
      <c r="B1483" s="1" t="s">
        <v>3076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3077</v>
      </c>
      <c r="B1484" s="1" t="s">
        <v>3078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3079</v>
      </c>
      <c r="B1485" s="1" t="s">
        <v>3080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3081</v>
      </c>
      <c r="B1486" s="1" t="s">
        <v>3082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3083</v>
      </c>
      <c r="B1487" s="1" t="s">
        <v>3084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3085</v>
      </c>
      <c r="B1488" s="1" t="s">
        <v>3086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3087</v>
      </c>
      <c r="B1489" s="1" t="s">
        <v>3088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3089</v>
      </c>
      <c r="B1490" s="1" t="s">
        <v>3090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3091</v>
      </c>
      <c r="B1491" s="1" t="s">
        <v>3092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3093</v>
      </c>
      <c r="B1492" s="1" t="s">
        <v>3094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3095</v>
      </c>
      <c r="B1493" s="1" t="s">
        <v>3096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3097</v>
      </c>
      <c r="B1494" s="1" t="s">
        <v>3098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3099</v>
      </c>
      <c r="B1495" s="1" t="s">
        <v>3100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3101</v>
      </c>
      <c r="B1496" s="1" t="s">
        <v>3102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3103</v>
      </c>
      <c r="B1497" s="1" t="s">
        <v>3104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3105</v>
      </c>
      <c r="B1498" s="1" t="s">
        <v>3106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3107</v>
      </c>
      <c r="B1499" s="1" t="s">
        <v>3108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3109</v>
      </c>
      <c r="B1500" s="1" t="s">
        <v>3110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3111</v>
      </c>
      <c r="B1501" s="1" t="s">
        <v>3112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3113</v>
      </c>
      <c r="B1502" s="1" t="s">
        <v>3114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3115</v>
      </c>
      <c r="B1503" s="1" t="s">
        <v>3116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3117</v>
      </c>
      <c r="B1504" s="1" t="s">
        <v>3118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3119</v>
      </c>
      <c r="B1505" s="1" t="s">
        <v>3120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3121</v>
      </c>
      <c r="B1506" s="1" t="s">
        <v>3122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3123</v>
      </c>
      <c r="B1507" s="1" t="s">
        <v>3124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3125</v>
      </c>
      <c r="B1508" s="1" t="s">
        <v>3126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3127</v>
      </c>
      <c r="B1509" s="1" t="s">
        <v>3128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3129</v>
      </c>
      <c r="B1510" s="1" t="s">
        <v>3130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3131</v>
      </c>
      <c r="B1511" s="1" t="s">
        <v>3132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3133</v>
      </c>
      <c r="B1512" s="1" t="s">
        <v>3134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3135</v>
      </c>
      <c r="B1513" s="1" t="s">
        <v>3136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3137</v>
      </c>
      <c r="B1514" s="1" t="s">
        <v>3138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3139</v>
      </c>
      <c r="B1515" s="1" t="s">
        <v>3140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3141</v>
      </c>
      <c r="B1516" s="1" t="s">
        <v>3142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3143</v>
      </c>
      <c r="B1517" s="1" t="s">
        <v>3144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3145</v>
      </c>
      <c r="B1518" s="1" t="s">
        <v>3146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3147</v>
      </c>
      <c r="B1519" s="1" t="s">
        <v>3148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3149</v>
      </c>
      <c r="B1520" s="1" t="s">
        <v>3150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3151</v>
      </c>
      <c r="B1521" s="1" t="s">
        <v>3152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3153</v>
      </c>
      <c r="B1522" s="1" t="s">
        <v>3154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3155</v>
      </c>
      <c r="B1523" s="1" t="s">
        <v>3156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3157</v>
      </c>
      <c r="B1524" s="1" t="s">
        <v>3158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3159</v>
      </c>
      <c r="B1525" s="1" t="s">
        <v>3160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3161</v>
      </c>
      <c r="B1526" s="1" t="s">
        <v>3162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3163</v>
      </c>
      <c r="B1527" s="1" t="s">
        <v>3164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3165</v>
      </c>
      <c r="B1528" s="1" t="s">
        <v>3166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3167</v>
      </c>
      <c r="B1529" s="1" t="s">
        <v>3168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3169</v>
      </c>
      <c r="B1530" s="1" t="s">
        <v>3170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3171</v>
      </c>
      <c r="B1531" s="1" t="s">
        <v>3172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3173</v>
      </c>
      <c r="B1532" s="1" t="s">
        <v>3174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3175</v>
      </c>
      <c r="B1533" s="1" t="s">
        <v>3176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3177</v>
      </c>
      <c r="B1534" s="1" t="s">
        <v>3178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3179</v>
      </c>
      <c r="B1535" s="1" t="s">
        <v>3180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3181</v>
      </c>
      <c r="B1536" s="1" t="s">
        <v>3182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3183</v>
      </c>
      <c r="B1537" s="1" t="s">
        <v>3184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3185</v>
      </c>
      <c r="B1538" s="1" t="s">
        <v>3186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3187</v>
      </c>
      <c r="B1539" s="1" t="s">
        <v>3188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3189</v>
      </c>
      <c r="B1540" s="1" t="s">
        <v>3190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3191</v>
      </c>
      <c r="B1541" s="1" t="s">
        <v>3192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3193</v>
      </c>
      <c r="B1542" s="1" t="s">
        <v>3194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3195</v>
      </c>
      <c r="B1543" s="1" t="s">
        <v>3196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3197</v>
      </c>
      <c r="B1544" s="1" t="s">
        <v>3198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3199</v>
      </c>
      <c r="B1545" s="1" t="s">
        <v>3200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3201</v>
      </c>
      <c r="B1546" s="1" t="s">
        <v>3202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3203</v>
      </c>
      <c r="B1547" s="1" t="s">
        <v>3204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3205</v>
      </c>
      <c r="B1548" s="1" t="s">
        <v>3206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3207</v>
      </c>
      <c r="B1549" s="1" t="s">
        <v>3208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3209</v>
      </c>
      <c r="B1550" s="1" t="s">
        <v>3210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3211</v>
      </c>
      <c r="B1551" s="1" t="s">
        <v>3212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3213</v>
      </c>
      <c r="B1552" s="1" t="s">
        <v>3214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3215</v>
      </c>
      <c r="B1553" s="1" t="s">
        <v>3216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3217</v>
      </c>
      <c r="B1554" s="1" t="s">
        <v>3218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3219</v>
      </c>
      <c r="B1555" s="1" t="s">
        <v>3220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3221</v>
      </c>
      <c r="B1556" s="1" t="s">
        <v>3222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3223</v>
      </c>
      <c r="B1557" s="1" t="s">
        <v>3224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3225</v>
      </c>
      <c r="B1558" s="1" t="s">
        <v>3226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3227</v>
      </c>
      <c r="B1559" s="1" t="s">
        <v>3228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3229</v>
      </c>
      <c r="B1560" s="1" t="s">
        <v>3230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3231</v>
      </c>
      <c r="B1561" s="1" t="s">
        <v>3232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3233</v>
      </c>
      <c r="B1562" s="1" t="s">
        <v>3234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3235</v>
      </c>
      <c r="B1563" s="1" t="s">
        <v>3236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3237</v>
      </c>
      <c r="B1564" s="1" t="s">
        <v>3238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3239</v>
      </c>
      <c r="B1565" s="1" t="s">
        <v>3240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3241</v>
      </c>
      <c r="B1566" s="1" t="s">
        <v>3242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3243</v>
      </c>
      <c r="B1567" s="1" t="s">
        <v>3244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3245</v>
      </c>
      <c r="B1568" s="1" t="s">
        <v>3246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3247</v>
      </c>
      <c r="B1569" s="1" t="s">
        <v>3248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3249</v>
      </c>
      <c r="B1570" s="1" t="s">
        <v>3250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3251</v>
      </c>
      <c r="B1571" s="1" t="s">
        <v>3252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3253</v>
      </c>
      <c r="B1572" s="1" t="s">
        <v>3254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3255</v>
      </c>
      <c r="B1573" s="1" t="s">
        <v>3256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3257</v>
      </c>
      <c r="B1574" s="1" t="s">
        <v>3258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3259</v>
      </c>
      <c r="B1575" s="1" t="s">
        <v>3260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3261</v>
      </c>
      <c r="B1576" s="1" t="s">
        <v>3262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3263</v>
      </c>
      <c r="B1577" s="1" t="s">
        <v>3264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3265</v>
      </c>
      <c r="B1578" s="1" t="s">
        <v>3266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3267</v>
      </c>
      <c r="B1579" s="1" t="s">
        <v>3268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3269</v>
      </c>
      <c r="B1580" s="1" t="s">
        <v>3270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3271</v>
      </c>
      <c r="B1581" s="1" t="s">
        <v>3272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3273</v>
      </c>
      <c r="B1582" s="1" t="s">
        <v>3274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3275</v>
      </c>
      <c r="B1583" s="1" t="s">
        <v>3276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3277</v>
      </c>
      <c r="B1584" s="1" t="s">
        <v>3278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3279</v>
      </c>
      <c r="B1585" s="1" t="s">
        <v>3280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3281</v>
      </c>
      <c r="B1586" s="1" t="s">
        <v>3282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3283</v>
      </c>
      <c r="B1587" s="1" t="s">
        <v>3284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3285</v>
      </c>
      <c r="B1588" s="1" t="s">
        <v>3286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3287</v>
      </c>
      <c r="B1589" s="1" t="s">
        <v>3288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3289</v>
      </c>
      <c r="B1590" s="1" t="s">
        <v>3290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3291</v>
      </c>
      <c r="B1591" s="1" t="s">
        <v>3292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3293</v>
      </c>
      <c r="B1592" s="1" t="s">
        <v>3294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3295</v>
      </c>
      <c r="B1593" s="1" t="s">
        <v>3296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3297</v>
      </c>
      <c r="B1594" s="1" t="s">
        <v>3298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3299</v>
      </c>
      <c r="B1595" s="1" t="s">
        <v>3300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3301</v>
      </c>
      <c r="B1596" s="1" t="s">
        <v>3302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3303</v>
      </c>
      <c r="B1597" s="1" t="s">
        <v>3304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3305</v>
      </c>
      <c r="B1598" s="1" t="s">
        <v>3306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3307</v>
      </c>
      <c r="B1599" s="1" t="s">
        <v>3308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3309</v>
      </c>
      <c r="B1600" s="1" t="s">
        <v>3310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3311</v>
      </c>
      <c r="B1601" s="1" t="s">
        <v>3312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3313</v>
      </c>
      <c r="B1602" s="1" t="s">
        <v>3314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3315</v>
      </c>
      <c r="B1603" s="1" t="s">
        <v>3316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3317</v>
      </c>
      <c r="B1604" s="1" t="s">
        <v>3306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3318</v>
      </c>
      <c r="B1605" s="1" t="s">
        <v>3319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3320</v>
      </c>
      <c r="B1606" s="1" t="s">
        <v>3321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3322</v>
      </c>
      <c r="B1607" s="1" t="s">
        <v>3323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3324</v>
      </c>
      <c r="B1608" s="1" t="s">
        <v>3325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3326</v>
      </c>
      <c r="B1609" s="1" t="s">
        <v>3327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3328</v>
      </c>
      <c r="B1610" s="1" t="s">
        <v>3329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3330</v>
      </c>
      <c r="B1611" s="1" t="s">
        <v>3331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3332</v>
      </c>
      <c r="B1612" s="1" t="s">
        <v>3333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3334</v>
      </c>
      <c r="B1613" s="1" t="s">
        <v>3335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3336</v>
      </c>
      <c r="B1614" s="1" t="s">
        <v>3337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3338</v>
      </c>
      <c r="B1615" s="1" t="s">
        <v>3339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3340</v>
      </c>
      <c r="B1616" s="1" t="s">
        <v>3341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3342</v>
      </c>
      <c r="B1617" s="1" t="s">
        <v>3343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3344</v>
      </c>
      <c r="B1618" s="1" t="s">
        <v>3345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3346</v>
      </c>
      <c r="B1619" s="1" t="s">
        <v>3347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3348</v>
      </c>
      <c r="B1620" s="1" t="s">
        <v>3349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3350</v>
      </c>
      <c r="B1621" s="1" t="s">
        <v>3351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3352</v>
      </c>
      <c r="B1622" s="1" t="s">
        <v>3353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3354</v>
      </c>
      <c r="B1623" s="1" t="s">
        <v>3355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3356</v>
      </c>
      <c r="B1624" s="1" t="s">
        <v>3357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3358</v>
      </c>
      <c r="B1625" s="1" t="s">
        <v>3359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3360</v>
      </c>
      <c r="B1626" s="1" t="s">
        <v>3361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3362</v>
      </c>
      <c r="B1627" s="1" t="s">
        <v>3363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3364</v>
      </c>
      <c r="B1628" s="1" t="s">
        <v>3365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3366</v>
      </c>
      <c r="B1629" s="1" t="s">
        <v>3367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3368</v>
      </c>
      <c r="B1630" s="1" t="s">
        <v>3369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3370</v>
      </c>
      <c r="B1631" s="1" t="s">
        <v>3371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3372</v>
      </c>
      <c r="B1632" s="1" t="s">
        <v>3373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3374</v>
      </c>
      <c r="B1633" s="1" t="s">
        <v>3375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3376</v>
      </c>
      <c r="B1634" s="1" t="s">
        <v>3377</v>
      </c>
      <c r="C1634" s="1">
        <v>-28.2</v>
      </c>
      <c r="D1634" s="1">
        <v>120.433333</v>
      </c>
      <c r="E1634" s="1" t="str">
        <f>RIGHT(Airports[[#This Row],[ICAO]],3)</f>
        <v>PCS</v>
      </c>
      <c r="G1634" s="10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3378</v>
      </c>
      <c r="B1635" s="1" t="s">
        <v>3379</v>
      </c>
      <c r="C1635" s="1">
        <v>-11.35</v>
      </c>
      <c r="D1635" s="1">
        <v>132.583056</v>
      </c>
      <c r="E1635" s="1" t="str">
        <f>RIGHT(Airports[[#This Row],[ICAO]],3)</f>
        <v>PDD</v>
      </c>
      <c r="G1635" s="10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3380</v>
      </c>
      <c r="B1636" s="1" t="s">
        <v>3381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3382</v>
      </c>
      <c r="B1637" s="1" t="s">
        <v>3383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3384</v>
      </c>
      <c r="B1638" s="1" t="s">
        <v>3385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3386</v>
      </c>
      <c r="B1639" s="1" t="s">
        <v>3387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3388</v>
      </c>
      <c r="B1640" s="1" t="s">
        <v>3389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3390</v>
      </c>
      <c r="B1641" s="1" t="s">
        <v>3391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3392</v>
      </c>
      <c r="B1642" s="1" t="s">
        <v>3393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3394</v>
      </c>
      <c r="B1643" s="1" t="s">
        <v>3395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3396</v>
      </c>
      <c r="B1644" s="1" t="s">
        <v>3397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3398</v>
      </c>
      <c r="B1645" s="1" t="s">
        <v>3399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3400</v>
      </c>
      <c r="B1646" s="1" t="s">
        <v>3401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3402</v>
      </c>
      <c r="B1647" s="1" t="s">
        <v>3403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3404</v>
      </c>
      <c r="B1648" s="1" t="s">
        <v>3405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3406</v>
      </c>
      <c r="B1649" s="1" t="s">
        <v>3407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3408</v>
      </c>
      <c r="B1650" s="1" t="s">
        <v>3409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3410</v>
      </c>
      <c r="B1651" s="1" t="s">
        <v>3411</v>
      </c>
      <c r="C1651" s="1">
        <v>-33.020000000000003</v>
      </c>
      <c r="D1651" s="1">
        <v>115.701667</v>
      </c>
      <c r="G1651" s="10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3412</v>
      </c>
      <c r="B1652" s="1" t="s">
        <v>3413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3414</v>
      </c>
      <c r="B1653" s="1" t="s">
        <v>3415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3416</v>
      </c>
      <c r="B1654" s="1" t="s">
        <v>3417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3418</v>
      </c>
      <c r="B1655" s="1" t="s">
        <v>3419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3420</v>
      </c>
      <c r="B1656" s="1" t="s">
        <v>3421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3422</v>
      </c>
      <c r="B1657" s="1" t="s">
        <v>3423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3424</v>
      </c>
      <c r="B1658" s="1" t="s">
        <v>3425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3426</v>
      </c>
      <c r="B1659" s="1" t="s">
        <v>3427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3428</v>
      </c>
      <c r="B1660" s="1" t="s">
        <v>3429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3430</v>
      </c>
      <c r="B1661" s="1" t="s">
        <v>3431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3432</v>
      </c>
      <c r="B1662" s="1" t="s">
        <v>3433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3434</v>
      </c>
      <c r="B1663" s="1" t="s">
        <v>3435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3436</v>
      </c>
      <c r="B1664" s="1" t="s">
        <v>3437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3438</v>
      </c>
      <c r="B1665" s="1" t="s">
        <v>3439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3440</v>
      </c>
      <c r="B1666" s="1" t="s">
        <v>3441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3442</v>
      </c>
      <c r="B1667" s="1" t="s">
        <v>3443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3444</v>
      </c>
      <c r="B1668" s="1" t="s">
        <v>3445</v>
      </c>
      <c r="C1668" s="1">
        <v>-28.25</v>
      </c>
      <c r="D1668" s="1">
        <v>135.899722</v>
      </c>
      <c r="E1668" s="1" t="str">
        <f>RIGHT(Airports[[#This Row],[ICAO]],3)</f>
        <v>PKE</v>
      </c>
      <c r="G1668" s="10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3446</v>
      </c>
      <c r="B1669" s="1" t="s">
        <v>3447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3448</v>
      </c>
      <c r="B1670" s="1" t="s">
        <v>3449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3450</v>
      </c>
      <c r="B1671" s="1" t="s">
        <v>3451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3452</v>
      </c>
      <c r="B1672" s="1" t="s">
        <v>3453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3454</v>
      </c>
      <c r="B1673" s="1" t="s">
        <v>3455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3456</v>
      </c>
      <c r="B1674" s="1" t="s">
        <v>3457</v>
      </c>
      <c r="C1674" s="1">
        <v>-14.25</v>
      </c>
      <c r="D1674" s="1">
        <v>129.529167</v>
      </c>
      <c r="E1674" s="1" t="str">
        <f>RIGHT(Airports[[#This Row],[ICAO]],3)</f>
        <v>PKT</v>
      </c>
      <c r="G1674" s="10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3458</v>
      </c>
      <c r="B1675" s="1" t="s">
        <v>3459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3460</v>
      </c>
      <c r="B1676" s="1" t="s">
        <v>3461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3462</v>
      </c>
      <c r="B1677" s="1" t="s">
        <v>3463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3464</v>
      </c>
      <c r="B1678" s="1" t="s">
        <v>3465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3466</v>
      </c>
      <c r="B1679" s="1" t="s">
        <v>3467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3468</v>
      </c>
      <c r="B1680" s="1" t="s">
        <v>3469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3470</v>
      </c>
      <c r="B1681" s="1" t="s">
        <v>3471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3472</v>
      </c>
      <c r="B1682" s="1" t="s">
        <v>3473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3474</v>
      </c>
      <c r="B1683" s="1" t="s">
        <v>3475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3476</v>
      </c>
      <c r="B1684" s="1" t="s">
        <v>3477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3478</v>
      </c>
      <c r="B1685" s="1" t="s">
        <v>3479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3480</v>
      </c>
      <c r="B1686" s="1" t="s">
        <v>3481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3482</v>
      </c>
      <c r="B1687" s="1" t="s">
        <v>3483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3484</v>
      </c>
      <c r="B1688" s="1" t="s">
        <v>3485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3486</v>
      </c>
      <c r="B1689" s="1" t="s">
        <v>3487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3488</v>
      </c>
      <c r="B1690" s="1" t="s">
        <v>3489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3490</v>
      </c>
      <c r="B1691" s="1" t="s">
        <v>3491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3492</v>
      </c>
      <c r="B1692" s="1" t="s">
        <v>3493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3494</v>
      </c>
      <c r="B1693" s="1" t="s">
        <v>3495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3496</v>
      </c>
      <c r="B1694" s="1" t="s">
        <v>3497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3498</v>
      </c>
      <c r="B1695" s="1" t="s">
        <v>3499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3500</v>
      </c>
      <c r="B1696" s="1" t="s">
        <v>3501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3502</v>
      </c>
      <c r="B1697" s="1" t="s">
        <v>3503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3504</v>
      </c>
      <c r="B1698" s="1" t="s">
        <v>3505</v>
      </c>
      <c r="C1698" s="1">
        <v>-29.7775</v>
      </c>
      <c r="D1698" s="1">
        <v>122.2675</v>
      </c>
      <c r="E1698" s="1" t="str">
        <f>RIGHT(Airports[[#This Row],[ICAO]],3)</f>
        <v>POP</v>
      </c>
      <c r="G1698" s="10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3506</v>
      </c>
      <c r="B1699" s="1" t="s">
        <v>3507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3508</v>
      </c>
      <c r="B1700" s="1" t="s">
        <v>3509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3510</v>
      </c>
      <c r="B1701" s="1" t="s">
        <v>3511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3512</v>
      </c>
      <c r="B1702" s="1" t="s">
        <v>3513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3514</v>
      </c>
      <c r="B1703" s="1" t="s">
        <v>3515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3516</v>
      </c>
      <c r="B1704" s="1" t="s">
        <v>3517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3518</v>
      </c>
      <c r="B1705" s="1" t="s">
        <v>3519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3520</v>
      </c>
      <c r="B1706" s="1" t="s">
        <v>3521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3522</v>
      </c>
      <c r="B1707" s="1" t="s">
        <v>3523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3524</v>
      </c>
      <c r="B1708" s="1" t="s">
        <v>3525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3526</v>
      </c>
      <c r="B1709" s="1" t="s">
        <v>3527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3528</v>
      </c>
      <c r="B1710" s="1" t="s">
        <v>3529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3530</v>
      </c>
      <c r="B1711" s="1" t="s">
        <v>3531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3532</v>
      </c>
      <c r="B1712" s="1" t="s">
        <v>3533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3534</v>
      </c>
      <c r="B1713" s="1" t="s">
        <v>3535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3536</v>
      </c>
      <c r="B1714" s="1" t="s">
        <v>3537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3538</v>
      </c>
      <c r="B1715" s="1" t="s">
        <v>3539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3540</v>
      </c>
      <c r="B1716" s="1" t="s">
        <v>3541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3542</v>
      </c>
      <c r="B1717" s="1" t="s">
        <v>3543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3544</v>
      </c>
      <c r="B1718" s="1" t="s">
        <v>3545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3546</v>
      </c>
      <c r="B1719" s="1" t="s">
        <v>3547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3548</v>
      </c>
      <c r="B1720" s="1" t="s">
        <v>3549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3550</v>
      </c>
      <c r="B1721" s="1" t="s">
        <v>3551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3552</v>
      </c>
      <c r="B1722" s="1" t="s">
        <v>3553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3554</v>
      </c>
      <c r="B1723" s="1" t="s">
        <v>3555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3556</v>
      </c>
      <c r="B1724" s="1" t="s">
        <v>3557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3558</v>
      </c>
      <c r="B1725" s="1" t="s">
        <v>3559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3560</v>
      </c>
      <c r="B1726" s="1" t="s">
        <v>3561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3562</v>
      </c>
      <c r="B1727" s="1" t="s">
        <v>3563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3564</v>
      </c>
      <c r="B1728" s="1" t="s">
        <v>3565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3566</v>
      </c>
      <c r="B1729" s="1" t="s">
        <v>3567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3568</v>
      </c>
      <c r="B1730" s="1" t="s">
        <v>3569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3570</v>
      </c>
      <c r="B1731" s="1" t="s">
        <v>3571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3572</v>
      </c>
      <c r="B1732" s="1" t="s">
        <v>3573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3574</v>
      </c>
      <c r="B1733" s="1" t="s">
        <v>3575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3576</v>
      </c>
      <c r="B1734" s="1" t="s">
        <v>3577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3578</v>
      </c>
      <c r="B1735" s="1" t="s">
        <v>3579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3580</v>
      </c>
      <c r="B1736" s="1" t="s">
        <v>3581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3582</v>
      </c>
      <c r="B1737" s="1" t="s">
        <v>3583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3584</v>
      </c>
      <c r="B1738" s="1" t="s">
        <v>3585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3586</v>
      </c>
      <c r="B1739" s="1" t="s">
        <v>3587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3588</v>
      </c>
      <c r="B1740" s="1" t="s">
        <v>3589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3590</v>
      </c>
      <c r="B1741" s="1" t="s">
        <v>3591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3592</v>
      </c>
      <c r="B1742" s="1" t="s">
        <v>3593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3594</v>
      </c>
      <c r="B1743" s="1" t="s">
        <v>3595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3596</v>
      </c>
      <c r="B1744" s="1" t="s">
        <v>3597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3598</v>
      </c>
      <c r="B1745" s="1" t="s">
        <v>3599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3600</v>
      </c>
      <c r="B1746" s="1" t="s">
        <v>3601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3602</v>
      </c>
      <c r="B1747" s="1" t="s">
        <v>3603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3604</v>
      </c>
      <c r="B1748" s="1" t="s">
        <v>3605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3606</v>
      </c>
      <c r="B1749" s="1" t="s">
        <v>3607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3608</v>
      </c>
      <c r="B1750" s="1" t="s">
        <v>3609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3610</v>
      </c>
      <c r="B1751" s="1" t="s">
        <v>3611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3612</v>
      </c>
      <c r="B1752" s="1" t="s">
        <v>3613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3614</v>
      </c>
      <c r="B1753" s="1" t="s">
        <v>3615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3616</v>
      </c>
      <c r="B1754" s="1" t="s">
        <v>3617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3618</v>
      </c>
      <c r="B1755" s="1" t="s">
        <v>3619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3620</v>
      </c>
      <c r="B1756" s="1" t="s">
        <v>3621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3622</v>
      </c>
      <c r="B1757" s="1" t="s">
        <v>3623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3624</v>
      </c>
      <c r="B1758" s="1" t="s">
        <v>3625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3626</v>
      </c>
      <c r="B1759" s="1" t="s">
        <v>3627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3628</v>
      </c>
      <c r="B1760" s="1" t="s">
        <v>3629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3630</v>
      </c>
      <c r="B1761" s="1" t="s">
        <v>3631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3632</v>
      </c>
      <c r="B1762" s="1" t="s">
        <v>3633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3634</v>
      </c>
      <c r="B1763" s="1" t="s">
        <v>3635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3636</v>
      </c>
      <c r="B1764" s="1" t="s">
        <v>3637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3638</v>
      </c>
      <c r="B1765" s="1" t="s">
        <v>3639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3640</v>
      </c>
      <c r="B1766" s="1" t="s">
        <v>3641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3642</v>
      </c>
      <c r="B1767" s="1" t="s">
        <v>3643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3644</v>
      </c>
      <c r="B1768" s="1" t="s">
        <v>3645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3646</v>
      </c>
      <c r="B1769" s="1" t="s">
        <v>3647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3648</v>
      </c>
      <c r="B1770" s="1" t="s">
        <v>3649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3650</v>
      </c>
      <c r="B1771" s="1" t="s">
        <v>3651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3652</v>
      </c>
      <c r="B1772" s="1" t="s">
        <v>3653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3654</v>
      </c>
      <c r="B1773" s="1" t="s">
        <v>3655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3656</v>
      </c>
      <c r="B1774" s="1" t="s">
        <v>3657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3658</v>
      </c>
      <c r="B1775" s="1" t="s">
        <v>3659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3660</v>
      </c>
      <c r="B1776" s="1" t="s">
        <v>3661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3662</v>
      </c>
      <c r="B1777" s="1" t="s">
        <v>3663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3664</v>
      </c>
      <c r="B1778" s="1" t="s">
        <v>3665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3666</v>
      </c>
      <c r="B1779" s="1" t="s">
        <v>3667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3668</v>
      </c>
      <c r="B1780" s="1" t="s">
        <v>3669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3670</v>
      </c>
      <c r="B1781" s="1" t="s">
        <v>3671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3672</v>
      </c>
      <c r="B1782" s="1" t="s">
        <v>3673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3674</v>
      </c>
      <c r="B1783" s="1" t="s">
        <v>3675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3676</v>
      </c>
      <c r="B1784" s="1" t="s">
        <v>3677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3678</v>
      </c>
      <c r="B1785" s="1" t="s">
        <v>3679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3680</v>
      </c>
      <c r="B1786" s="1" t="s">
        <v>3681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3682</v>
      </c>
      <c r="B1787" s="1" t="s">
        <v>3683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3684</v>
      </c>
      <c r="B1788" s="1" t="s">
        <v>3685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3686</v>
      </c>
      <c r="B1789" s="1" t="s">
        <v>3687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3688</v>
      </c>
      <c r="B1790" s="1" t="s">
        <v>3689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3690</v>
      </c>
      <c r="B1791" s="1" t="s">
        <v>3691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3692</v>
      </c>
      <c r="B1792" s="1" t="s">
        <v>3693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3694</v>
      </c>
      <c r="B1793" s="1" t="s">
        <v>3695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3696</v>
      </c>
      <c r="B1794" s="1" t="s">
        <v>3697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3698</v>
      </c>
      <c r="B1795" s="1" t="s">
        <v>3699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3700</v>
      </c>
      <c r="B1796" s="1" t="s">
        <v>3701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3702</v>
      </c>
      <c r="B1797" s="1" t="s">
        <v>3703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3704</v>
      </c>
      <c r="B1798" s="1" t="s">
        <v>3705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3706</v>
      </c>
      <c r="B1799" s="1" t="s">
        <v>3707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3708</v>
      </c>
      <c r="B1800" s="1" t="s">
        <v>3709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3710</v>
      </c>
      <c r="B1801" s="1" t="s">
        <v>3711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3712</v>
      </c>
      <c r="B1802" s="1" t="s">
        <v>3713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3714</v>
      </c>
      <c r="B1803" s="1" t="s">
        <v>3715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3716</v>
      </c>
      <c r="B1804" s="1" t="s">
        <v>3717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3718</v>
      </c>
      <c r="B1805" s="1" t="s">
        <v>3719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3720</v>
      </c>
      <c r="B1806" s="1" t="s">
        <v>3721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3722</v>
      </c>
      <c r="B1807" s="1" t="s">
        <v>3723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3724</v>
      </c>
      <c r="B1808" s="1" t="s">
        <v>3725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3726</v>
      </c>
      <c r="B1809" s="1" t="s">
        <v>3727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3728</v>
      </c>
      <c r="B1810" s="1" t="s">
        <v>3729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3730</v>
      </c>
      <c r="B1811" s="1" t="s">
        <v>3731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3732</v>
      </c>
      <c r="B1812" s="1" t="s">
        <v>3733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3734</v>
      </c>
      <c r="B1813" s="1" t="s">
        <v>3735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3736</v>
      </c>
      <c r="B1814" s="1" t="s">
        <v>3737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3738</v>
      </c>
      <c r="B1815" s="1" t="s">
        <v>3739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3740</v>
      </c>
      <c r="B1816" s="1" t="s">
        <v>3741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3742</v>
      </c>
      <c r="B1817" s="1" t="s">
        <v>3743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3744</v>
      </c>
      <c r="B1818" s="1" t="s">
        <v>3745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3746</v>
      </c>
      <c r="B1819" s="1" t="s">
        <v>3747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3748</v>
      </c>
      <c r="B1820" s="1" t="s">
        <v>3749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3750</v>
      </c>
      <c r="B1821" s="1" t="s">
        <v>3751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3752</v>
      </c>
      <c r="B1822" s="1" t="s">
        <v>3753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3754</v>
      </c>
      <c r="B1823" s="1" t="s">
        <v>3755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3756</v>
      </c>
      <c r="B1824" s="1" t="s">
        <v>3757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3758</v>
      </c>
      <c r="B1825" s="1" t="s">
        <v>3759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3760</v>
      </c>
      <c r="B1826" s="1" t="s">
        <v>3761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3762</v>
      </c>
      <c r="B1827" s="1" t="s">
        <v>3763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3764</v>
      </c>
      <c r="B1828" s="1" t="s">
        <v>3765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3766</v>
      </c>
      <c r="B1829" s="1" t="s">
        <v>3767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3768</v>
      </c>
      <c r="B1830" s="1" t="s">
        <v>3769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3770</v>
      </c>
      <c r="B1831" s="1" t="s">
        <v>3771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3772</v>
      </c>
      <c r="B1832" s="1" t="s">
        <v>3773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3774</v>
      </c>
      <c r="B1833" s="1" t="s">
        <v>3775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3776</v>
      </c>
      <c r="B1834" s="1" t="s">
        <v>3777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3778</v>
      </c>
      <c r="B1835" s="1" t="s">
        <v>3779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3780</v>
      </c>
      <c r="B1836" s="1" t="s">
        <v>3781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3782</v>
      </c>
      <c r="B1837" s="1" t="s">
        <v>3783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3784</v>
      </c>
      <c r="B1838" s="1" t="s">
        <v>3785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3786</v>
      </c>
      <c r="B1839" s="1" t="s">
        <v>3787</v>
      </c>
      <c r="C1839" s="1">
        <v>-27.043056</v>
      </c>
      <c r="D1839" s="1">
        <v>135.24194399999999</v>
      </c>
      <c r="G1839" s="10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3788</v>
      </c>
      <c r="B1840" s="1" t="s">
        <v>3789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3790</v>
      </c>
      <c r="B1841" s="1" t="s">
        <v>3791</v>
      </c>
      <c r="C1841" s="1">
        <v>-37.53</v>
      </c>
      <c r="D1841" s="1">
        <v>144.748333</v>
      </c>
      <c r="E1841" s="1" t="str">
        <f>RIGHT(Airports[[#This Row],[ICAO]],3)</f>
        <v>SBE</v>
      </c>
      <c r="G1841" s="10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3792</v>
      </c>
      <c r="B1842" s="1" t="s">
        <v>3793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3794</v>
      </c>
      <c r="B1843" s="1" t="s">
        <v>3795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3796</v>
      </c>
      <c r="B1844" s="1" t="s">
        <v>3797</v>
      </c>
      <c r="C1844" s="1">
        <v>-20.43</v>
      </c>
      <c r="D1844" s="1">
        <v>116.714167</v>
      </c>
      <c r="E1844" s="1" t="str">
        <f>RIGHT(Airports[[#This Row],[ICAO]],3)</f>
        <v>SBY</v>
      </c>
      <c r="G1844" s="10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3798</v>
      </c>
      <c r="B1845" s="1" t="s">
        <v>3799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3800</v>
      </c>
      <c r="B1846" s="1" t="s">
        <v>3801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3802</v>
      </c>
      <c r="B1847" s="1" t="s">
        <v>3803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3804</v>
      </c>
      <c r="B1848" s="1" t="s">
        <v>3805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3806</v>
      </c>
      <c r="B1849" s="1" t="s">
        <v>3807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3808</v>
      </c>
      <c r="B1850" s="1" t="s">
        <v>3809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3810</v>
      </c>
      <c r="B1851" s="1" t="s">
        <v>3811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3812</v>
      </c>
      <c r="B1852" s="1" t="s">
        <v>3813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3814</v>
      </c>
      <c r="B1853" s="1" t="s">
        <v>3815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3816</v>
      </c>
      <c r="B1854" s="1" t="s">
        <v>3817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3818</v>
      </c>
      <c r="B1855" s="1" t="s">
        <v>3819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3820</v>
      </c>
      <c r="B1856" s="1" t="s">
        <v>3821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3822</v>
      </c>
      <c r="B1857" s="1" t="s">
        <v>3823</v>
      </c>
      <c r="C1857" s="1">
        <v>-34.567222000000001</v>
      </c>
      <c r="D1857" s="1">
        <v>139.33500000000001</v>
      </c>
      <c r="G1857" s="10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3824</v>
      </c>
      <c r="B1858" s="1" t="s">
        <v>3825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3826</v>
      </c>
      <c r="B1859" s="1" t="s">
        <v>3827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3828</v>
      </c>
      <c r="B1860" s="1" t="s">
        <v>3829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3830</v>
      </c>
      <c r="B1861" s="1" t="s">
        <v>3831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3832</v>
      </c>
      <c r="B1862" s="1" t="s">
        <v>3833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3834</v>
      </c>
      <c r="B1863" s="1" t="s">
        <v>3835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3836</v>
      </c>
      <c r="B1864" s="1" t="s">
        <v>3837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3838</v>
      </c>
      <c r="B1865" s="1" t="s">
        <v>3839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3840</v>
      </c>
      <c r="B1866" s="1" t="s">
        <v>3841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3842</v>
      </c>
      <c r="B1867" s="1" t="s">
        <v>3837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3843</v>
      </c>
      <c r="B1868" s="1" t="s">
        <v>3844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3845</v>
      </c>
      <c r="B1869" s="1" t="s">
        <v>3846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3847</v>
      </c>
      <c r="B1870" s="1" t="s">
        <v>3848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3849</v>
      </c>
      <c r="B1871" s="1" t="s">
        <v>3850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3851</v>
      </c>
      <c r="B1872" s="1" t="s">
        <v>3852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3853</v>
      </c>
      <c r="B1873" s="1" t="s">
        <v>3854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3855</v>
      </c>
      <c r="B1874" s="1" t="s">
        <v>3856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3857</v>
      </c>
      <c r="B1875" s="1" t="s">
        <v>3858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3859</v>
      </c>
      <c r="B1876" s="1" t="s">
        <v>3860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3861</v>
      </c>
      <c r="B1877" s="1" t="s">
        <v>3862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3863</v>
      </c>
      <c r="B1878" s="1" t="s">
        <v>3864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3865</v>
      </c>
      <c r="B1879" s="1" t="s">
        <v>3866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3867</v>
      </c>
      <c r="B1880" s="1" t="s">
        <v>3868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3869</v>
      </c>
      <c r="B1881" s="1" t="s">
        <v>3870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3871</v>
      </c>
      <c r="B1882" s="1" t="s">
        <v>3872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3873</v>
      </c>
      <c r="B1883" s="1" t="s">
        <v>3874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3875</v>
      </c>
      <c r="B1884" s="1" t="s">
        <v>3876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3877</v>
      </c>
      <c r="B1885" s="1" t="s">
        <v>3878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3879</v>
      </c>
      <c r="B1886" s="1" t="s">
        <v>3880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3881</v>
      </c>
      <c r="B1887" s="1" t="s">
        <v>3882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3883</v>
      </c>
      <c r="B1888" s="1" t="s">
        <v>3884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3885</v>
      </c>
      <c r="B1889" s="1" t="s">
        <v>3886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3887</v>
      </c>
      <c r="B1890" s="1" t="s">
        <v>3888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3889</v>
      </c>
      <c r="B1891" s="1" t="s">
        <v>3890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3891</v>
      </c>
      <c r="B1892" s="1" t="s">
        <v>3892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3893</v>
      </c>
      <c r="B1893" s="1" t="s">
        <v>3894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3895</v>
      </c>
      <c r="B1894" s="1" t="s">
        <v>3896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3897</v>
      </c>
      <c r="B1895" s="1" t="s">
        <v>3898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3899</v>
      </c>
      <c r="B1896" s="1" t="s">
        <v>3900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3901</v>
      </c>
      <c r="B1897" s="1" t="s">
        <v>3902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3903</v>
      </c>
      <c r="B1898" s="1" t="s">
        <v>3904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3905</v>
      </c>
      <c r="B1899" s="1" t="s">
        <v>3906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3907</v>
      </c>
      <c r="B1900" s="1" t="s">
        <v>3908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3909</v>
      </c>
      <c r="B1901" s="1" t="s">
        <v>3910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3911</v>
      </c>
      <c r="B1902" s="1" t="s">
        <v>3912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3913</v>
      </c>
      <c r="B1903" s="1" t="s">
        <v>3914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3915</v>
      </c>
      <c r="B1904" s="1" t="s">
        <v>3916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3917</v>
      </c>
      <c r="B1905" s="1" t="s">
        <v>3918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3919</v>
      </c>
      <c r="B1906" s="1" t="s">
        <v>3920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3921</v>
      </c>
      <c r="B1907" s="1" t="s">
        <v>3922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3923</v>
      </c>
      <c r="B1908" s="1" t="s">
        <v>3924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3925</v>
      </c>
      <c r="B1909" s="1" t="s">
        <v>3926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3927</v>
      </c>
      <c r="B1910" s="1" t="s">
        <v>3928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3929</v>
      </c>
      <c r="B1911" s="1" t="s">
        <v>3930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3931</v>
      </c>
      <c r="B1912" s="1" t="s">
        <v>3932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3933</v>
      </c>
      <c r="B1913" s="1" t="s">
        <v>3934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3935</v>
      </c>
      <c r="B1914" s="1" t="s">
        <v>3936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3937</v>
      </c>
      <c r="B1915" s="1" t="s">
        <v>3938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3939</v>
      </c>
      <c r="B1916" s="1" t="s">
        <v>3940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3941</v>
      </c>
      <c r="B1917" s="1" t="s">
        <v>3942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3943</v>
      </c>
      <c r="B1918" s="1" t="s">
        <v>3944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3945</v>
      </c>
      <c r="B1919" s="1" t="s">
        <v>3946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3947</v>
      </c>
      <c r="B1920" s="1" t="s">
        <v>3948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3949</v>
      </c>
      <c r="B1921" s="1" t="s">
        <v>3950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3951</v>
      </c>
      <c r="B1922" s="1" t="s">
        <v>3952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3953</v>
      </c>
      <c r="B1923" s="1" t="s">
        <v>3954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3955</v>
      </c>
      <c r="B1924" s="1" t="s">
        <v>3956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3957</v>
      </c>
      <c r="B1925" s="1" t="s">
        <v>3958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3959</v>
      </c>
      <c r="B1926" s="1" t="s">
        <v>3960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3961</v>
      </c>
      <c r="B1927" s="1" t="s">
        <v>3962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3963</v>
      </c>
      <c r="B1928" s="1" t="s">
        <v>3964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3965</v>
      </c>
      <c r="B1929" s="1" t="s">
        <v>3966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3967</v>
      </c>
      <c r="B1930" s="1" t="s">
        <v>3968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3969</v>
      </c>
      <c r="B1931" s="1" t="s">
        <v>3970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3971</v>
      </c>
      <c r="B1932" s="1" t="s">
        <v>3972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3973</v>
      </c>
      <c r="B1933" s="1" t="s">
        <v>3974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3975</v>
      </c>
      <c r="B1934" s="1" t="s">
        <v>3976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3977</v>
      </c>
      <c r="B1935" s="1" t="s">
        <v>3978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3979</v>
      </c>
      <c r="B1936" s="1" t="s">
        <v>3980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3981</v>
      </c>
      <c r="B1937" s="1" t="s">
        <v>3982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3983</v>
      </c>
      <c r="B1938" s="1" t="s">
        <v>3984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3985</v>
      </c>
      <c r="B1939" s="1" t="s">
        <v>3986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3987</v>
      </c>
      <c r="B1940" s="1" t="s">
        <v>3988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3989</v>
      </c>
      <c r="B1941" s="1" t="s">
        <v>3990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3991</v>
      </c>
      <c r="B1942" s="1" t="s">
        <v>3992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3993</v>
      </c>
      <c r="B1943" s="1" t="s">
        <v>3994</v>
      </c>
      <c r="C1943" s="1">
        <v>-14.9</v>
      </c>
      <c r="D1943" s="1">
        <v>142.966667</v>
      </c>
      <c r="E1943" s="1" t="str">
        <f>RIGHT(Airports[[#This Row],[ICAO]],3)</f>
        <v>SVN</v>
      </c>
      <c r="G1943" s="10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3995</v>
      </c>
      <c r="B1944" s="1" t="s">
        <v>3996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3997</v>
      </c>
      <c r="B1945" s="1" t="s">
        <v>3998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3999</v>
      </c>
      <c r="B1946" s="1" t="s">
        <v>4000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4001</v>
      </c>
      <c r="B1947" s="1" t="s">
        <v>4002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4003</v>
      </c>
      <c r="B1948" s="1" t="s">
        <v>4004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4005</v>
      </c>
      <c r="B1949" s="1" t="s">
        <v>4006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4007</v>
      </c>
      <c r="B1950" s="1" t="s">
        <v>4008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4009</v>
      </c>
      <c r="B1951" s="1" t="s">
        <v>4010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4011</v>
      </c>
      <c r="B1952" s="1" t="s">
        <v>4006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4012</v>
      </c>
      <c r="B1953" s="1" t="s">
        <v>4013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4014</v>
      </c>
      <c r="B1954" s="1" t="s">
        <v>4015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4016</v>
      </c>
      <c r="B1955" s="1" t="s">
        <v>4017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4018</v>
      </c>
      <c r="B1956" s="1" t="s">
        <v>4019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4020</v>
      </c>
      <c r="B1957" s="1" t="s">
        <v>4021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4022</v>
      </c>
      <c r="B1958" s="1" t="s">
        <v>4023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4024</v>
      </c>
      <c r="B1959" s="1" t="s">
        <v>4025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4026</v>
      </c>
      <c r="B1960" s="1" t="s">
        <v>4027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4028</v>
      </c>
      <c r="B1961" s="1" t="s">
        <v>4029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4030</v>
      </c>
      <c r="B1962" s="1" t="s">
        <v>4031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4032</v>
      </c>
      <c r="B1963" s="1" t="s">
        <v>4033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4034</v>
      </c>
      <c r="B1964" s="1" t="s">
        <v>4035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4036</v>
      </c>
      <c r="B1965" s="1" t="s">
        <v>4037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4038</v>
      </c>
      <c r="B1966" s="1" t="s">
        <v>4039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4040</v>
      </c>
      <c r="B1967" s="1" t="s">
        <v>4041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4042</v>
      </c>
      <c r="B1968" s="1" t="s">
        <v>4043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4044</v>
      </c>
      <c r="B1969" s="1" t="s">
        <v>4045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4046</v>
      </c>
      <c r="B1970" s="1" t="s">
        <v>4047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4048</v>
      </c>
      <c r="B1971" s="1" t="s">
        <v>4049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4050</v>
      </c>
      <c r="B1972" s="1" t="s">
        <v>4051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4052</v>
      </c>
      <c r="B1973" s="1" t="s">
        <v>4053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4054</v>
      </c>
      <c r="B1974" s="1" t="s">
        <v>4055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4056</v>
      </c>
      <c r="B1975" s="1" t="s">
        <v>4057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4058</v>
      </c>
      <c r="B1976" s="1" t="s">
        <v>4059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4060</v>
      </c>
      <c r="B1977" s="1" t="s">
        <v>4061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4062</v>
      </c>
      <c r="B1978" s="1" t="s">
        <v>4063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4064</v>
      </c>
      <c r="B1979" s="1" t="s">
        <v>4065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4066</v>
      </c>
      <c r="B1980" s="1" t="s">
        <v>4067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4068</v>
      </c>
      <c r="B1981" s="1" t="s">
        <v>4069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4070</v>
      </c>
      <c r="B1982" s="1" t="s">
        <v>4071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4072</v>
      </c>
      <c r="B1983" s="1" t="s">
        <v>4073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4074</v>
      </c>
      <c r="B1984" s="1" t="s">
        <v>4075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4076</v>
      </c>
      <c r="B1985" s="1" t="s">
        <v>4077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4078</v>
      </c>
      <c r="B1986" s="1" t="s">
        <v>4079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4080</v>
      </c>
      <c r="B1987" s="1" t="s">
        <v>4081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4082</v>
      </c>
      <c r="B1988" s="1" t="s">
        <v>4083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4084</v>
      </c>
      <c r="B1989" s="1" t="s">
        <v>4085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4086</v>
      </c>
      <c r="B1990" s="1" t="s">
        <v>4087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4088</v>
      </c>
      <c r="B1991" s="1" t="s">
        <v>4089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4090</v>
      </c>
      <c r="B1992" s="1" t="s">
        <v>4091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4092</v>
      </c>
      <c r="B1993" s="1" t="s">
        <v>4093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4094</v>
      </c>
      <c r="B1994" s="1" t="s">
        <v>4095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4096</v>
      </c>
      <c r="B1995" s="1" t="s">
        <v>4097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4098</v>
      </c>
      <c r="B1996" s="1" t="s">
        <v>4099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4100</v>
      </c>
      <c r="B1997" s="1" t="s">
        <v>4101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4102</v>
      </c>
      <c r="B1998" s="1" t="s">
        <v>4103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4104</v>
      </c>
      <c r="B1999" s="1" t="s">
        <v>4105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4106</v>
      </c>
      <c r="B2000" s="1" t="s">
        <v>4107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4108</v>
      </c>
      <c r="B2001" s="1" t="s">
        <v>4109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4110</v>
      </c>
      <c r="B2002" s="1" t="s">
        <v>4111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4112</v>
      </c>
      <c r="B2003" s="1" t="s">
        <v>4113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4114</v>
      </c>
      <c r="B2004" s="1" t="s">
        <v>4115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4116</v>
      </c>
      <c r="B2005" s="1" t="s">
        <v>4117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4118</v>
      </c>
      <c r="B2006" s="1" t="s">
        <v>4119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4120</v>
      </c>
      <c r="B2007" s="1" t="s">
        <v>4121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4122</v>
      </c>
      <c r="B2008" s="1" t="s">
        <v>4123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4124</v>
      </c>
      <c r="B2009" s="1" t="s">
        <v>4125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4126</v>
      </c>
      <c r="B2010" s="1" t="s">
        <v>4127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4128</v>
      </c>
      <c r="B2011" s="1" t="s">
        <v>4129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4130</v>
      </c>
      <c r="B2012" s="1" t="s">
        <v>4131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4132</v>
      </c>
      <c r="B2013" s="1" t="s">
        <v>4133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4134</v>
      </c>
      <c r="B2014" s="1" t="s">
        <v>4135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4136</v>
      </c>
      <c r="B2015" s="1" t="s">
        <v>4137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4138</v>
      </c>
      <c r="B2016" s="1" t="s">
        <v>4139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4140</v>
      </c>
      <c r="B2017" s="1" t="s">
        <v>4141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4142</v>
      </c>
      <c r="B2018" s="1" t="s">
        <v>4143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4144</v>
      </c>
      <c r="B2019" s="1" t="s">
        <v>4145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4146</v>
      </c>
      <c r="B2020" s="1" t="s">
        <v>4147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4148</v>
      </c>
      <c r="B2021" s="1" t="s">
        <v>4149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4150</v>
      </c>
      <c r="B2022" s="1" t="s">
        <v>4151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4152</v>
      </c>
      <c r="B2023" s="1" t="s">
        <v>4153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4154</v>
      </c>
      <c r="B2024" s="1" t="s">
        <v>4155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4156</v>
      </c>
      <c r="B2025" s="1" t="s">
        <v>4157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4158</v>
      </c>
      <c r="B2026" s="1" t="s">
        <v>4159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4160</v>
      </c>
      <c r="B2027" s="1" t="s">
        <v>4161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4162</v>
      </c>
      <c r="B2028" s="1" t="s">
        <v>4163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4164</v>
      </c>
      <c r="B2029" s="1" t="s">
        <v>4165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4166</v>
      </c>
      <c r="B2030" s="1" t="s">
        <v>4167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4168</v>
      </c>
      <c r="B2031" s="1" t="s">
        <v>4169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4170</v>
      </c>
      <c r="B2032" s="1" t="s">
        <v>4171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4172</v>
      </c>
      <c r="B2033" s="1" t="s">
        <v>4173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4174</v>
      </c>
      <c r="B2034" s="1" t="s">
        <v>4175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4176</v>
      </c>
      <c r="B2035" s="1" t="s">
        <v>4177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4178</v>
      </c>
      <c r="B2036" s="1" t="s">
        <v>4179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4180</v>
      </c>
      <c r="B2037" s="1" t="s">
        <v>4181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4182</v>
      </c>
      <c r="B2038" s="1" t="s">
        <v>4183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4184</v>
      </c>
      <c r="B2039" s="1" t="s">
        <v>4185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4186</v>
      </c>
      <c r="B2040" s="1" t="s">
        <v>4187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4188</v>
      </c>
      <c r="B2041" s="1" t="s">
        <v>4189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4190</v>
      </c>
      <c r="B2042" s="1" t="s">
        <v>4191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4192</v>
      </c>
      <c r="B2043" s="1" t="s">
        <v>4193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4194</v>
      </c>
      <c r="B2044" s="1" t="s">
        <v>4195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4196</v>
      </c>
      <c r="B2045" s="1" t="s">
        <v>4197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4198</v>
      </c>
      <c r="B2046" s="1" t="s">
        <v>4199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4200</v>
      </c>
      <c r="B2047" s="1" t="s">
        <v>4201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4202</v>
      </c>
      <c r="B2048" s="1" t="s">
        <v>4203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4204</v>
      </c>
      <c r="B2049" s="1" t="s">
        <v>4205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4206</v>
      </c>
      <c r="B2050" s="1" t="s">
        <v>4207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4208</v>
      </c>
      <c r="B2051" s="1" t="s">
        <v>4209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4210</v>
      </c>
      <c r="B2052" s="1" t="s">
        <v>4211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4212</v>
      </c>
      <c r="B2053" s="1" t="s">
        <v>4213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4214</v>
      </c>
      <c r="B2054" s="1" t="s">
        <v>4215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4216</v>
      </c>
      <c r="B2055" s="1" t="s">
        <v>4119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4217</v>
      </c>
      <c r="B2056" s="1" t="s">
        <v>4218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4219</v>
      </c>
      <c r="B2057" s="1" t="s">
        <v>4220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4221</v>
      </c>
      <c r="B2058" s="1" t="s">
        <v>4222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4223</v>
      </c>
      <c r="B2059" s="1" t="s">
        <v>4224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4225</v>
      </c>
      <c r="B2060" s="1" t="s">
        <v>4226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4227</v>
      </c>
      <c r="B2061" s="1" t="s">
        <v>4228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4229</v>
      </c>
      <c r="B2062" s="1" t="s">
        <v>4230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4231</v>
      </c>
      <c r="B2063" s="1" t="s">
        <v>4232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4233</v>
      </c>
      <c r="B2064" s="1" t="s">
        <v>4234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4235</v>
      </c>
      <c r="B2065" s="1" t="s">
        <v>4236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4237</v>
      </c>
      <c r="B2066" s="1" t="s">
        <v>4238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4239</v>
      </c>
      <c r="B2067" s="1" t="s">
        <v>4240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4241</v>
      </c>
      <c r="B2068" s="1" t="s">
        <v>4242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4243</v>
      </c>
      <c r="B2069" s="1" t="s">
        <v>4244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4245</v>
      </c>
      <c r="B2070" s="1" t="s">
        <v>4246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4247</v>
      </c>
      <c r="B2071" s="1" t="s">
        <v>4248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4249</v>
      </c>
      <c r="B2072" s="1" t="s">
        <v>4250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4251</v>
      </c>
      <c r="B2073" s="1" t="s">
        <v>4252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4253</v>
      </c>
      <c r="B2074" s="1" t="s">
        <v>4254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4255</v>
      </c>
      <c r="B2075" s="1" t="s">
        <v>4256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4257</v>
      </c>
      <c r="B2076" s="1" t="s">
        <v>4258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4259</v>
      </c>
      <c r="B2077" s="1" t="s">
        <v>4260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4261</v>
      </c>
      <c r="B2078" s="1" t="s">
        <v>4262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4263</v>
      </c>
      <c r="B2079" s="1" t="s">
        <v>4264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4265</v>
      </c>
      <c r="B2080" s="1" t="s">
        <v>4266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4267</v>
      </c>
      <c r="B2081" s="1" t="s">
        <v>4268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4269</v>
      </c>
      <c r="B2082" s="1" t="s">
        <v>4270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4271</v>
      </c>
      <c r="B2083" s="1" t="s">
        <v>4272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4273</v>
      </c>
      <c r="B2084" s="1" t="s">
        <v>4274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4275</v>
      </c>
      <c r="B2085" s="1" t="s">
        <v>4276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4277</v>
      </c>
      <c r="B2086" s="1" t="s">
        <v>4278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4279</v>
      </c>
      <c r="B2087" s="1" t="s">
        <v>4280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4281</v>
      </c>
      <c r="B2088" s="1" t="s">
        <v>4282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4283</v>
      </c>
      <c r="B2089" s="1" t="s">
        <v>4284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4285</v>
      </c>
      <c r="B2090" s="1" t="s">
        <v>4286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4287</v>
      </c>
      <c r="B2091" s="1" t="s">
        <v>4288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4289</v>
      </c>
      <c r="B2092" s="1" t="s">
        <v>4290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4291</v>
      </c>
      <c r="B2093" s="1" t="s">
        <v>4292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4293</v>
      </c>
      <c r="B2094" s="1" t="s">
        <v>4294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4295</v>
      </c>
      <c r="B2095" s="1" t="s">
        <v>4296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4297</v>
      </c>
      <c r="B2096" s="1" t="s">
        <v>4298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4299</v>
      </c>
      <c r="B2097" s="1" t="s">
        <v>4300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4301</v>
      </c>
      <c r="B2098" s="1" t="s">
        <v>4302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4303</v>
      </c>
      <c r="B2099" s="1" t="s">
        <v>4304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4305</v>
      </c>
      <c r="B2100" s="1" t="s">
        <v>4306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4307</v>
      </c>
      <c r="B2101" s="1" t="s">
        <v>4308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4309</v>
      </c>
      <c r="B2102" s="1" t="s">
        <v>4310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4311</v>
      </c>
      <c r="B2103" s="1" t="s">
        <v>4312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4313</v>
      </c>
      <c r="B2104" s="1" t="s">
        <v>4314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4315</v>
      </c>
      <c r="B2105" s="1" t="s">
        <v>4316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4317</v>
      </c>
      <c r="B2106" s="1" t="s">
        <v>4318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4319</v>
      </c>
      <c r="B2107" s="1" t="s">
        <v>4320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4321</v>
      </c>
      <c r="B2108" s="1" t="s">
        <v>4322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4323</v>
      </c>
      <c r="B2109" s="1" t="s">
        <v>4324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4325</v>
      </c>
      <c r="B2110" s="1" t="s">
        <v>4326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4327</v>
      </c>
      <c r="B2111" s="1" t="s">
        <v>4328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4329</v>
      </c>
      <c r="B2112" s="1" t="s">
        <v>4330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4331</v>
      </c>
      <c r="B2113" s="1" t="s">
        <v>4332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4333</v>
      </c>
      <c r="B2114" s="1" t="s">
        <v>4334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4335</v>
      </c>
      <c r="B2115" s="1" t="s">
        <v>4336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4337</v>
      </c>
      <c r="B2116" s="1" t="s">
        <v>4338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4339</v>
      </c>
      <c r="B2117" s="1" t="s">
        <v>4340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4341</v>
      </c>
      <c r="B2118" s="1" t="s">
        <v>4342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4343</v>
      </c>
      <c r="B2119" s="1" t="s">
        <v>4344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4345</v>
      </c>
      <c r="B2120" s="1" t="s">
        <v>4346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4347</v>
      </c>
      <c r="B2121" s="1" t="s">
        <v>4348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4349</v>
      </c>
      <c r="B2122" s="1" t="s">
        <v>4350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4351</v>
      </c>
      <c r="B2123" s="1" t="s">
        <v>4352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4353</v>
      </c>
      <c r="B2124" s="1" t="s">
        <v>4354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4355</v>
      </c>
      <c r="B2125" s="1" t="s">
        <v>4356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4357</v>
      </c>
      <c r="B2126" s="1" t="s">
        <v>4358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4359</v>
      </c>
      <c r="B2127" s="1" t="s">
        <v>4360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4361</v>
      </c>
      <c r="B2128" s="1" t="s">
        <v>4362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4363</v>
      </c>
      <c r="B2129" s="1" t="s">
        <v>4364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4365</v>
      </c>
      <c r="B2130" s="1" t="s">
        <v>4366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4367</v>
      </c>
      <c r="B2131" s="1" t="s">
        <v>4368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4369</v>
      </c>
      <c r="B2132" s="1" t="s">
        <v>4370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4371</v>
      </c>
      <c r="B2133" s="1" t="s">
        <v>4372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4373</v>
      </c>
      <c r="B2134" s="1" t="s">
        <v>4374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4375</v>
      </c>
      <c r="B2135" s="1" t="s">
        <v>4376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4377</v>
      </c>
      <c r="B2136" s="1" t="s">
        <v>4378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4379</v>
      </c>
      <c r="B2137" s="1" t="s">
        <v>4380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4381</v>
      </c>
      <c r="B2138" s="1" t="s">
        <v>4382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4383</v>
      </c>
      <c r="B2139" s="1" t="s">
        <v>4384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4385</v>
      </c>
      <c r="B2140" s="1" t="s">
        <v>4386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4387</v>
      </c>
      <c r="B2141" s="1" t="s">
        <v>4388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4389</v>
      </c>
      <c r="B2142" s="1" t="s">
        <v>4390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4391</v>
      </c>
      <c r="B2143" s="1" t="s">
        <v>4392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4393</v>
      </c>
      <c r="B2144" s="1" t="s">
        <v>4394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4395</v>
      </c>
      <c r="B2145" s="1" t="s">
        <v>4396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4397</v>
      </c>
      <c r="B2146" s="1" t="s">
        <v>4398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4399</v>
      </c>
      <c r="B2147" s="1" t="s">
        <v>4400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4401</v>
      </c>
      <c r="B2148" s="1" t="s">
        <v>4402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4403</v>
      </c>
      <c r="B2149" s="1" t="s">
        <v>4404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4405</v>
      </c>
      <c r="B2150" s="1" t="s">
        <v>4406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4407</v>
      </c>
      <c r="B2151" s="1" t="s">
        <v>4408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4409</v>
      </c>
      <c r="B2152" s="1" t="s">
        <v>4410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4411</v>
      </c>
      <c r="B2153" s="1" t="s">
        <v>4412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4413</v>
      </c>
      <c r="B2154" s="1" t="s">
        <v>4414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4415</v>
      </c>
      <c r="B2155" s="1" t="s">
        <v>4416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4417</v>
      </c>
      <c r="B2156" s="1" t="s">
        <v>4418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4419</v>
      </c>
      <c r="B2157" s="1" t="s">
        <v>4420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4421</v>
      </c>
      <c r="B2158" s="1" t="s">
        <v>4422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4423</v>
      </c>
      <c r="B2159" s="1" t="s">
        <v>4424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4425</v>
      </c>
      <c r="B2160" s="1" t="s">
        <v>4426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4427</v>
      </c>
      <c r="B2161" s="1" t="s">
        <v>4428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4429</v>
      </c>
      <c r="B2162" s="1" t="s">
        <v>4430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4431</v>
      </c>
      <c r="B2163" s="1" t="s">
        <v>4432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4433</v>
      </c>
      <c r="B2164" s="1" t="s">
        <v>4434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4435</v>
      </c>
      <c r="B2165" s="1" t="s">
        <v>4436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4437</v>
      </c>
      <c r="B2166" s="1" t="s">
        <v>4438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4439</v>
      </c>
      <c r="B2167" s="1" t="s">
        <v>4440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4441</v>
      </c>
      <c r="B2168" s="1" t="s">
        <v>4442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4443</v>
      </c>
      <c r="B2169" s="1" t="s">
        <v>4444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4445</v>
      </c>
      <c r="B2170" s="1" t="s">
        <v>4446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4447</v>
      </c>
      <c r="B2171" s="1" t="s">
        <v>4448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4449</v>
      </c>
      <c r="B2172" s="1" t="s">
        <v>4450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4451</v>
      </c>
      <c r="B2173" s="1" t="s">
        <v>4452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4453</v>
      </c>
      <c r="B2174" s="1" t="s">
        <v>4454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4455</v>
      </c>
      <c r="B2175" s="1" t="s">
        <v>4456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4457</v>
      </c>
      <c r="B2176" s="1" t="s">
        <v>4458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4459</v>
      </c>
      <c r="B2177" s="1" t="s">
        <v>4460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4461</v>
      </c>
      <c r="B2178" s="1" t="s">
        <v>4462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4463</v>
      </c>
      <c r="B2179" s="1" t="s">
        <v>4464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4465</v>
      </c>
      <c r="B2180" s="1" t="s">
        <v>4466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4467</v>
      </c>
      <c r="B2181" s="1" t="s">
        <v>4468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4469</v>
      </c>
      <c r="B2182" s="1" t="s">
        <v>4470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4471</v>
      </c>
      <c r="B2183" s="1" t="s">
        <v>4472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4473</v>
      </c>
      <c r="B2184" s="1" t="s">
        <v>4474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4475</v>
      </c>
      <c r="B2185" s="1" t="s">
        <v>4476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4477</v>
      </c>
      <c r="B2186" s="1" t="s">
        <v>4478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4479</v>
      </c>
      <c r="B2187" s="1" t="s">
        <v>4480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4481</v>
      </c>
      <c r="B2188" s="1" t="s">
        <v>4482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4483</v>
      </c>
      <c r="B2189" s="1" t="s">
        <v>4484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4485</v>
      </c>
      <c r="B2190" s="1" t="s">
        <v>4486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4487</v>
      </c>
      <c r="B2191" s="1" t="s">
        <v>4488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4489</v>
      </c>
      <c r="B2192" s="1" t="s">
        <v>4490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4491</v>
      </c>
      <c r="B2193" s="1" t="s">
        <v>4492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4493</v>
      </c>
      <c r="B2194" s="1" t="s">
        <v>4494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4495</v>
      </c>
      <c r="B2195" s="1" t="s">
        <v>4496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4497</v>
      </c>
      <c r="B2196" s="1" t="s">
        <v>4498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4499</v>
      </c>
      <c r="B2197" s="1" t="s">
        <v>4500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4501</v>
      </c>
      <c r="B2198" s="1" t="s">
        <v>4502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4503</v>
      </c>
      <c r="B2199" s="1" t="s">
        <v>4504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4505</v>
      </c>
      <c r="B2200" s="1" t="s">
        <v>4506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4507</v>
      </c>
      <c r="B2201" s="1" t="s">
        <v>4508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4509</v>
      </c>
      <c r="B2202" s="1" t="s">
        <v>4510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4511</v>
      </c>
      <c r="B2203" s="1" t="s">
        <v>4512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4513</v>
      </c>
      <c r="B2204" s="1" t="s">
        <v>4514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4515</v>
      </c>
      <c r="B2205" s="1" t="s">
        <v>4516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4517</v>
      </c>
      <c r="B2206" s="1" t="s">
        <v>4518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4519</v>
      </c>
      <c r="B2207" s="1" t="s">
        <v>4520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4521</v>
      </c>
      <c r="B2208" s="1" t="s">
        <v>4522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4523</v>
      </c>
      <c r="B2209" s="1" t="s">
        <v>4524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4525</v>
      </c>
      <c r="B2210" s="1" t="s">
        <v>4526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4527</v>
      </c>
      <c r="B2211" s="1" t="s">
        <v>4528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4529</v>
      </c>
      <c r="B2212" s="1" t="s">
        <v>4530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4529</v>
      </c>
      <c r="B2213" s="1" t="s">
        <v>4530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4529</v>
      </c>
      <c r="B2214" s="1" t="s">
        <v>4530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4531</v>
      </c>
      <c r="B2215" s="1" t="s">
        <v>4532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4533</v>
      </c>
      <c r="B2216" s="1" t="s">
        <v>4534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4535</v>
      </c>
      <c r="B2217" s="1" t="s">
        <v>4536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4537</v>
      </c>
      <c r="B2218" s="1" t="s">
        <v>4538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4539</v>
      </c>
      <c r="B2219" s="1" t="s">
        <v>4540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4541</v>
      </c>
      <c r="B2220" s="1" t="s">
        <v>4542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4543</v>
      </c>
      <c r="B2221" s="1" t="s">
        <v>4544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4545</v>
      </c>
      <c r="B2222" s="1" t="s">
        <v>4546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4547</v>
      </c>
      <c r="B2223" s="1" t="s">
        <v>4548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4549</v>
      </c>
      <c r="B2224" s="1" t="s">
        <v>4550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4551</v>
      </c>
      <c r="B2225" s="1" t="s">
        <v>4552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4553</v>
      </c>
      <c r="B2226" s="1" t="s">
        <v>4554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4555</v>
      </c>
      <c r="B2227" s="1" t="s">
        <v>4556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4557</v>
      </c>
      <c r="B2228" s="1" t="s">
        <v>4558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4559</v>
      </c>
      <c r="B2229" s="1" t="s">
        <v>4560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4561</v>
      </c>
      <c r="B2230" s="1" t="s">
        <v>4562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4563</v>
      </c>
      <c r="B2231" s="1" t="s">
        <v>4564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4565</v>
      </c>
      <c r="B2232" s="1" t="s">
        <v>4566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4567</v>
      </c>
      <c r="B2233" s="1" t="s">
        <v>4568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5318</v>
      </c>
      <c r="B2234" s="1" t="s">
        <v>3856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4569</v>
      </c>
      <c r="B2235" s="1" t="s">
        <v>4570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4571</v>
      </c>
      <c r="B2236" s="1" t="s">
        <v>4572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4573</v>
      </c>
      <c r="B2237" s="1" t="s">
        <v>4574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4575</v>
      </c>
      <c r="B2238" s="1" t="s">
        <v>4576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4577</v>
      </c>
      <c r="B2239" s="1" t="s">
        <v>4578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4579</v>
      </c>
      <c r="B2240" s="1" t="s">
        <v>4580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4581</v>
      </c>
      <c r="B2241" s="1" t="s">
        <v>4582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4583</v>
      </c>
      <c r="B2242" s="1" t="s">
        <v>4584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4585</v>
      </c>
      <c r="B2243" s="1" t="s">
        <v>4586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4587</v>
      </c>
      <c r="B2244" s="1" t="s">
        <v>4588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4589</v>
      </c>
      <c r="B2245" s="1" t="s">
        <v>4590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4591</v>
      </c>
      <c r="B2246" s="1" t="s">
        <v>4592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4593</v>
      </c>
      <c r="B2247" s="1" t="s">
        <v>4594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4595</v>
      </c>
      <c r="B2248" s="1" t="s">
        <v>4596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4597</v>
      </c>
      <c r="B2249" s="1" t="s">
        <v>4598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4599</v>
      </c>
      <c r="B2250" s="1" t="s">
        <v>4600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4601</v>
      </c>
      <c r="B2251" s="1" t="s">
        <v>4602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4603</v>
      </c>
      <c r="B2252" s="1" t="s">
        <v>4604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4605</v>
      </c>
      <c r="B2253" s="1" t="s">
        <v>4606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4607</v>
      </c>
      <c r="B2254" s="1" t="s">
        <v>4608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4609</v>
      </c>
      <c r="B2255" s="1" t="s">
        <v>4610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4611</v>
      </c>
      <c r="B2256" s="1" t="s">
        <v>4612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4613</v>
      </c>
      <c r="B2257" s="1" t="s">
        <v>4614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4615</v>
      </c>
      <c r="B2258" s="1" t="s">
        <v>4616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4617</v>
      </c>
      <c r="B2259" s="1" t="s">
        <v>4618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4619</v>
      </c>
      <c r="B2260" s="1" t="s">
        <v>4620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4621</v>
      </c>
      <c r="B2261" s="1" t="s">
        <v>4622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4623</v>
      </c>
      <c r="B2262" s="1" t="s">
        <v>4624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4625</v>
      </c>
      <c r="B2263" s="1" t="s">
        <v>4626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4627</v>
      </c>
      <c r="B2264" s="1" t="s">
        <v>4628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4629</v>
      </c>
      <c r="B2265" s="1" t="s">
        <v>4630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4631</v>
      </c>
      <c r="B2266" s="1" t="s">
        <v>4632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4633</v>
      </c>
      <c r="B2267" s="1" t="s">
        <v>4634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4635</v>
      </c>
      <c r="B2268" s="1" t="s">
        <v>4636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4637</v>
      </c>
      <c r="B2269" s="1" t="s">
        <v>4638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4639</v>
      </c>
      <c r="B2270" s="1" t="s">
        <v>4640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4641</v>
      </c>
      <c r="B2271" s="1" t="s">
        <v>4642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4643</v>
      </c>
      <c r="B2272" s="1" t="s">
        <v>4644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4645</v>
      </c>
      <c r="B2273" s="1" t="s">
        <v>4646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4647</v>
      </c>
      <c r="B2274" s="1" t="s">
        <v>4648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4649</v>
      </c>
      <c r="B2275" s="1" t="s">
        <v>4650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4651</v>
      </c>
      <c r="B2276" s="1" t="s">
        <v>4628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4652</v>
      </c>
      <c r="B2277" s="1" t="s">
        <v>4653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4654</v>
      </c>
      <c r="B2278" s="1" t="s">
        <v>4655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4656</v>
      </c>
      <c r="B2279" s="1" t="s">
        <v>4657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4658</v>
      </c>
      <c r="B2280" s="1" t="s">
        <v>4659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4660</v>
      </c>
      <c r="B2281" s="1" t="s">
        <v>4661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4662</v>
      </c>
      <c r="B2282" s="1" t="s">
        <v>4663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4664</v>
      </c>
      <c r="B2283" s="1" t="s">
        <v>4665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4666</v>
      </c>
      <c r="B2284" s="1" t="s">
        <v>4667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4668</v>
      </c>
      <c r="B2285" s="1" t="s">
        <v>4669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4670</v>
      </c>
      <c r="B2286" s="1" t="s">
        <v>4671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4672</v>
      </c>
      <c r="B2287" s="1" t="s">
        <v>4673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4674</v>
      </c>
      <c r="B2288" s="1" t="s">
        <v>4675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4676</v>
      </c>
      <c r="B2289" s="1" t="s">
        <v>4677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4678</v>
      </c>
      <c r="B2290" s="1" t="s">
        <v>4679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4680</v>
      </c>
      <c r="B2291" s="1" t="s">
        <v>4681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4682</v>
      </c>
      <c r="B2292" s="1" t="s">
        <v>4683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4684</v>
      </c>
      <c r="B2293" s="1" t="s">
        <v>4685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4686</v>
      </c>
      <c r="B2294" s="1" t="s">
        <v>4687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4688</v>
      </c>
      <c r="B2295" s="1" t="s">
        <v>4689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4690</v>
      </c>
      <c r="B2296" s="1" t="s">
        <v>4691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4692</v>
      </c>
      <c r="B2297" s="1" t="s">
        <v>4693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4694</v>
      </c>
      <c r="B2298" s="1" t="s">
        <v>4695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4696</v>
      </c>
      <c r="B2299" s="1" t="s">
        <v>4697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4698</v>
      </c>
      <c r="B2300" s="1" t="s">
        <v>4699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4700</v>
      </c>
      <c r="B2301" s="1" t="s">
        <v>4701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4702</v>
      </c>
      <c r="B2302" s="1" t="s">
        <v>4703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4704</v>
      </c>
      <c r="B2303" s="1" t="s">
        <v>4705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4706</v>
      </c>
      <c r="B2304" s="1" t="s">
        <v>4707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4708</v>
      </c>
      <c r="B2305" s="1" t="s">
        <v>4709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4710</v>
      </c>
      <c r="B2306" s="1" t="s">
        <v>4711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4712</v>
      </c>
      <c r="B2307" s="1" t="s">
        <v>4713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4714</v>
      </c>
      <c r="B2308" s="1" t="s">
        <v>4715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4716</v>
      </c>
      <c r="B2309" s="1" t="s">
        <v>4717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4718</v>
      </c>
      <c r="B2310" s="1" t="s">
        <v>4719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4720</v>
      </c>
      <c r="B2311" s="1" t="s">
        <v>4721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4722</v>
      </c>
      <c r="B2312" s="1" t="s">
        <v>4723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4724</v>
      </c>
      <c r="B2313" s="1" t="s">
        <v>4725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4726</v>
      </c>
      <c r="B2314" s="1" t="s">
        <v>4727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4728</v>
      </c>
      <c r="B2315" s="1" t="s">
        <v>4729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4730</v>
      </c>
      <c r="B2316" s="1" t="s">
        <v>4731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4732</v>
      </c>
      <c r="B2317" s="1" t="s">
        <v>4733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4734</v>
      </c>
      <c r="B2318" s="1" t="s">
        <v>4735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4736</v>
      </c>
      <c r="B2319" s="1" t="s">
        <v>4737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4738</v>
      </c>
      <c r="B2320" s="1" t="s">
        <v>4739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4740</v>
      </c>
      <c r="B2321" s="1" t="s">
        <v>4741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4742</v>
      </c>
      <c r="B2322" s="1" t="s">
        <v>4743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4744</v>
      </c>
      <c r="B2323" s="1" t="s">
        <v>4745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4746</v>
      </c>
      <c r="B2324" s="1" t="s">
        <v>4747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4748</v>
      </c>
      <c r="B2325" s="1" t="s">
        <v>4749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4750</v>
      </c>
      <c r="B2326" s="1" t="s">
        <v>4751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4752</v>
      </c>
      <c r="B2327" s="1" t="s">
        <v>4753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4754</v>
      </c>
      <c r="B2328" s="1" t="s">
        <v>4755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4756</v>
      </c>
      <c r="B2329" s="1" t="s">
        <v>4757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4758</v>
      </c>
      <c r="B2330" s="1" t="s">
        <v>4759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4760</v>
      </c>
      <c r="B2331" s="1" t="s">
        <v>4761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4762</v>
      </c>
      <c r="B2332" s="1" t="s">
        <v>4763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4764</v>
      </c>
      <c r="B2333" s="1" t="s">
        <v>4765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4766</v>
      </c>
      <c r="B2334" s="1" t="s">
        <v>4767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4768</v>
      </c>
      <c r="B2335" s="1" t="s">
        <v>4769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4770</v>
      </c>
      <c r="B2336" s="1" t="s">
        <v>4771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4772</v>
      </c>
      <c r="B2337" s="1" t="s">
        <v>4773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4774</v>
      </c>
      <c r="B2338" s="1" t="s">
        <v>4775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4776</v>
      </c>
      <c r="B2339" s="1" t="s">
        <v>4777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4778</v>
      </c>
      <c r="B2340" s="1" t="s">
        <v>4779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4780</v>
      </c>
      <c r="B2341" s="1" t="s">
        <v>4781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4782</v>
      </c>
      <c r="B2342" s="1" t="s">
        <v>4783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4784</v>
      </c>
      <c r="B2343" s="1" t="s">
        <v>4785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4786</v>
      </c>
      <c r="B2344" s="1" t="s">
        <v>4787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4788</v>
      </c>
      <c r="B2345" s="1" t="s">
        <v>4789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4790</v>
      </c>
      <c r="B2346" s="1" t="s">
        <v>4791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4792</v>
      </c>
      <c r="B2347" s="1" t="s">
        <v>4793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4794</v>
      </c>
      <c r="B2348" s="1" t="s">
        <v>4795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4796</v>
      </c>
      <c r="B2349" s="1" t="s">
        <v>4797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4798</v>
      </c>
      <c r="B2350" s="1" t="s">
        <v>4799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4800</v>
      </c>
      <c r="B2351" s="1" t="s">
        <v>4801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4802</v>
      </c>
      <c r="B2352" s="1" t="s">
        <v>4803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4804</v>
      </c>
      <c r="B2353" s="1" t="s">
        <v>4805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4806</v>
      </c>
      <c r="B2354" s="1" t="s">
        <v>4807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4808</v>
      </c>
      <c r="B2355" s="1" t="s">
        <v>4809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4810</v>
      </c>
      <c r="B2356" s="1" t="s">
        <v>4811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4812</v>
      </c>
      <c r="B2357" s="1" t="s">
        <v>4813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4814</v>
      </c>
      <c r="B2358" s="1" t="s">
        <v>4815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4816</v>
      </c>
      <c r="B2359" s="1" t="s">
        <v>4817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4818</v>
      </c>
      <c r="B2360" s="1" t="s">
        <v>4819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4820</v>
      </c>
      <c r="B2361" s="1" t="s">
        <v>4821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4822</v>
      </c>
      <c r="B2362" s="1" t="s">
        <v>4823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4824</v>
      </c>
      <c r="B2363" s="1" t="s">
        <v>4825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4826</v>
      </c>
      <c r="B2364" s="1" t="s">
        <v>4827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4828</v>
      </c>
      <c r="B2365" s="1" t="s">
        <v>4829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4830</v>
      </c>
      <c r="B2366" s="1" t="s">
        <v>4831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4832</v>
      </c>
      <c r="B2367" s="1" t="s">
        <v>4833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4834</v>
      </c>
      <c r="B2368" s="1" t="s">
        <v>4835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4836</v>
      </c>
      <c r="B2369" s="1" t="s">
        <v>4837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4838</v>
      </c>
      <c r="B2370" s="1" t="s">
        <v>4839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4840</v>
      </c>
      <c r="B2371" s="1" t="s">
        <v>4841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4842</v>
      </c>
      <c r="B2372" s="1" t="s">
        <v>4843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4844</v>
      </c>
      <c r="B2373" s="1" t="s">
        <v>4845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4846</v>
      </c>
      <c r="B2374" s="1" t="s">
        <v>4847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4848</v>
      </c>
      <c r="B2375" s="1" t="s">
        <v>4849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4850</v>
      </c>
      <c r="B2376" s="1" t="s">
        <v>4851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4852</v>
      </c>
      <c r="B2377" s="1" t="s">
        <v>4853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4854</v>
      </c>
      <c r="B2378" s="1" t="s">
        <v>4855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4856</v>
      </c>
      <c r="B2379" s="1" t="s">
        <v>4857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4858</v>
      </c>
      <c r="B2380" s="1" t="s">
        <v>4859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4860</v>
      </c>
      <c r="B2381" s="1" t="s">
        <v>4861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4862</v>
      </c>
      <c r="B2382" s="1" t="s">
        <v>4863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4864</v>
      </c>
      <c r="B2383" s="1" t="s">
        <v>4865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4866</v>
      </c>
      <c r="B2384" s="1" t="s">
        <v>4867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4868</v>
      </c>
      <c r="B2385" s="1" t="s">
        <v>4869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4870</v>
      </c>
      <c r="B2386" s="1" t="s">
        <v>4871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4872</v>
      </c>
      <c r="B2387" s="1" t="s">
        <v>4873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4874</v>
      </c>
      <c r="B2388" s="1" t="s">
        <v>4875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4876</v>
      </c>
      <c r="B2389" s="1" t="s">
        <v>4877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4878</v>
      </c>
      <c r="B2390" s="1" t="s">
        <v>4879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4880</v>
      </c>
      <c r="B2391" s="1" t="s">
        <v>4881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4882</v>
      </c>
      <c r="B2392" s="1" t="s">
        <v>4883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4884</v>
      </c>
      <c r="B2393" s="1" t="s">
        <v>4885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4886</v>
      </c>
      <c r="B2394" s="1" t="s">
        <v>4887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4888</v>
      </c>
      <c r="B2395" s="1" t="s">
        <v>4889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4890</v>
      </c>
      <c r="B2396" s="1" t="s">
        <v>4891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4892</v>
      </c>
      <c r="B2397" s="1" t="s">
        <v>4893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4894</v>
      </c>
      <c r="B2398" s="1" t="s">
        <v>4895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4896</v>
      </c>
      <c r="B2399" s="1" t="s">
        <v>4897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4898</v>
      </c>
      <c r="B2400" s="1" t="s">
        <v>4899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4900</v>
      </c>
      <c r="B2401" s="1" t="s">
        <v>4901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4902</v>
      </c>
      <c r="B2402" s="1" t="s">
        <v>4903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4904</v>
      </c>
      <c r="B2403" s="1" t="s">
        <v>4905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4906</v>
      </c>
      <c r="B2404" s="1" t="s">
        <v>4907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4908</v>
      </c>
      <c r="B2405" s="1" t="s">
        <v>4909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4910</v>
      </c>
      <c r="B2406" s="1" t="s">
        <v>4911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4912</v>
      </c>
      <c r="B2407" s="1" t="s">
        <v>4913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4914</v>
      </c>
      <c r="B2408" s="1" t="s">
        <v>4915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4916</v>
      </c>
      <c r="B2409" s="1" t="s">
        <v>4917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4918</v>
      </c>
      <c r="B2410" s="1" t="s">
        <v>4919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4920</v>
      </c>
      <c r="B2411" s="1" t="s">
        <v>4921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4922</v>
      </c>
      <c r="B2412" s="1" t="s">
        <v>4923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4924</v>
      </c>
      <c r="B2413" s="1" t="s">
        <v>4925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4926</v>
      </c>
      <c r="B2414" s="1" t="s">
        <v>4927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4928</v>
      </c>
      <c r="B2415" s="1" t="s">
        <v>4929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4930</v>
      </c>
      <c r="B2416" s="1" t="s">
        <v>4931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4932</v>
      </c>
      <c r="B2417" s="1" t="s">
        <v>4933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4934</v>
      </c>
      <c r="B2418" s="1" t="s">
        <v>4935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4936</v>
      </c>
      <c r="B2419" s="1" t="s">
        <v>4937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4938</v>
      </c>
      <c r="B2420" s="1" t="s">
        <v>4939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4940</v>
      </c>
      <c r="B2421" s="1" t="s">
        <v>4941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4942</v>
      </c>
      <c r="B2422" s="1" t="s">
        <v>4943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4944</v>
      </c>
      <c r="B2423" s="1" t="s">
        <v>4945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4946</v>
      </c>
      <c r="B2424" s="1" t="s">
        <v>4947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4948</v>
      </c>
      <c r="B2425" s="1" t="s">
        <v>4949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4950</v>
      </c>
      <c r="B2426" s="1" t="s">
        <v>4951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4952</v>
      </c>
      <c r="B2427" s="1" t="s">
        <v>4953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4954</v>
      </c>
      <c r="B2428" s="1" t="s">
        <v>4955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4956</v>
      </c>
      <c r="B2429" s="1" t="s">
        <v>4957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4958</v>
      </c>
      <c r="B2430" s="1" t="s">
        <v>4959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4960</v>
      </c>
      <c r="B2431" s="1" t="s">
        <v>4961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4962</v>
      </c>
      <c r="B2432" s="1" t="s">
        <v>4963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4964</v>
      </c>
      <c r="B2433" s="1" t="s">
        <v>4965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4966</v>
      </c>
      <c r="B2434" s="1" t="s">
        <v>4967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4968</v>
      </c>
      <c r="B2435" s="1" t="s">
        <v>4969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4970</v>
      </c>
      <c r="B2436" s="1" t="s">
        <v>4971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4972</v>
      </c>
      <c r="B2437" s="1" t="s">
        <v>4973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4974</v>
      </c>
      <c r="B2438" s="1" t="s">
        <v>4975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4976</v>
      </c>
      <c r="B2439" s="1" t="s">
        <v>4977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4978</v>
      </c>
      <c r="B2440" s="1" t="s">
        <v>4979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4980</v>
      </c>
      <c r="B2441" s="1" t="s">
        <v>4981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4982</v>
      </c>
      <c r="B2442" s="1" t="s">
        <v>4983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4984</v>
      </c>
      <c r="B2443" s="1" t="s">
        <v>4985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4986</v>
      </c>
      <c r="B2444" s="1" t="s">
        <v>4987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4988</v>
      </c>
      <c r="B2445" s="1" t="s">
        <v>4989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4990</v>
      </c>
      <c r="B2446" s="1" t="s">
        <v>4991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4992</v>
      </c>
      <c r="B2447" s="1" t="s">
        <v>4993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4994</v>
      </c>
      <c r="B2448" s="1" t="s">
        <v>4995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4996</v>
      </c>
      <c r="B2449" s="1" t="s">
        <v>4997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4998</v>
      </c>
      <c r="B2450" s="1" t="s">
        <v>4999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5000</v>
      </c>
      <c r="B2451" s="1" t="s">
        <v>5001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5002</v>
      </c>
      <c r="B2452" s="1" t="s">
        <v>5003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5004</v>
      </c>
      <c r="B2453" s="1" t="s">
        <v>5005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5006</v>
      </c>
      <c r="B2454" s="1" t="s">
        <v>5007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5008</v>
      </c>
      <c r="B2455" s="1" t="s">
        <v>5009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5010</v>
      </c>
      <c r="B2456" s="1" t="s">
        <v>5011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5012</v>
      </c>
      <c r="B2457" s="1" t="s">
        <v>5013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5014</v>
      </c>
      <c r="B2458" s="1" t="s">
        <v>5015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5016</v>
      </c>
      <c r="B2459" s="1" t="s">
        <v>5017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5018</v>
      </c>
      <c r="B2460" s="1" t="s">
        <v>5019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5020</v>
      </c>
      <c r="B2461" s="1" t="s">
        <v>5021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5022</v>
      </c>
      <c r="B2462" s="1" t="s">
        <v>5023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5024</v>
      </c>
      <c r="B2463" s="1" t="s">
        <v>5025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5026</v>
      </c>
      <c r="B2464" s="1" t="s">
        <v>5027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5028</v>
      </c>
      <c r="B2465" s="1" t="s">
        <v>5029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5030</v>
      </c>
      <c r="B2466" s="1" t="s">
        <v>5031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5032</v>
      </c>
      <c r="B2467" s="1" t="s">
        <v>5033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5034</v>
      </c>
      <c r="B2468" s="1" t="s">
        <v>5035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5036</v>
      </c>
      <c r="B2469" s="1" t="s">
        <v>5037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5038</v>
      </c>
      <c r="B2470" s="1" t="s">
        <v>5039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5040</v>
      </c>
      <c r="B2471" s="1" t="s">
        <v>5041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5042</v>
      </c>
      <c r="B2472" s="1" t="s">
        <v>5043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5044</v>
      </c>
      <c r="B2473" s="1" t="s">
        <v>5045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5046</v>
      </c>
      <c r="B2474" s="1" t="s">
        <v>5047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5048</v>
      </c>
      <c r="B2475" s="1" t="s">
        <v>5049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5050</v>
      </c>
      <c r="B2476" s="1" t="s">
        <v>5051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5052</v>
      </c>
      <c r="B2477" s="1" t="s">
        <v>5053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5054</v>
      </c>
      <c r="B2478" s="1" t="s">
        <v>5055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5056</v>
      </c>
      <c r="B2479" s="1" t="s">
        <v>5057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5058</v>
      </c>
      <c r="B2480" s="1" t="s">
        <v>5059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5060</v>
      </c>
      <c r="B2481" s="1" t="s">
        <v>5061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5062</v>
      </c>
      <c r="B2482" s="1" t="s">
        <v>5063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5064</v>
      </c>
      <c r="B2483" s="1" t="s">
        <v>5065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5066</v>
      </c>
      <c r="B2484" s="1" t="s">
        <v>5067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5068</v>
      </c>
      <c r="B2485" s="1" t="s">
        <v>5069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5070</v>
      </c>
      <c r="B2486" s="1" t="s">
        <v>5071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5072</v>
      </c>
      <c r="B2487" s="1" t="s">
        <v>5073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5074</v>
      </c>
      <c r="B2488" s="1" t="s">
        <v>5075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5076</v>
      </c>
      <c r="B2489" s="1" t="s">
        <v>5077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5078</v>
      </c>
      <c r="B2490" s="1" t="s">
        <v>5079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5080</v>
      </c>
      <c r="B2491" s="1" t="s">
        <v>5081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5082</v>
      </c>
      <c r="B2492" s="1" t="s">
        <v>5083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5084</v>
      </c>
      <c r="B2493" s="1" t="s">
        <v>5085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5086</v>
      </c>
      <c r="B2494" s="1" t="s">
        <v>5087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5088</v>
      </c>
      <c r="B2495" s="1" t="s">
        <v>5089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5090</v>
      </c>
      <c r="B2496" s="1" t="s">
        <v>5091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5092</v>
      </c>
      <c r="B2497" s="1" t="s">
        <v>5093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5094</v>
      </c>
      <c r="B2498" s="1" t="s">
        <v>5095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5096</v>
      </c>
      <c r="B2499" s="1" t="s">
        <v>5097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5098</v>
      </c>
      <c r="B2500" s="1" t="s">
        <v>5099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5100</v>
      </c>
      <c r="B2501" s="1" t="s">
        <v>5101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5102</v>
      </c>
      <c r="B2502" s="1" t="s">
        <v>5103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5104</v>
      </c>
      <c r="B2503" s="1" t="s">
        <v>5105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5106</v>
      </c>
      <c r="B2504" s="1" t="s">
        <v>5107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5108</v>
      </c>
      <c r="B2505" s="1" t="s">
        <v>5109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5110</v>
      </c>
      <c r="B2506" s="1" t="s">
        <v>5111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5112</v>
      </c>
      <c r="B2507" s="1" t="s">
        <v>5113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5114</v>
      </c>
      <c r="B2508" s="1" t="s">
        <v>5115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5116</v>
      </c>
      <c r="B2509" s="1" t="s">
        <v>5117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5118</v>
      </c>
      <c r="B2510" s="1" t="s">
        <v>5119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5120</v>
      </c>
      <c r="B2511" s="1" t="s">
        <v>5121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5122</v>
      </c>
      <c r="B2512" s="1" t="s">
        <v>5123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5124</v>
      </c>
      <c r="B2513" s="1" t="s">
        <v>5125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5126</v>
      </c>
      <c r="B2514" s="1" t="s">
        <v>5127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5128</v>
      </c>
      <c r="B2515" s="1" t="s">
        <v>5129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5130</v>
      </c>
      <c r="B2516" s="1" t="s">
        <v>5131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5132</v>
      </c>
      <c r="B2517" s="1" t="s">
        <v>5133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5134</v>
      </c>
      <c r="B2518" s="1" t="s">
        <v>5135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5136</v>
      </c>
      <c r="B2519" s="1" t="s">
        <v>5137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5138</v>
      </c>
      <c r="B2520" s="1" t="s">
        <v>5139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5140</v>
      </c>
      <c r="B2521" s="1" t="s">
        <v>5141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5142</v>
      </c>
      <c r="B2522" s="1" t="s">
        <v>5143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5144</v>
      </c>
      <c r="B2523" s="1" t="s">
        <v>5145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5146</v>
      </c>
      <c r="B2524" s="1" t="s">
        <v>5147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5148</v>
      </c>
      <c r="B2525" s="1" t="s">
        <v>5149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5150</v>
      </c>
      <c r="B2526" s="1" t="s">
        <v>5145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5151</v>
      </c>
      <c r="B2527" s="1" t="s">
        <v>5152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5153</v>
      </c>
      <c r="B2528" s="1" t="s">
        <v>5154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5155</v>
      </c>
      <c r="B2529" s="1" t="s">
        <v>5156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5157</v>
      </c>
      <c r="B2530" s="1" t="s">
        <v>5158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5159</v>
      </c>
      <c r="B2531" s="1" t="s">
        <v>5160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5161</v>
      </c>
      <c r="B2532" s="1" t="s">
        <v>5162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5163</v>
      </c>
      <c r="B2533" s="1" t="s">
        <v>5164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5165</v>
      </c>
      <c r="B2534" s="1" t="s">
        <v>5166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5167</v>
      </c>
      <c r="B2535" s="1" t="s">
        <v>5168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5169</v>
      </c>
      <c r="B2536" s="1" t="s">
        <v>5170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5171</v>
      </c>
      <c r="B2537" s="1" t="s">
        <v>5172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5173</v>
      </c>
      <c r="B2538" s="1" t="s">
        <v>5174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5175</v>
      </c>
      <c r="B2539" s="1" t="s">
        <v>5176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5177</v>
      </c>
      <c r="B2540" s="1" t="s">
        <v>5178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5179</v>
      </c>
      <c r="B2541" s="1" t="s">
        <v>5180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5181</v>
      </c>
      <c r="B2542" s="1" t="s">
        <v>5182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5183</v>
      </c>
      <c r="B2543" s="1" t="s">
        <v>5184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5185</v>
      </c>
      <c r="B2544" s="1" t="s">
        <v>5186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5187</v>
      </c>
      <c r="B2545" s="1" t="s">
        <v>5188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5189</v>
      </c>
      <c r="B2546" s="1" t="s">
        <v>5190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5191</v>
      </c>
      <c r="B2547" s="1" t="s">
        <v>5192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5193</v>
      </c>
      <c r="B2548" s="1" t="s">
        <v>5194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5195</v>
      </c>
      <c r="B2549" s="1" t="s">
        <v>5196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5197</v>
      </c>
      <c r="B2550" s="1" t="s">
        <v>5198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5199</v>
      </c>
      <c r="B2551" s="1" t="s">
        <v>5200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5201</v>
      </c>
      <c r="B2552" s="1" t="s">
        <v>5202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5203</v>
      </c>
      <c r="B2553" s="1" t="s">
        <v>5204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5205</v>
      </c>
      <c r="B2554" s="1" t="s">
        <v>5206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5207</v>
      </c>
      <c r="B2555" s="1" t="s">
        <v>5208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5209</v>
      </c>
      <c r="B2556" s="1" t="s">
        <v>5210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5211</v>
      </c>
      <c r="B2557" s="1" t="s">
        <v>5212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5213</v>
      </c>
      <c r="B2558" s="1" t="s">
        <v>5214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5215</v>
      </c>
      <c r="B2559" s="1" t="s">
        <v>5216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5217</v>
      </c>
      <c r="B2560" s="1" t="s">
        <v>5218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5219</v>
      </c>
      <c r="B2561" s="1" t="s">
        <v>5220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5221</v>
      </c>
      <c r="B2562" s="1" t="s">
        <v>5222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5223</v>
      </c>
      <c r="B2563" s="1" t="s">
        <v>5224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5225</v>
      </c>
      <c r="B2564" s="1" t="s">
        <v>5226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5227</v>
      </c>
      <c r="B2565" s="1" t="s">
        <v>5228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5229</v>
      </c>
      <c r="B2566" s="1" t="s">
        <v>5230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5231</v>
      </c>
      <c r="B2567" s="1" t="s">
        <v>5232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5233</v>
      </c>
      <c r="B2568" s="1" t="s">
        <v>5234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5235</v>
      </c>
      <c r="B2569" s="1" t="s">
        <v>5236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5237</v>
      </c>
      <c r="B2570" s="1" t="s">
        <v>5238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5239</v>
      </c>
      <c r="B2571" s="1" t="s">
        <v>5240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5241</v>
      </c>
      <c r="B2572" s="1" t="s">
        <v>5242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5243</v>
      </c>
      <c r="B2573" s="1" t="s">
        <v>5244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5245</v>
      </c>
      <c r="B2574" s="1" t="s">
        <v>5246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5247</v>
      </c>
      <c r="B2575" s="1" t="s">
        <v>5248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5249</v>
      </c>
      <c r="B2576" s="1" t="s">
        <v>5250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5251</v>
      </c>
      <c r="B2577" s="1" t="s">
        <v>5252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5253</v>
      </c>
      <c r="B2578" s="1" t="s">
        <v>5254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5255</v>
      </c>
      <c r="B2579" s="1" t="s">
        <v>5256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5257</v>
      </c>
      <c r="B2580" s="1" t="s">
        <v>5258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5259</v>
      </c>
      <c r="B2581" s="1" t="s">
        <v>5260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5261</v>
      </c>
      <c r="B2582" s="1" t="s">
        <v>5262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5263</v>
      </c>
      <c r="B2583" s="1" t="s">
        <v>5264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5265</v>
      </c>
      <c r="B2584" s="1" t="s">
        <v>5266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5267</v>
      </c>
      <c r="B2585" s="1" t="s">
        <v>5268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5269</v>
      </c>
      <c r="B2586" s="1" t="s">
        <v>5270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5271</v>
      </c>
      <c r="B2587" s="1" t="s">
        <v>5272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5273</v>
      </c>
      <c r="B2588" s="1" t="s">
        <v>5274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5275</v>
      </c>
      <c r="B2589" s="1" t="s">
        <v>5276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5277</v>
      </c>
      <c r="B2590" s="1" t="s">
        <v>5278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5279</v>
      </c>
      <c r="B2591" s="1" t="s">
        <v>5280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5281</v>
      </c>
      <c r="B2592" s="1" t="s">
        <v>5282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5283</v>
      </c>
      <c r="B2593" s="1" t="s">
        <v>5284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5285</v>
      </c>
      <c r="B2594" s="1" t="s">
        <v>5286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7" t="s">
        <v>5365</v>
      </c>
      <c r="C1" s="105" t="s">
        <v>13</v>
      </c>
      <c r="D1" s="1" t="s">
        <v>77</v>
      </c>
      <c r="S1" s="105" t="s">
        <v>14</v>
      </c>
      <c r="T1" s="1" t="s">
        <v>94</v>
      </c>
      <c r="V1" s="105" t="s">
        <v>13</v>
      </c>
      <c r="W1" s="1" t="s">
        <v>94</v>
      </c>
      <c r="Y1" s="106" t="s">
        <v>41</v>
      </c>
      <c r="Z1" s="97" t="s">
        <v>96</v>
      </c>
      <c r="AB1" s="105" t="s">
        <v>13</v>
      </c>
      <c r="AC1" s="1" t="s">
        <v>77</v>
      </c>
      <c r="AE1" s="105" t="s">
        <v>5288</v>
      </c>
      <c r="AF1" s="1" t="s">
        <v>5309</v>
      </c>
      <c r="AH1" s="97" t="s">
        <v>5288</v>
      </c>
      <c r="AI1" s="97" t="s">
        <v>120</v>
      </c>
      <c r="AJ1" s="97" t="s">
        <v>119</v>
      </c>
      <c r="AK1" s="97" t="s">
        <v>5289</v>
      </c>
      <c r="AM1" s="106" t="s">
        <v>5288</v>
      </c>
      <c r="AN1" s="97" t="s">
        <v>120</v>
      </c>
      <c r="AO1" s="106" t="s">
        <v>119</v>
      </c>
      <c r="AP1" s="97" t="s">
        <v>5289</v>
      </c>
    </row>
    <row r="2" spans="1:42" x14ac:dyDescent="0.25">
      <c r="A2" s="1">
        <f t="shared" ref="A2:A33" si="0">A3-1</f>
        <v>1977</v>
      </c>
      <c r="C2" s="105" t="s">
        <v>14</v>
      </c>
      <c r="D2" s="1" t="s">
        <v>77</v>
      </c>
      <c r="S2" s="107" t="s">
        <v>5322</v>
      </c>
      <c r="T2" s="1">
        <v>0</v>
      </c>
      <c r="V2" s="107" t="s">
        <v>5322</v>
      </c>
      <c r="W2" s="1">
        <v>0</v>
      </c>
      <c r="Y2" s="12" cm="1">
        <f t="array" ref="Y2:Y3">Logbook[Date]</f>
        <v>36526</v>
      </c>
      <c r="Z2" s="108" cm="1">
        <f t="array" ref="Z2:Z3">Logbook[CumTotalHours]</f>
        <v>0</v>
      </c>
      <c r="AB2" s="105" t="s">
        <v>14</v>
      </c>
      <c r="AC2" s="1" t="s">
        <v>77</v>
      </c>
      <c r="AE2" s="107" t="s">
        <v>4498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2">
        <v>40180</v>
      </c>
      <c r="Z3" s="1">
        <v>0</v>
      </c>
      <c r="AE3" s="107" t="s">
        <v>4592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5" t="s">
        <v>0</v>
      </c>
      <c r="D4" s="1" t="s">
        <v>81</v>
      </c>
      <c r="E4" s="1" t="s">
        <v>82</v>
      </c>
      <c r="F4" s="1" t="s">
        <v>83</v>
      </c>
      <c r="G4" s="1" t="s">
        <v>80</v>
      </c>
      <c r="H4" s="1" t="s">
        <v>84</v>
      </c>
      <c r="I4" s="1" t="s">
        <v>85</v>
      </c>
      <c r="J4" s="1" t="s">
        <v>86</v>
      </c>
      <c r="K4" s="1" t="s">
        <v>87</v>
      </c>
      <c r="L4" s="1" t="s">
        <v>88</v>
      </c>
      <c r="M4" s="1" t="s">
        <v>89</v>
      </c>
      <c r="N4" s="1" t="s">
        <v>90</v>
      </c>
      <c r="O4" s="1" t="s">
        <v>91</v>
      </c>
      <c r="P4" s="1" t="s">
        <v>92</v>
      </c>
      <c r="Q4" s="1" t="s">
        <v>93</v>
      </c>
      <c r="AB4" s="105" t="s">
        <v>97</v>
      </c>
      <c r="AE4" s="107" t="s">
        <v>4494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7" t="s">
        <v>5347</v>
      </c>
      <c r="AB5" s="107" t="s">
        <v>81</v>
      </c>
      <c r="AE5" s="107" t="s">
        <v>4256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7" t="s">
        <v>5348</v>
      </c>
      <c r="AB6" s="107" t="s">
        <v>82</v>
      </c>
      <c r="AE6" s="107" t="s">
        <v>5262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7" t="s">
        <v>40</v>
      </c>
      <c r="AB7" s="107" t="s">
        <v>83</v>
      </c>
      <c r="AE7" s="107" t="s">
        <v>4268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7" t="s">
        <v>80</v>
      </c>
      <c r="AE8" s="107" t="s">
        <v>4420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7" t="s">
        <v>84</v>
      </c>
      <c r="AE9" s="107" t="s">
        <v>4286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7" t="s">
        <v>85</v>
      </c>
      <c r="AE10" s="107" t="s">
        <v>4562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7" t="s">
        <v>86</v>
      </c>
      <c r="AE11" s="107" t="s">
        <v>4284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7" t="s">
        <v>87</v>
      </c>
      <c r="AE12" s="107" t="s">
        <v>4675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7" t="s">
        <v>88</v>
      </c>
      <c r="AE13" s="107" t="s">
        <v>4264</v>
      </c>
      <c r="AF13" s="1">
        <v>0</v>
      </c>
    </row>
    <row r="14" spans="1:42" x14ac:dyDescent="0.25">
      <c r="A14" s="1">
        <f t="shared" si="0"/>
        <v>1989</v>
      </c>
      <c r="AB14" s="107" t="s">
        <v>89</v>
      </c>
      <c r="AE14" s="107" t="s">
        <v>5226</v>
      </c>
      <c r="AF14" s="1">
        <v>0</v>
      </c>
    </row>
    <row r="15" spans="1:42" x14ac:dyDescent="0.25">
      <c r="A15" s="1">
        <f t="shared" si="0"/>
        <v>1990</v>
      </c>
      <c r="AB15" s="107" t="s">
        <v>90</v>
      </c>
      <c r="AE15" s="107" t="s">
        <v>4292</v>
      </c>
      <c r="AF15" s="1">
        <v>0</v>
      </c>
    </row>
    <row r="16" spans="1:42" x14ac:dyDescent="0.25">
      <c r="A16" s="1">
        <f t="shared" si="0"/>
        <v>1991</v>
      </c>
      <c r="AB16" s="107" t="s">
        <v>91</v>
      </c>
      <c r="AE16" s="107" t="s">
        <v>4506</v>
      </c>
      <c r="AF16" s="1">
        <v>0</v>
      </c>
    </row>
    <row r="17" spans="1:32" x14ac:dyDescent="0.25">
      <c r="A17" s="1">
        <f t="shared" si="0"/>
        <v>1992</v>
      </c>
      <c r="AB17" s="107" t="s">
        <v>92</v>
      </c>
      <c r="AE17" s="107" t="s">
        <v>4294</v>
      </c>
      <c r="AF17" s="1">
        <v>0</v>
      </c>
    </row>
    <row r="18" spans="1:32" x14ac:dyDescent="0.25">
      <c r="A18" s="1">
        <f t="shared" si="0"/>
        <v>1993</v>
      </c>
      <c r="AB18" s="107" t="s">
        <v>93</v>
      </c>
      <c r="AE18" s="107" t="s">
        <v>4558</v>
      </c>
      <c r="AF18" s="1">
        <v>0</v>
      </c>
    </row>
    <row r="19" spans="1:32" x14ac:dyDescent="0.25">
      <c r="A19" s="1">
        <f t="shared" si="0"/>
        <v>1994</v>
      </c>
      <c r="AE19" s="107" t="s">
        <v>4270</v>
      </c>
      <c r="AF19" s="1">
        <v>0</v>
      </c>
    </row>
    <row r="20" spans="1:32" x14ac:dyDescent="0.25">
      <c r="A20" s="1">
        <f t="shared" si="0"/>
        <v>1995</v>
      </c>
      <c r="AE20" s="107" t="s">
        <v>5186</v>
      </c>
      <c r="AF20" s="1">
        <v>0</v>
      </c>
    </row>
    <row r="21" spans="1:32" x14ac:dyDescent="0.25">
      <c r="A21" s="1">
        <f t="shared" si="0"/>
        <v>1996</v>
      </c>
      <c r="AE21" s="107" t="s">
        <v>4274</v>
      </c>
      <c r="AF21" s="1">
        <v>0</v>
      </c>
    </row>
    <row r="22" spans="1:32" x14ac:dyDescent="0.25">
      <c r="A22" s="1">
        <f t="shared" si="0"/>
        <v>1997</v>
      </c>
      <c r="AE22" s="107" t="s">
        <v>4448</v>
      </c>
      <c r="AF22" s="1">
        <v>0</v>
      </c>
    </row>
    <row r="23" spans="1:32" x14ac:dyDescent="0.25">
      <c r="A23" s="1">
        <f t="shared" si="0"/>
        <v>1998</v>
      </c>
      <c r="AE23" s="107" t="s">
        <v>3347</v>
      </c>
      <c r="AF23" s="1">
        <v>0</v>
      </c>
    </row>
    <row r="24" spans="1:32" x14ac:dyDescent="0.25">
      <c r="A24" s="1">
        <f t="shared" si="0"/>
        <v>1999</v>
      </c>
      <c r="AE24" s="107" t="s">
        <v>4440</v>
      </c>
      <c r="AF24" s="1">
        <v>0</v>
      </c>
    </row>
    <row r="25" spans="1:32" x14ac:dyDescent="0.25">
      <c r="A25" s="1">
        <f t="shared" si="0"/>
        <v>2000</v>
      </c>
      <c r="AE25" s="107" t="s">
        <v>4306</v>
      </c>
      <c r="AF25" s="1">
        <v>0</v>
      </c>
    </row>
    <row r="26" spans="1:32" x14ac:dyDescent="0.25">
      <c r="A26" s="1">
        <f t="shared" si="0"/>
        <v>2001</v>
      </c>
      <c r="AE26" s="107" t="s">
        <v>5244</v>
      </c>
      <c r="AF26" s="1">
        <v>0</v>
      </c>
    </row>
    <row r="27" spans="1:32" x14ac:dyDescent="0.25">
      <c r="A27" s="1">
        <f t="shared" si="0"/>
        <v>2002</v>
      </c>
      <c r="AE27" s="107" t="s">
        <v>130</v>
      </c>
      <c r="AF27" s="1">
        <v>0</v>
      </c>
    </row>
    <row r="28" spans="1:32" x14ac:dyDescent="0.25">
      <c r="A28" s="1">
        <f t="shared" si="0"/>
        <v>2003</v>
      </c>
      <c r="AE28" s="107" t="s">
        <v>5280</v>
      </c>
      <c r="AF28" s="1">
        <v>0</v>
      </c>
    </row>
    <row r="29" spans="1:32" x14ac:dyDescent="0.25">
      <c r="A29" s="1">
        <f t="shared" si="0"/>
        <v>2004</v>
      </c>
      <c r="AE29" s="107" t="s">
        <v>4272</v>
      </c>
      <c r="AF29" s="1">
        <v>0</v>
      </c>
    </row>
    <row r="30" spans="1:32" x14ac:dyDescent="0.25">
      <c r="A30" s="1">
        <f t="shared" si="0"/>
        <v>2005</v>
      </c>
      <c r="AE30" s="107" t="s">
        <v>5214</v>
      </c>
      <c r="AF30" s="1">
        <v>0</v>
      </c>
    </row>
    <row r="31" spans="1:32" x14ac:dyDescent="0.25">
      <c r="A31" s="1">
        <f t="shared" si="0"/>
        <v>2006</v>
      </c>
      <c r="AE31" s="107" t="s">
        <v>4310</v>
      </c>
      <c r="AF31" s="1">
        <v>0</v>
      </c>
    </row>
    <row r="32" spans="1:32" x14ac:dyDescent="0.25">
      <c r="A32" s="1">
        <f t="shared" si="0"/>
        <v>2007</v>
      </c>
      <c r="AE32" s="107" t="s">
        <v>4518</v>
      </c>
      <c r="AF32" s="1">
        <v>0</v>
      </c>
    </row>
    <row r="33" spans="1:32" x14ac:dyDescent="0.25">
      <c r="A33" s="1">
        <f t="shared" si="0"/>
        <v>2008</v>
      </c>
      <c r="AE33" s="107" t="s">
        <v>4316</v>
      </c>
      <c r="AF33" s="1">
        <v>0</v>
      </c>
    </row>
    <row r="34" spans="1:32" x14ac:dyDescent="0.25">
      <c r="A34" s="1">
        <f t="shared" ref="A34:A50" si="1">A35-1</f>
        <v>2009</v>
      </c>
      <c r="AE34" s="107" t="s">
        <v>4500</v>
      </c>
      <c r="AF34" s="1">
        <v>0</v>
      </c>
    </row>
    <row r="35" spans="1:32" x14ac:dyDescent="0.25">
      <c r="A35" s="1">
        <f t="shared" si="1"/>
        <v>2010</v>
      </c>
      <c r="AE35" s="107" t="s">
        <v>4320</v>
      </c>
      <c r="AF35" s="1">
        <v>0</v>
      </c>
    </row>
    <row r="36" spans="1:32" x14ac:dyDescent="0.25">
      <c r="A36" s="1">
        <f t="shared" si="1"/>
        <v>2011</v>
      </c>
      <c r="AE36" s="107" t="s">
        <v>4430</v>
      </c>
      <c r="AF36" s="1">
        <v>0</v>
      </c>
    </row>
    <row r="37" spans="1:32" x14ac:dyDescent="0.25">
      <c r="A37" s="1">
        <f t="shared" si="1"/>
        <v>2012</v>
      </c>
      <c r="AE37" s="107" t="s">
        <v>4328</v>
      </c>
      <c r="AF37" s="1">
        <v>0</v>
      </c>
    </row>
    <row r="38" spans="1:32" x14ac:dyDescent="0.25">
      <c r="A38" s="1">
        <f t="shared" si="1"/>
        <v>2013</v>
      </c>
      <c r="AE38" s="107" t="s">
        <v>4490</v>
      </c>
      <c r="AF38" s="1">
        <v>0</v>
      </c>
    </row>
    <row r="39" spans="1:32" x14ac:dyDescent="0.25">
      <c r="A39" s="1">
        <f t="shared" si="1"/>
        <v>2014</v>
      </c>
      <c r="AE39" s="107" t="s">
        <v>4330</v>
      </c>
      <c r="AF39" s="1">
        <v>0</v>
      </c>
    </row>
    <row r="40" spans="1:32" x14ac:dyDescent="0.25">
      <c r="A40" s="1">
        <f t="shared" si="1"/>
        <v>2015</v>
      </c>
      <c r="AE40" s="107" t="s">
        <v>4644</v>
      </c>
      <c r="AF40" s="1">
        <v>0</v>
      </c>
    </row>
    <row r="41" spans="1:32" x14ac:dyDescent="0.25">
      <c r="A41" s="1">
        <f t="shared" si="1"/>
        <v>2016</v>
      </c>
      <c r="AE41" s="107" t="s">
        <v>4364</v>
      </c>
      <c r="AF41" s="1">
        <v>0</v>
      </c>
    </row>
    <row r="42" spans="1:32" x14ac:dyDescent="0.25">
      <c r="A42" s="1">
        <f t="shared" si="1"/>
        <v>2017</v>
      </c>
      <c r="AE42" s="107" t="s">
        <v>5190</v>
      </c>
      <c r="AF42" s="1">
        <v>0</v>
      </c>
    </row>
    <row r="43" spans="1:32" x14ac:dyDescent="0.25">
      <c r="A43" s="1">
        <f t="shared" si="1"/>
        <v>2018</v>
      </c>
      <c r="AE43" s="107" t="s">
        <v>4338</v>
      </c>
      <c r="AF43" s="1">
        <v>0</v>
      </c>
    </row>
    <row r="44" spans="1:32" x14ac:dyDescent="0.25">
      <c r="A44" s="1">
        <f t="shared" si="1"/>
        <v>2019</v>
      </c>
      <c r="AE44" s="107" t="s">
        <v>4512</v>
      </c>
      <c r="AF44" s="1">
        <v>0</v>
      </c>
    </row>
    <row r="45" spans="1:32" x14ac:dyDescent="0.25">
      <c r="A45" s="1">
        <f t="shared" si="1"/>
        <v>2020</v>
      </c>
      <c r="AE45" s="107" t="s">
        <v>4350</v>
      </c>
      <c r="AF45" s="1">
        <v>0</v>
      </c>
    </row>
    <row r="46" spans="1:32" x14ac:dyDescent="0.25">
      <c r="A46" s="1">
        <f t="shared" si="1"/>
        <v>2021</v>
      </c>
      <c r="AE46" s="107" t="s">
        <v>4532</v>
      </c>
      <c r="AF46" s="1">
        <v>0</v>
      </c>
    </row>
    <row r="47" spans="1:32" x14ac:dyDescent="0.25">
      <c r="A47" s="1">
        <f t="shared" si="1"/>
        <v>2022</v>
      </c>
      <c r="AE47" s="107" t="s">
        <v>4366</v>
      </c>
      <c r="AF47" s="1">
        <v>0</v>
      </c>
    </row>
    <row r="48" spans="1:32" x14ac:dyDescent="0.25">
      <c r="A48" s="1">
        <f t="shared" si="1"/>
        <v>2023</v>
      </c>
      <c r="AE48" s="107" t="s">
        <v>4508</v>
      </c>
      <c r="AF48" s="1">
        <v>0</v>
      </c>
    </row>
    <row r="49" spans="1:32" x14ac:dyDescent="0.25">
      <c r="A49" s="1">
        <f t="shared" si="1"/>
        <v>2024</v>
      </c>
      <c r="AE49" s="107" t="s">
        <v>4354</v>
      </c>
      <c r="AF49" s="1">
        <v>0</v>
      </c>
    </row>
    <row r="50" spans="1:32" x14ac:dyDescent="0.25">
      <c r="A50" s="1">
        <f t="shared" si="1"/>
        <v>2025</v>
      </c>
      <c r="AE50" s="107" t="s">
        <v>4663</v>
      </c>
      <c r="AF50" s="1">
        <v>0</v>
      </c>
    </row>
    <row r="51" spans="1:32" x14ac:dyDescent="0.25">
      <c r="A51" s="1">
        <f>YEAR(today)</f>
        <v>2026</v>
      </c>
      <c r="AE51" s="107" t="s">
        <v>4368</v>
      </c>
      <c r="AF51" s="1">
        <v>0</v>
      </c>
    </row>
    <row r="52" spans="1:32" x14ac:dyDescent="0.25">
      <c r="AE52" s="107" t="s">
        <v>5220</v>
      </c>
      <c r="AF52" s="1">
        <v>0</v>
      </c>
    </row>
    <row r="53" spans="1:32" x14ac:dyDescent="0.25">
      <c r="AE53" s="107" t="s">
        <v>4342</v>
      </c>
      <c r="AF53" s="1">
        <v>0</v>
      </c>
    </row>
    <row r="54" spans="1:32" x14ac:dyDescent="0.25">
      <c r="AE54" s="107" t="s">
        <v>5256</v>
      </c>
      <c r="AF54" s="1">
        <v>0</v>
      </c>
    </row>
    <row r="55" spans="1:32" x14ac:dyDescent="0.25">
      <c r="AE55" s="107" t="s">
        <v>4348</v>
      </c>
      <c r="AF55" s="1">
        <v>0</v>
      </c>
    </row>
    <row r="56" spans="1:32" x14ac:dyDescent="0.25">
      <c r="AE56" s="107" t="s">
        <v>5228</v>
      </c>
      <c r="AF56" s="1">
        <v>0</v>
      </c>
    </row>
    <row r="57" spans="1:32" x14ac:dyDescent="0.25">
      <c r="AE57" s="107" t="s">
        <v>4340</v>
      </c>
      <c r="AF57" s="1">
        <v>0</v>
      </c>
    </row>
    <row r="58" spans="1:32" x14ac:dyDescent="0.25">
      <c r="AE58" s="107" t="s">
        <v>5234</v>
      </c>
      <c r="AF58" s="1">
        <v>0</v>
      </c>
    </row>
    <row r="59" spans="1:32" x14ac:dyDescent="0.25">
      <c r="AE59" s="107" t="s">
        <v>4360</v>
      </c>
      <c r="AF59" s="1">
        <v>0</v>
      </c>
    </row>
    <row r="60" spans="1:32" x14ac:dyDescent="0.25">
      <c r="AE60" s="107" t="s">
        <v>5266</v>
      </c>
      <c r="AF60" s="1">
        <v>0</v>
      </c>
    </row>
    <row r="61" spans="1:32" x14ac:dyDescent="0.25">
      <c r="AE61" s="107" t="s">
        <v>4358</v>
      </c>
      <c r="AF61" s="1">
        <v>0</v>
      </c>
    </row>
    <row r="62" spans="1:32" x14ac:dyDescent="0.25">
      <c r="AE62" s="107" t="s">
        <v>5276</v>
      </c>
      <c r="AF62" s="1">
        <v>0</v>
      </c>
    </row>
    <row r="63" spans="1:32" x14ac:dyDescent="0.25">
      <c r="AE63" s="107" t="s">
        <v>4362</v>
      </c>
      <c r="AF63" s="1">
        <v>0</v>
      </c>
    </row>
    <row r="64" spans="1:32" x14ac:dyDescent="0.25">
      <c r="AE64" s="107" t="s">
        <v>4496</v>
      </c>
      <c r="AF64" s="1">
        <v>0</v>
      </c>
    </row>
    <row r="65" spans="31:32" x14ac:dyDescent="0.25">
      <c r="AE65" s="107" t="s">
        <v>4370</v>
      </c>
      <c r="AF65" s="1">
        <v>0</v>
      </c>
    </row>
    <row r="66" spans="31:32" x14ac:dyDescent="0.25">
      <c r="AE66" s="107" t="s">
        <v>4538</v>
      </c>
      <c r="AF66" s="1">
        <v>0</v>
      </c>
    </row>
    <row r="67" spans="31:32" x14ac:dyDescent="0.25">
      <c r="AE67" s="107" t="s">
        <v>5172</v>
      </c>
      <c r="AF67" s="1">
        <v>0</v>
      </c>
    </row>
    <row r="68" spans="31:32" x14ac:dyDescent="0.25">
      <c r="AE68" s="107" t="s">
        <v>4524</v>
      </c>
      <c r="AF68" s="1">
        <v>0</v>
      </c>
    </row>
    <row r="69" spans="31:32" x14ac:dyDescent="0.25">
      <c r="AE69" s="107" t="s">
        <v>4372</v>
      </c>
      <c r="AF69" s="1">
        <v>0</v>
      </c>
    </row>
    <row r="70" spans="31:32" x14ac:dyDescent="0.25">
      <c r="AE70" s="107" t="s">
        <v>4588</v>
      </c>
      <c r="AF70" s="1">
        <v>0</v>
      </c>
    </row>
    <row r="71" spans="31:32" x14ac:dyDescent="0.25">
      <c r="AE71" s="107" t="s">
        <v>4356</v>
      </c>
      <c r="AF71" s="1">
        <v>0</v>
      </c>
    </row>
    <row r="72" spans="31:32" x14ac:dyDescent="0.25">
      <c r="AE72" s="107" t="s">
        <v>4536</v>
      </c>
      <c r="AF72" s="1">
        <v>0</v>
      </c>
    </row>
    <row r="73" spans="31:32" x14ac:dyDescent="0.25">
      <c r="AE73" s="107" t="s">
        <v>4004</v>
      </c>
      <c r="AF73" s="1">
        <v>0</v>
      </c>
    </row>
    <row r="74" spans="31:32" x14ac:dyDescent="0.25">
      <c r="AE74" s="107" t="s">
        <v>4434</v>
      </c>
      <c r="AF74" s="1">
        <v>0</v>
      </c>
    </row>
    <row r="75" spans="31:32" x14ac:dyDescent="0.25">
      <c r="AE75" s="107" t="s">
        <v>5178</v>
      </c>
      <c r="AF75" s="1">
        <v>0</v>
      </c>
    </row>
    <row r="76" spans="31:32" x14ac:dyDescent="0.25">
      <c r="AE76" s="107" t="s">
        <v>4620</v>
      </c>
      <c r="AF76" s="1">
        <v>0</v>
      </c>
    </row>
    <row r="77" spans="31:32" x14ac:dyDescent="0.25">
      <c r="AE77" s="107" t="s">
        <v>4468</v>
      </c>
      <c r="AF77" s="1">
        <v>0</v>
      </c>
    </row>
    <row r="78" spans="31:32" x14ac:dyDescent="0.25">
      <c r="AE78" s="107" t="s">
        <v>4657</v>
      </c>
      <c r="AF78" s="1">
        <v>0</v>
      </c>
    </row>
    <row r="79" spans="31:32" x14ac:dyDescent="0.25">
      <c r="AE79" s="107" t="s">
        <v>4478</v>
      </c>
      <c r="AF79" s="1">
        <v>0</v>
      </c>
    </row>
    <row r="80" spans="31:32" x14ac:dyDescent="0.25">
      <c r="AE80" s="107" t="s">
        <v>4428</v>
      </c>
      <c r="AF80" s="1">
        <v>0</v>
      </c>
    </row>
    <row r="81" spans="31:32" x14ac:dyDescent="0.25">
      <c r="AE81" s="107" t="s">
        <v>4382</v>
      </c>
      <c r="AF81" s="1">
        <v>0</v>
      </c>
    </row>
    <row r="82" spans="31:32" x14ac:dyDescent="0.25">
      <c r="AE82" s="107" t="s">
        <v>4544</v>
      </c>
      <c r="AF82" s="1">
        <v>0</v>
      </c>
    </row>
    <row r="83" spans="31:32" x14ac:dyDescent="0.25">
      <c r="AE83" s="107" t="s">
        <v>4514</v>
      </c>
      <c r="AF83" s="1">
        <v>0</v>
      </c>
    </row>
    <row r="84" spans="31:32" x14ac:dyDescent="0.25">
      <c r="AE84" s="107" t="s">
        <v>4400</v>
      </c>
      <c r="AF84" s="1">
        <v>0</v>
      </c>
    </row>
    <row r="85" spans="31:32" x14ac:dyDescent="0.25">
      <c r="AE85" s="107" t="s">
        <v>4222</v>
      </c>
      <c r="AF85" s="1">
        <v>0</v>
      </c>
    </row>
    <row r="86" spans="31:32" x14ac:dyDescent="0.25">
      <c r="AE86" s="107" t="s">
        <v>4570</v>
      </c>
      <c r="AF86" s="1">
        <v>0</v>
      </c>
    </row>
    <row r="87" spans="31:32" x14ac:dyDescent="0.25">
      <c r="AE87" s="107" t="s">
        <v>4416</v>
      </c>
      <c r="AF87" s="1">
        <v>0</v>
      </c>
    </row>
    <row r="88" spans="31:32" x14ac:dyDescent="0.25">
      <c r="AE88" s="107" t="s">
        <v>4566</v>
      </c>
      <c r="AF88" s="1">
        <v>0</v>
      </c>
    </row>
    <row r="89" spans="31:32" x14ac:dyDescent="0.25">
      <c r="AE89" s="107" t="s">
        <v>5180</v>
      </c>
      <c r="AF89" s="1">
        <v>0</v>
      </c>
    </row>
    <row r="90" spans="31:32" x14ac:dyDescent="0.25">
      <c r="AE90" s="107" t="s">
        <v>4612</v>
      </c>
      <c r="AF90" s="1">
        <v>0</v>
      </c>
    </row>
    <row r="91" spans="31:32" x14ac:dyDescent="0.25">
      <c r="AE91" s="107" t="s">
        <v>5192</v>
      </c>
      <c r="AF91" s="1">
        <v>0</v>
      </c>
    </row>
    <row r="92" spans="31:32" x14ac:dyDescent="0.25">
      <c r="AE92" s="107" t="s">
        <v>4564</v>
      </c>
      <c r="AF92" s="1">
        <v>0</v>
      </c>
    </row>
    <row r="93" spans="31:32" x14ac:dyDescent="0.25">
      <c r="AE93" s="107" t="s">
        <v>4376</v>
      </c>
      <c r="AF93" s="1">
        <v>0</v>
      </c>
    </row>
    <row r="94" spans="31:32" x14ac:dyDescent="0.25">
      <c r="AE94" s="107" t="s">
        <v>4398</v>
      </c>
      <c r="AF94" s="1">
        <v>0</v>
      </c>
    </row>
    <row r="95" spans="31:32" x14ac:dyDescent="0.25">
      <c r="AE95" s="107" t="s">
        <v>4528</v>
      </c>
      <c r="AF95" s="1">
        <v>0</v>
      </c>
    </row>
    <row r="96" spans="31:32" x14ac:dyDescent="0.25">
      <c r="AE96" s="107" t="s">
        <v>4550</v>
      </c>
      <c r="AF96" s="1">
        <v>0</v>
      </c>
    </row>
    <row r="97" spans="31:32" x14ac:dyDescent="0.25">
      <c r="AE97" s="107" t="s">
        <v>4482</v>
      </c>
      <c r="AF97" s="1">
        <v>0</v>
      </c>
    </row>
    <row r="98" spans="31:32" x14ac:dyDescent="0.25">
      <c r="AE98" s="107" t="s">
        <v>4667</v>
      </c>
      <c r="AF98" s="1">
        <v>0</v>
      </c>
    </row>
    <row r="99" spans="31:32" x14ac:dyDescent="0.25">
      <c r="AE99" s="107" t="s">
        <v>4606</v>
      </c>
      <c r="AF99" s="1">
        <v>0</v>
      </c>
    </row>
    <row r="100" spans="31:32" x14ac:dyDescent="0.25">
      <c r="AE100" s="107" t="s">
        <v>4665</v>
      </c>
      <c r="AF100" s="1">
        <v>0</v>
      </c>
    </row>
    <row r="101" spans="31:32" x14ac:dyDescent="0.25">
      <c r="AE101" s="107" t="s">
        <v>5200</v>
      </c>
      <c r="AF101" s="1">
        <v>0</v>
      </c>
    </row>
    <row r="102" spans="31:32" x14ac:dyDescent="0.25">
      <c r="AE102" s="107" t="s">
        <v>4673</v>
      </c>
      <c r="AF102" s="1">
        <v>0</v>
      </c>
    </row>
    <row r="103" spans="31:32" x14ac:dyDescent="0.25">
      <c r="AE103" s="107" t="s">
        <v>4384</v>
      </c>
      <c r="AF103" s="1">
        <v>0</v>
      </c>
    </row>
    <row r="104" spans="31:32" x14ac:dyDescent="0.25">
      <c r="AE104" s="107" t="s">
        <v>4677</v>
      </c>
      <c r="AF104" s="1">
        <v>0</v>
      </c>
    </row>
    <row r="105" spans="31:32" x14ac:dyDescent="0.25">
      <c r="AE105" s="107" t="s">
        <v>4600</v>
      </c>
      <c r="AF105" s="1">
        <v>0</v>
      </c>
    </row>
    <row r="106" spans="31:32" x14ac:dyDescent="0.25">
      <c r="AE106" s="107" t="s">
        <v>5248</v>
      </c>
      <c r="AF106" s="1">
        <v>0</v>
      </c>
    </row>
    <row r="107" spans="31:32" x14ac:dyDescent="0.25">
      <c r="AE107" s="107" t="s">
        <v>4584</v>
      </c>
      <c r="AF107" s="1">
        <v>0</v>
      </c>
    </row>
    <row r="108" spans="31:32" x14ac:dyDescent="0.25">
      <c r="AE108" s="107" t="s">
        <v>5246</v>
      </c>
      <c r="AF108" s="1">
        <v>0</v>
      </c>
    </row>
    <row r="109" spans="31:32" x14ac:dyDescent="0.25">
      <c r="AE109" s="107" t="s">
        <v>4380</v>
      </c>
      <c r="AF109" s="1">
        <v>0</v>
      </c>
    </row>
    <row r="110" spans="31:32" x14ac:dyDescent="0.25">
      <c r="AE110" s="107" t="s">
        <v>210</v>
      </c>
      <c r="AF110" s="1">
        <v>0</v>
      </c>
    </row>
    <row r="111" spans="31:32" x14ac:dyDescent="0.25">
      <c r="AE111" s="107" t="s">
        <v>4386</v>
      </c>
      <c r="AF111" s="1">
        <v>0</v>
      </c>
    </row>
    <row r="112" spans="31:32" x14ac:dyDescent="0.25">
      <c r="AE112" s="107" t="s">
        <v>5272</v>
      </c>
      <c r="AF112" s="1">
        <v>0</v>
      </c>
    </row>
    <row r="113" spans="31:32" x14ac:dyDescent="0.25">
      <c r="AE113" s="107" t="s">
        <v>4462</v>
      </c>
      <c r="AF113" s="1">
        <v>0</v>
      </c>
    </row>
    <row r="114" spans="31:32" x14ac:dyDescent="0.25">
      <c r="AE114" s="107" t="s">
        <v>124</v>
      </c>
      <c r="AF114" s="1">
        <v>0</v>
      </c>
    </row>
    <row r="115" spans="31:32" x14ac:dyDescent="0.25">
      <c r="AE115" s="107" t="s">
        <v>4442</v>
      </c>
      <c r="AF115" s="1">
        <v>0</v>
      </c>
    </row>
    <row r="116" spans="31:32" x14ac:dyDescent="0.25">
      <c r="AE116" s="107" t="s">
        <v>5210</v>
      </c>
      <c r="AF116" s="1">
        <v>0</v>
      </c>
    </row>
    <row r="117" spans="31:32" x14ac:dyDescent="0.25">
      <c r="AE117" s="107" t="s">
        <v>4560</v>
      </c>
      <c r="AF117" s="1">
        <v>0</v>
      </c>
    </row>
    <row r="118" spans="31:32" x14ac:dyDescent="0.25">
      <c r="AE118" s="107" t="s">
        <v>5236</v>
      </c>
      <c r="AF118" s="1">
        <v>0</v>
      </c>
    </row>
    <row r="119" spans="31:32" x14ac:dyDescent="0.25">
      <c r="AE119" s="107" t="s">
        <v>4374</v>
      </c>
      <c r="AF119" s="1">
        <v>0</v>
      </c>
    </row>
    <row r="120" spans="31:32" x14ac:dyDescent="0.25">
      <c r="AE120" s="107" t="s">
        <v>3276</v>
      </c>
      <c r="AF120" s="1">
        <v>0</v>
      </c>
    </row>
    <row r="121" spans="31:32" x14ac:dyDescent="0.25">
      <c r="AE121" s="107" t="s">
        <v>4388</v>
      </c>
      <c r="AF121" s="1">
        <v>0</v>
      </c>
    </row>
    <row r="122" spans="31:32" x14ac:dyDescent="0.25">
      <c r="AE122" s="107" t="s">
        <v>3335</v>
      </c>
      <c r="AF122" s="1">
        <v>0</v>
      </c>
    </row>
    <row r="123" spans="31:32" x14ac:dyDescent="0.25">
      <c r="AE123" s="107" t="s">
        <v>4444</v>
      </c>
      <c r="AF123" s="1">
        <v>0</v>
      </c>
    </row>
    <row r="124" spans="31:32" x14ac:dyDescent="0.25">
      <c r="AE124" s="107" t="s">
        <v>5258</v>
      </c>
      <c r="AF124" s="1">
        <v>0</v>
      </c>
    </row>
    <row r="125" spans="31:32" x14ac:dyDescent="0.25">
      <c r="AE125" s="107" t="s">
        <v>4470</v>
      </c>
      <c r="AF125" s="1">
        <v>0</v>
      </c>
    </row>
    <row r="126" spans="31:32" x14ac:dyDescent="0.25">
      <c r="AE126" s="107" t="s">
        <v>5286</v>
      </c>
      <c r="AF126" s="1">
        <v>0</v>
      </c>
    </row>
    <row r="127" spans="31:32" x14ac:dyDescent="0.25">
      <c r="AE127" s="107" t="s">
        <v>4396</v>
      </c>
      <c r="AF127" s="1">
        <v>0</v>
      </c>
    </row>
    <row r="128" spans="31:32" x14ac:dyDescent="0.25">
      <c r="AE128" s="107" t="s">
        <v>4492</v>
      </c>
      <c r="AF128" s="1">
        <v>0</v>
      </c>
    </row>
    <row r="129" spans="31:32" x14ac:dyDescent="0.25">
      <c r="AE129" s="107" t="s">
        <v>4422</v>
      </c>
      <c r="AF129" s="1">
        <v>0</v>
      </c>
    </row>
    <row r="130" spans="31:32" x14ac:dyDescent="0.25">
      <c r="AE130" s="107" t="s">
        <v>4414</v>
      </c>
      <c r="AF130" s="1">
        <v>0</v>
      </c>
    </row>
    <row r="131" spans="31:32" x14ac:dyDescent="0.25">
      <c r="AE131" s="107" t="s">
        <v>4408</v>
      </c>
      <c r="AF131" s="1">
        <v>0</v>
      </c>
    </row>
    <row r="132" spans="31:32" x14ac:dyDescent="0.25">
      <c r="AE132" s="107" t="s">
        <v>4534</v>
      </c>
      <c r="AF132" s="1">
        <v>0</v>
      </c>
    </row>
    <row r="133" spans="31:32" x14ac:dyDescent="0.25">
      <c r="AE133" s="107" t="s">
        <v>4596</v>
      </c>
      <c r="AF133" s="1">
        <v>0</v>
      </c>
    </row>
    <row r="134" spans="31:32" x14ac:dyDescent="0.25">
      <c r="AE134" s="107" t="s">
        <v>4552</v>
      </c>
      <c r="AF134" s="1">
        <v>0</v>
      </c>
    </row>
    <row r="135" spans="31:32" x14ac:dyDescent="0.25">
      <c r="AE135" s="107" t="s">
        <v>4520</v>
      </c>
      <c r="AF135" s="1">
        <v>0</v>
      </c>
    </row>
    <row r="136" spans="31:32" x14ac:dyDescent="0.25">
      <c r="AE136" s="107" t="s">
        <v>4530</v>
      </c>
      <c r="AF136" s="1">
        <v>0</v>
      </c>
    </row>
    <row r="137" spans="31:32" x14ac:dyDescent="0.25">
      <c r="AE137" s="107" t="s">
        <v>5184</v>
      </c>
      <c r="AF137" s="1">
        <v>0</v>
      </c>
    </row>
    <row r="138" spans="31:32" x14ac:dyDescent="0.25">
      <c r="AE138" s="107" t="s">
        <v>4659</v>
      </c>
      <c r="AF138" s="1">
        <v>0</v>
      </c>
    </row>
    <row r="139" spans="31:32" x14ac:dyDescent="0.25">
      <c r="AE139" s="107" t="s">
        <v>4638</v>
      </c>
      <c r="AF139" s="1">
        <v>0</v>
      </c>
    </row>
    <row r="140" spans="31:32" x14ac:dyDescent="0.25">
      <c r="AE140" s="107" t="s">
        <v>4522</v>
      </c>
      <c r="AF140" s="1">
        <v>0</v>
      </c>
    </row>
    <row r="141" spans="31:32" x14ac:dyDescent="0.25">
      <c r="AE141" s="107" t="s">
        <v>4410</v>
      </c>
      <c r="AF141" s="1">
        <v>0</v>
      </c>
    </row>
    <row r="142" spans="31:32" x14ac:dyDescent="0.25">
      <c r="AE142" s="107" t="s">
        <v>4590</v>
      </c>
      <c r="AF142" s="1">
        <v>0</v>
      </c>
    </row>
    <row r="143" spans="31:32" x14ac:dyDescent="0.25">
      <c r="AE143" s="107" t="s">
        <v>4402</v>
      </c>
      <c r="AF143" s="1">
        <v>0</v>
      </c>
    </row>
    <row r="144" spans="31:32" x14ac:dyDescent="0.25">
      <c r="AE144" s="107" t="s">
        <v>4502</v>
      </c>
      <c r="AF144" s="1">
        <v>0</v>
      </c>
    </row>
    <row r="145" spans="31:32" x14ac:dyDescent="0.25">
      <c r="AE145" s="107" t="s">
        <v>4510</v>
      </c>
      <c r="AF145" s="1">
        <v>0</v>
      </c>
    </row>
    <row r="146" spans="31:32" x14ac:dyDescent="0.25">
      <c r="AE146" s="107" t="s">
        <v>4424</v>
      </c>
      <c r="AF146" s="1">
        <v>0</v>
      </c>
    </row>
    <row r="147" spans="31:32" x14ac:dyDescent="0.25">
      <c r="AE147" s="107" t="s">
        <v>4390</v>
      </c>
      <c r="AF147" s="1">
        <v>0</v>
      </c>
    </row>
    <row r="148" spans="31:32" x14ac:dyDescent="0.25">
      <c r="AE148" s="107" t="s">
        <v>4426</v>
      </c>
      <c r="AF148" s="1">
        <v>0</v>
      </c>
    </row>
    <row r="149" spans="31:32" x14ac:dyDescent="0.25">
      <c r="AE149" s="107" t="s">
        <v>4650</v>
      </c>
      <c r="AF149" s="1">
        <v>0</v>
      </c>
    </row>
    <row r="150" spans="31:32" x14ac:dyDescent="0.25">
      <c r="AE150" s="107" t="s">
        <v>4432</v>
      </c>
      <c r="AF150" s="1">
        <v>0</v>
      </c>
    </row>
    <row r="151" spans="31:32" x14ac:dyDescent="0.25">
      <c r="AE151" s="107" t="s">
        <v>4648</v>
      </c>
      <c r="AF151" s="1">
        <v>0</v>
      </c>
    </row>
    <row r="152" spans="31:32" x14ac:dyDescent="0.25">
      <c r="AE152" s="107" t="s">
        <v>4586</v>
      </c>
      <c r="AF152" s="1">
        <v>0</v>
      </c>
    </row>
    <row r="153" spans="31:32" x14ac:dyDescent="0.25">
      <c r="AE153" s="107" t="s">
        <v>4598</v>
      </c>
      <c r="AF153" s="1">
        <v>0</v>
      </c>
    </row>
    <row r="154" spans="31:32" x14ac:dyDescent="0.25">
      <c r="AE154" s="107" t="s">
        <v>4626</v>
      </c>
      <c r="AF154" s="1">
        <v>0</v>
      </c>
    </row>
    <row r="155" spans="31:32" x14ac:dyDescent="0.25">
      <c r="AE155" s="107" t="s">
        <v>4404</v>
      </c>
      <c r="AF155" s="1">
        <v>0</v>
      </c>
    </row>
    <row r="156" spans="31:32" x14ac:dyDescent="0.25">
      <c r="AE156" s="107" t="s">
        <v>4504</v>
      </c>
      <c r="AF156" s="1">
        <v>0</v>
      </c>
    </row>
    <row r="157" spans="31:32" x14ac:dyDescent="0.25">
      <c r="AE157" s="107" t="s">
        <v>4602</v>
      </c>
      <c r="AF157" s="1">
        <v>0</v>
      </c>
    </row>
    <row r="158" spans="31:32" x14ac:dyDescent="0.25">
      <c r="AE158" s="107" t="s">
        <v>4580</v>
      </c>
      <c r="AF158" s="1">
        <v>0</v>
      </c>
    </row>
    <row r="159" spans="31:32" x14ac:dyDescent="0.25">
      <c r="AE159" s="107" t="s">
        <v>4418</v>
      </c>
      <c r="AF159" s="1">
        <v>0</v>
      </c>
    </row>
    <row r="160" spans="31:32" x14ac:dyDescent="0.25">
      <c r="AE160" s="107" t="s">
        <v>4480</v>
      </c>
      <c r="AF160" s="1">
        <v>0</v>
      </c>
    </row>
    <row r="161" spans="31:32" x14ac:dyDescent="0.25">
      <c r="AE161" s="107" t="s">
        <v>5176</v>
      </c>
      <c r="AF161" s="1">
        <v>0</v>
      </c>
    </row>
    <row r="162" spans="31:32" x14ac:dyDescent="0.25">
      <c r="AE162" s="107" t="s">
        <v>1378</v>
      </c>
      <c r="AF162" s="1">
        <v>0</v>
      </c>
    </row>
    <row r="163" spans="31:32" x14ac:dyDescent="0.25">
      <c r="AE163" s="107" t="s">
        <v>4622</v>
      </c>
      <c r="AF163" s="1">
        <v>0</v>
      </c>
    </row>
    <row r="164" spans="31:32" x14ac:dyDescent="0.25">
      <c r="AE164" s="107" t="s">
        <v>4574</v>
      </c>
      <c r="AF164" s="1">
        <v>0</v>
      </c>
    </row>
    <row r="165" spans="31:32" x14ac:dyDescent="0.25">
      <c r="AE165" s="107" t="s">
        <v>4624</v>
      </c>
      <c r="AF165" s="1">
        <v>0</v>
      </c>
    </row>
    <row r="166" spans="31:32" x14ac:dyDescent="0.25">
      <c r="AE166" s="107" t="s">
        <v>4484</v>
      </c>
      <c r="AF166" s="1">
        <v>0</v>
      </c>
    </row>
    <row r="167" spans="31:32" x14ac:dyDescent="0.25">
      <c r="AE167" s="107" t="s">
        <v>4556</v>
      </c>
      <c r="AF167" s="1">
        <v>0</v>
      </c>
    </row>
    <row r="168" spans="31:32" x14ac:dyDescent="0.25">
      <c r="AE168" s="107" t="s">
        <v>4642</v>
      </c>
      <c r="AF168" s="1">
        <v>0</v>
      </c>
    </row>
    <row r="169" spans="31:32" x14ac:dyDescent="0.25">
      <c r="AE169" s="107" t="s">
        <v>4632</v>
      </c>
      <c r="AF169" s="1">
        <v>0</v>
      </c>
    </row>
    <row r="170" spans="31:32" x14ac:dyDescent="0.25">
      <c r="AE170" s="107" t="s">
        <v>4554</v>
      </c>
      <c r="AF170" s="1">
        <v>0</v>
      </c>
    </row>
    <row r="171" spans="31:32" x14ac:dyDescent="0.25">
      <c r="AE171" s="107" t="s">
        <v>4392</v>
      </c>
      <c r="AF171" s="1">
        <v>0</v>
      </c>
    </row>
    <row r="172" spans="31:32" x14ac:dyDescent="0.25">
      <c r="AE172" s="107" t="s">
        <v>4436</v>
      </c>
      <c r="AF172" s="1">
        <v>0</v>
      </c>
    </row>
    <row r="173" spans="31:32" x14ac:dyDescent="0.25">
      <c r="AE173" s="107" t="s">
        <v>4608</v>
      </c>
      <c r="AF173" s="1">
        <v>0</v>
      </c>
    </row>
    <row r="174" spans="31:32" x14ac:dyDescent="0.25">
      <c r="AE174" s="107" t="s">
        <v>4568</v>
      </c>
      <c r="AF174" s="1">
        <v>0</v>
      </c>
    </row>
    <row r="175" spans="31:32" x14ac:dyDescent="0.25">
      <c r="AE175" s="107" t="s">
        <v>4378</v>
      </c>
      <c r="AF175" s="1">
        <v>0</v>
      </c>
    </row>
    <row r="176" spans="31:32" x14ac:dyDescent="0.25">
      <c r="AE176" s="107" t="s">
        <v>4472</v>
      </c>
      <c r="AF176" s="1">
        <v>0</v>
      </c>
    </row>
    <row r="177" spans="31:32" x14ac:dyDescent="0.25">
      <c r="AE177" s="107" t="s">
        <v>4394</v>
      </c>
      <c r="AF177" s="1">
        <v>0</v>
      </c>
    </row>
    <row r="178" spans="31:32" x14ac:dyDescent="0.25">
      <c r="AE178" s="107" t="s">
        <v>4653</v>
      </c>
      <c r="AF178" s="1">
        <v>0</v>
      </c>
    </row>
    <row r="179" spans="31:32" x14ac:dyDescent="0.25">
      <c r="AE179" s="107" t="s">
        <v>4594</v>
      </c>
      <c r="AF179" s="1">
        <v>0</v>
      </c>
    </row>
    <row r="180" spans="31:32" x14ac:dyDescent="0.25">
      <c r="AE180" s="107" t="s">
        <v>4438</v>
      </c>
      <c r="AF180" s="1">
        <v>0</v>
      </c>
    </row>
    <row r="181" spans="31:32" x14ac:dyDescent="0.25">
      <c r="AE181" s="107" t="s">
        <v>4406</v>
      </c>
      <c r="AF181" s="1">
        <v>0</v>
      </c>
    </row>
    <row r="182" spans="31:32" x14ac:dyDescent="0.25">
      <c r="AE182" s="107" t="s">
        <v>4572</v>
      </c>
      <c r="AF182" s="1">
        <v>0</v>
      </c>
    </row>
    <row r="183" spans="31:32" x14ac:dyDescent="0.25">
      <c r="AE183" s="107" t="s">
        <v>4464</v>
      </c>
      <c r="AF183" s="1">
        <v>0</v>
      </c>
    </row>
    <row r="184" spans="31:32" x14ac:dyDescent="0.25">
      <c r="AE184" s="107" t="s">
        <v>5198</v>
      </c>
      <c r="AF184" s="1">
        <v>0</v>
      </c>
    </row>
    <row r="185" spans="31:32" x14ac:dyDescent="0.25">
      <c r="AE185" s="107" t="s">
        <v>5202</v>
      </c>
      <c r="AF185" s="1">
        <v>0</v>
      </c>
    </row>
    <row r="186" spans="31:32" x14ac:dyDescent="0.25">
      <c r="AE186" s="107" t="s">
        <v>4576</v>
      </c>
      <c r="AF186" s="1">
        <v>0</v>
      </c>
    </row>
    <row r="187" spans="31:32" x14ac:dyDescent="0.25">
      <c r="AE187" s="107" t="s">
        <v>4646</v>
      </c>
      <c r="AF187" s="1">
        <v>0</v>
      </c>
    </row>
    <row r="188" spans="31:32" x14ac:dyDescent="0.25">
      <c r="AE188" s="107" t="s">
        <v>3565</v>
      </c>
      <c r="AF188" s="1">
        <v>0</v>
      </c>
    </row>
    <row r="189" spans="31:32" x14ac:dyDescent="0.25">
      <c r="AE189" s="107" t="s">
        <v>4540</v>
      </c>
      <c r="AF189" s="1">
        <v>0</v>
      </c>
    </row>
    <row r="190" spans="31:32" x14ac:dyDescent="0.25">
      <c r="AE190" s="107" t="s">
        <v>5011</v>
      </c>
      <c r="AF190" s="1">
        <v>0</v>
      </c>
    </row>
    <row r="191" spans="31:32" x14ac:dyDescent="0.25">
      <c r="AE191" s="107" t="s">
        <v>742</v>
      </c>
      <c r="AF191" s="1">
        <v>0</v>
      </c>
    </row>
    <row r="192" spans="31:32" x14ac:dyDescent="0.25">
      <c r="AE192" s="107" t="s">
        <v>4548</v>
      </c>
      <c r="AF192" s="1">
        <v>0</v>
      </c>
    </row>
    <row r="193" spans="31:32" x14ac:dyDescent="0.25">
      <c r="AE193" s="107" t="s">
        <v>4450</v>
      </c>
      <c r="AF193" s="1">
        <v>0</v>
      </c>
    </row>
    <row r="194" spans="31:32" x14ac:dyDescent="0.25">
      <c r="AE194" s="107" t="s">
        <v>4634</v>
      </c>
      <c r="AF194" s="1">
        <v>0</v>
      </c>
    </row>
    <row r="195" spans="31:32" x14ac:dyDescent="0.25">
      <c r="AE195" s="107" t="s">
        <v>4815</v>
      </c>
      <c r="AF195" s="1">
        <v>0</v>
      </c>
    </row>
    <row r="196" spans="31:32" x14ac:dyDescent="0.25">
      <c r="AE196" s="107" t="s">
        <v>4636</v>
      </c>
      <c r="AF196" s="1">
        <v>0</v>
      </c>
    </row>
    <row r="197" spans="31:32" x14ac:dyDescent="0.25">
      <c r="AE197" s="107" t="s">
        <v>4526</v>
      </c>
      <c r="AF197" s="1">
        <v>0</v>
      </c>
    </row>
    <row r="198" spans="31:32" x14ac:dyDescent="0.25">
      <c r="AE198" s="107" t="s">
        <v>4516</v>
      </c>
      <c r="AF198" s="1">
        <v>0</v>
      </c>
    </row>
    <row r="199" spans="31:32" x14ac:dyDescent="0.25">
      <c r="AE199" s="107" t="s">
        <v>4458</v>
      </c>
      <c r="AF199" s="1">
        <v>0</v>
      </c>
    </row>
    <row r="200" spans="31:32" x14ac:dyDescent="0.25">
      <c r="AE200" s="107" t="s">
        <v>4661</v>
      </c>
      <c r="AF200" s="1">
        <v>0</v>
      </c>
    </row>
    <row r="201" spans="31:32" x14ac:dyDescent="0.25">
      <c r="AE201" s="107" t="s">
        <v>4446</v>
      </c>
      <c r="AF201" s="1">
        <v>0</v>
      </c>
    </row>
    <row r="202" spans="31:32" x14ac:dyDescent="0.25">
      <c r="AE202" s="107" t="s">
        <v>2466</v>
      </c>
      <c r="AF202" s="1">
        <v>0</v>
      </c>
    </row>
    <row r="203" spans="31:32" x14ac:dyDescent="0.25">
      <c r="AE203" s="107" t="s">
        <v>4452</v>
      </c>
      <c r="AF203" s="1">
        <v>0</v>
      </c>
    </row>
    <row r="204" spans="31:32" x14ac:dyDescent="0.25">
      <c r="AE204" s="107" t="s">
        <v>4671</v>
      </c>
      <c r="AF204" s="1">
        <v>0</v>
      </c>
    </row>
    <row r="205" spans="31:32" x14ac:dyDescent="0.25">
      <c r="AE205" s="107" t="s">
        <v>5196</v>
      </c>
      <c r="AF205" s="1">
        <v>0</v>
      </c>
    </row>
    <row r="206" spans="31:32" x14ac:dyDescent="0.25">
      <c r="AE206" s="107" t="s">
        <v>4681</v>
      </c>
      <c r="AF206" s="1">
        <v>0</v>
      </c>
    </row>
    <row r="207" spans="31:32" x14ac:dyDescent="0.25">
      <c r="AE207" s="107" t="s">
        <v>4628</v>
      </c>
      <c r="AF207" s="1">
        <v>0</v>
      </c>
    </row>
    <row r="208" spans="31:32" x14ac:dyDescent="0.25">
      <c r="AE208" s="107" t="s">
        <v>5204</v>
      </c>
      <c r="AF208" s="1">
        <v>0</v>
      </c>
    </row>
    <row r="209" spans="31:32" x14ac:dyDescent="0.25">
      <c r="AE209" s="107" t="s">
        <v>4456</v>
      </c>
      <c r="AF209" s="1">
        <v>0</v>
      </c>
    </row>
    <row r="210" spans="31:32" x14ac:dyDescent="0.25">
      <c r="AE210" s="107" t="s">
        <v>4679</v>
      </c>
      <c r="AF210" s="1">
        <v>0</v>
      </c>
    </row>
    <row r="211" spans="31:32" x14ac:dyDescent="0.25">
      <c r="AE211" s="107" t="s">
        <v>4604</v>
      </c>
      <c r="AF211" s="1">
        <v>0</v>
      </c>
    </row>
    <row r="212" spans="31:32" x14ac:dyDescent="0.25">
      <c r="AE212" s="107" t="s">
        <v>5218</v>
      </c>
      <c r="AF212" s="1">
        <v>0</v>
      </c>
    </row>
    <row r="213" spans="31:32" x14ac:dyDescent="0.25">
      <c r="AE213" s="107" t="s">
        <v>5182</v>
      </c>
      <c r="AF213" s="1">
        <v>0</v>
      </c>
    </row>
    <row r="214" spans="31:32" x14ac:dyDescent="0.25">
      <c r="AE214" s="107" t="s">
        <v>5274</v>
      </c>
      <c r="AF214" s="1">
        <v>0</v>
      </c>
    </row>
    <row r="215" spans="31:32" x14ac:dyDescent="0.25">
      <c r="AE215" s="107" t="s">
        <v>4454</v>
      </c>
      <c r="AF215" s="1">
        <v>0</v>
      </c>
    </row>
    <row r="216" spans="31:32" x14ac:dyDescent="0.25">
      <c r="AE216" s="107" t="s">
        <v>5222</v>
      </c>
      <c r="AF216" s="1">
        <v>0</v>
      </c>
    </row>
    <row r="217" spans="31:32" x14ac:dyDescent="0.25">
      <c r="AE217" s="107" t="s">
        <v>232</v>
      </c>
      <c r="AF217" s="1">
        <v>0</v>
      </c>
    </row>
    <row r="218" spans="31:32" x14ac:dyDescent="0.25">
      <c r="AE218" s="107" t="s">
        <v>5264</v>
      </c>
      <c r="AF218" s="1">
        <v>0</v>
      </c>
    </row>
    <row r="219" spans="31:32" x14ac:dyDescent="0.25">
      <c r="AE219" s="107" t="s">
        <v>4280</v>
      </c>
      <c r="AF219" s="1">
        <v>0</v>
      </c>
    </row>
    <row r="220" spans="31:32" x14ac:dyDescent="0.25">
      <c r="AE220" s="107" t="s">
        <v>5270</v>
      </c>
      <c r="AF220" s="1">
        <v>0</v>
      </c>
    </row>
    <row r="221" spans="31:32" x14ac:dyDescent="0.25">
      <c r="AE221" s="107" t="s">
        <v>4546</v>
      </c>
      <c r="AF221" s="1">
        <v>0</v>
      </c>
    </row>
    <row r="222" spans="31:32" x14ac:dyDescent="0.25">
      <c r="AE222" s="107" t="s">
        <v>5282</v>
      </c>
      <c r="AF222" s="1">
        <v>0</v>
      </c>
    </row>
    <row r="223" spans="31:32" x14ac:dyDescent="0.25">
      <c r="AE223" s="107" t="s">
        <v>4610</v>
      </c>
      <c r="AF223" s="1">
        <v>0</v>
      </c>
    </row>
    <row r="224" spans="31:32" x14ac:dyDescent="0.25">
      <c r="AE224" s="107" t="s">
        <v>5240</v>
      </c>
      <c r="AF224" s="1">
        <v>0</v>
      </c>
    </row>
    <row r="225" spans="31:32" x14ac:dyDescent="0.25">
      <c r="AE225" s="107" t="s">
        <v>4298</v>
      </c>
      <c r="AF225" s="1">
        <v>0</v>
      </c>
    </row>
    <row r="226" spans="31:32" x14ac:dyDescent="0.25">
      <c r="AE226" s="107" t="s">
        <v>5252</v>
      </c>
      <c r="AF226" s="1">
        <v>0</v>
      </c>
    </row>
    <row r="227" spans="31:32" x14ac:dyDescent="0.25">
      <c r="AE227" s="107" t="s">
        <v>4655</v>
      </c>
      <c r="AF227" s="1">
        <v>0</v>
      </c>
    </row>
    <row r="228" spans="31:32" x14ac:dyDescent="0.25">
      <c r="AE228" s="107" t="s">
        <v>5232</v>
      </c>
      <c r="AF228" s="1">
        <v>0</v>
      </c>
    </row>
    <row r="229" spans="31:32" x14ac:dyDescent="0.25">
      <c r="AE229" s="107" t="s">
        <v>4412</v>
      </c>
      <c r="AF229" s="1">
        <v>0</v>
      </c>
    </row>
    <row r="230" spans="31:32" x14ac:dyDescent="0.25">
      <c r="AE230" s="107" t="s">
        <v>5268</v>
      </c>
      <c r="AF230" s="1">
        <v>0</v>
      </c>
    </row>
    <row r="231" spans="31:32" x14ac:dyDescent="0.25">
      <c r="AE231" s="107" t="s">
        <v>1046</v>
      </c>
      <c r="AF231" s="1">
        <v>0</v>
      </c>
    </row>
    <row r="232" spans="31:32" x14ac:dyDescent="0.25">
      <c r="AE232" s="107" t="s">
        <v>5254</v>
      </c>
      <c r="AF232" s="1">
        <v>0</v>
      </c>
    </row>
    <row r="233" spans="31:32" x14ac:dyDescent="0.25">
      <c r="AE233" s="107" t="s">
        <v>5194</v>
      </c>
      <c r="AF233" s="1">
        <v>0</v>
      </c>
    </row>
    <row r="234" spans="31:32" x14ac:dyDescent="0.25">
      <c r="AE234" s="107" t="s">
        <v>1376</v>
      </c>
      <c r="AF234" s="1">
        <v>0</v>
      </c>
    </row>
    <row r="235" spans="31:32" x14ac:dyDescent="0.25">
      <c r="AE235" s="107" t="s">
        <v>5188</v>
      </c>
      <c r="AF235" s="1">
        <v>0</v>
      </c>
    </row>
    <row r="236" spans="31:32" x14ac:dyDescent="0.25">
      <c r="AE236" s="107" t="s">
        <v>5250</v>
      </c>
      <c r="AF236" s="1">
        <v>0</v>
      </c>
    </row>
    <row r="237" spans="31:32" x14ac:dyDescent="0.25">
      <c r="AE237" s="107" t="s">
        <v>4616</v>
      </c>
      <c r="AF237" s="1">
        <v>0</v>
      </c>
    </row>
    <row r="238" spans="31:32" x14ac:dyDescent="0.25">
      <c r="AE238" s="107" t="s">
        <v>5238</v>
      </c>
      <c r="AF238" s="1">
        <v>0</v>
      </c>
    </row>
    <row r="239" spans="31:32" x14ac:dyDescent="0.25">
      <c r="AE239" s="107" t="s">
        <v>4542</v>
      </c>
      <c r="AF239" s="1">
        <v>0</v>
      </c>
    </row>
    <row r="240" spans="31:32" x14ac:dyDescent="0.25">
      <c r="AE240" s="107" t="s">
        <v>3278</v>
      </c>
      <c r="AF240" s="1">
        <v>0</v>
      </c>
    </row>
    <row r="241" spans="31:32" x14ac:dyDescent="0.25">
      <c r="AE241" s="107" t="s">
        <v>4618</v>
      </c>
      <c r="AF241" s="1">
        <v>0</v>
      </c>
    </row>
    <row r="242" spans="31:32" x14ac:dyDescent="0.25">
      <c r="AE242" s="107" t="s">
        <v>5242</v>
      </c>
      <c r="AF242" s="1">
        <v>0</v>
      </c>
    </row>
    <row r="243" spans="31:32" x14ac:dyDescent="0.25">
      <c r="AE243" s="107" t="s">
        <v>4630</v>
      </c>
      <c r="AF243" s="1">
        <v>0</v>
      </c>
    </row>
    <row r="244" spans="31:32" x14ac:dyDescent="0.25">
      <c r="AE244" s="107" t="s">
        <v>5212</v>
      </c>
      <c r="AF244" s="1">
        <v>0</v>
      </c>
    </row>
    <row r="245" spans="31:32" x14ac:dyDescent="0.25">
      <c r="AE245" s="107" t="s">
        <v>4476</v>
      </c>
      <c r="AF245" s="1">
        <v>0</v>
      </c>
    </row>
    <row r="246" spans="31:32" x14ac:dyDescent="0.25">
      <c r="AE246" s="107" t="s">
        <v>5260</v>
      </c>
      <c r="AF246" s="1">
        <v>0</v>
      </c>
    </row>
    <row r="247" spans="31:32" x14ac:dyDescent="0.25">
      <c r="AE247" s="107" t="s">
        <v>4466</v>
      </c>
      <c r="AF247" s="1">
        <v>0</v>
      </c>
    </row>
    <row r="248" spans="31:32" x14ac:dyDescent="0.25">
      <c r="AE248" s="107" t="s">
        <v>5278</v>
      </c>
      <c r="AF248" s="1">
        <v>0</v>
      </c>
    </row>
    <row r="249" spans="31:32" x14ac:dyDescent="0.25">
      <c r="AE249" s="107" t="s">
        <v>4332</v>
      </c>
      <c r="AF249" s="1">
        <v>0</v>
      </c>
    </row>
    <row r="250" spans="31:32" x14ac:dyDescent="0.25">
      <c r="AE250" s="107" t="s">
        <v>5230</v>
      </c>
      <c r="AF250" s="1">
        <v>0</v>
      </c>
    </row>
    <row r="251" spans="31:32" x14ac:dyDescent="0.25">
      <c r="AE251" s="107" t="s">
        <v>4474</v>
      </c>
      <c r="AF251" s="1">
        <v>0</v>
      </c>
    </row>
    <row r="252" spans="31:32" x14ac:dyDescent="0.25">
      <c r="AE252" s="107" t="s">
        <v>5284</v>
      </c>
      <c r="AF252" s="1">
        <v>0</v>
      </c>
    </row>
    <row r="253" spans="31:32" x14ac:dyDescent="0.25">
      <c r="AE253" s="107" t="s">
        <v>4669</v>
      </c>
      <c r="AF253" s="1">
        <v>0</v>
      </c>
    </row>
    <row r="254" spans="31:32" x14ac:dyDescent="0.25">
      <c r="AE254" s="107" t="s">
        <v>4254</v>
      </c>
      <c r="AF254" s="1">
        <v>0</v>
      </c>
    </row>
    <row r="255" spans="31:32" x14ac:dyDescent="0.25">
      <c r="AE255" s="107" t="s">
        <v>4486</v>
      </c>
      <c r="AF255" s="1">
        <v>0</v>
      </c>
    </row>
    <row r="256" spans="31:32" x14ac:dyDescent="0.25">
      <c r="AE256" s="107" t="s">
        <v>4248</v>
      </c>
      <c r="AF256" s="1">
        <v>0</v>
      </c>
    </row>
    <row r="257" spans="31:32" x14ac:dyDescent="0.25">
      <c r="AE257" s="107" t="s">
        <v>4139</v>
      </c>
      <c r="AF257" s="1">
        <v>0</v>
      </c>
    </row>
    <row r="258" spans="31:32" x14ac:dyDescent="0.25">
      <c r="AE258" s="107" t="s">
        <v>1661</v>
      </c>
      <c r="AF258" s="1">
        <v>0</v>
      </c>
    </row>
    <row r="259" spans="31:32" x14ac:dyDescent="0.25">
      <c r="AE259" s="107" t="s">
        <v>3940</v>
      </c>
      <c r="AF259" s="1">
        <v>0</v>
      </c>
    </row>
    <row r="260" spans="31:32" x14ac:dyDescent="0.25">
      <c r="AE260" s="107" t="s">
        <v>4021</v>
      </c>
      <c r="AF260" s="1">
        <v>0</v>
      </c>
    </row>
    <row r="261" spans="31:32" x14ac:dyDescent="0.25">
      <c r="AE261" s="107" t="s">
        <v>657</v>
      </c>
      <c r="AF261" s="1">
        <v>0</v>
      </c>
    </row>
    <row r="262" spans="31:32" x14ac:dyDescent="0.25">
      <c r="AE262" s="107" t="s">
        <v>4063</v>
      </c>
      <c r="AF262" s="1">
        <v>0</v>
      </c>
    </row>
    <row r="263" spans="31:32" x14ac:dyDescent="0.25">
      <c r="AE263" s="107" t="s">
        <v>3813</v>
      </c>
      <c r="AF263" s="1">
        <v>0</v>
      </c>
    </row>
    <row r="264" spans="31:32" x14ac:dyDescent="0.25">
      <c r="AE264" s="107" t="s">
        <v>4091</v>
      </c>
      <c r="AF264" s="1">
        <v>0</v>
      </c>
    </row>
    <row r="265" spans="31:32" x14ac:dyDescent="0.25">
      <c r="AE265" s="107" t="s">
        <v>5111</v>
      </c>
      <c r="AF265" s="1">
        <v>0</v>
      </c>
    </row>
    <row r="266" spans="31:32" x14ac:dyDescent="0.25">
      <c r="AE266" s="107" t="s">
        <v>4169</v>
      </c>
      <c r="AF266" s="1">
        <v>0</v>
      </c>
    </row>
    <row r="267" spans="31:32" x14ac:dyDescent="0.25">
      <c r="AE267" s="107" t="s">
        <v>3815</v>
      </c>
      <c r="AF267" s="1">
        <v>0</v>
      </c>
    </row>
    <row r="268" spans="31:32" x14ac:dyDescent="0.25">
      <c r="AE268" s="107" t="s">
        <v>4334</v>
      </c>
      <c r="AF268" s="1">
        <v>0</v>
      </c>
    </row>
    <row r="269" spans="31:32" x14ac:dyDescent="0.25">
      <c r="AE269" s="107" t="s">
        <v>3799</v>
      </c>
      <c r="AF269" s="1">
        <v>0</v>
      </c>
    </row>
    <row r="270" spans="31:32" x14ac:dyDescent="0.25">
      <c r="AE270" s="107" t="s">
        <v>4031</v>
      </c>
      <c r="AF270" s="1">
        <v>0</v>
      </c>
    </row>
    <row r="271" spans="31:32" x14ac:dyDescent="0.25">
      <c r="AE271" s="107" t="s">
        <v>5127</v>
      </c>
      <c r="AF271" s="1">
        <v>0</v>
      </c>
    </row>
    <row r="272" spans="31:32" x14ac:dyDescent="0.25">
      <c r="AE272" s="107" t="s">
        <v>4071</v>
      </c>
      <c r="AF272" s="1">
        <v>0</v>
      </c>
    </row>
    <row r="273" spans="31:32" x14ac:dyDescent="0.25">
      <c r="AE273" s="107" t="s">
        <v>3886</v>
      </c>
      <c r="AF273" s="1">
        <v>0</v>
      </c>
    </row>
    <row r="274" spans="31:32" x14ac:dyDescent="0.25">
      <c r="AE274" s="107" t="s">
        <v>4105</v>
      </c>
      <c r="AF274" s="1">
        <v>0</v>
      </c>
    </row>
    <row r="275" spans="31:32" x14ac:dyDescent="0.25">
      <c r="AE275" s="107" t="s">
        <v>4000</v>
      </c>
      <c r="AF275" s="1">
        <v>0</v>
      </c>
    </row>
    <row r="276" spans="31:32" x14ac:dyDescent="0.25">
      <c r="AE276" s="107" t="s">
        <v>4089</v>
      </c>
      <c r="AF276" s="1">
        <v>0</v>
      </c>
    </row>
    <row r="277" spans="31:32" x14ac:dyDescent="0.25">
      <c r="AE277" s="107" t="s">
        <v>3797</v>
      </c>
      <c r="AF277" s="1">
        <v>0</v>
      </c>
    </row>
    <row r="278" spans="31:32" x14ac:dyDescent="0.25">
      <c r="AE278" s="107" t="s">
        <v>2109</v>
      </c>
      <c r="AF278" s="1">
        <v>0</v>
      </c>
    </row>
    <row r="279" spans="31:32" x14ac:dyDescent="0.25">
      <c r="AE279" s="107" t="s">
        <v>3823</v>
      </c>
      <c r="AF279" s="1">
        <v>0</v>
      </c>
    </row>
    <row r="280" spans="31:32" x14ac:dyDescent="0.25">
      <c r="AE280" s="107" t="s">
        <v>4191</v>
      </c>
      <c r="AF280" s="1">
        <v>0</v>
      </c>
    </row>
    <row r="281" spans="31:32" x14ac:dyDescent="0.25">
      <c r="AE281" s="107" t="s">
        <v>3829</v>
      </c>
      <c r="AF281" s="1">
        <v>0</v>
      </c>
    </row>
    <row r="282" spans="31:32" x14ac:dyDescent="0.25">
      <c r="AE282" s="107" t="s">
        <v>4117</v>
      </c>
      <c r="AF282" s="1">
        <v>0</v>
      </c>
    </row>
    <row r="283" spans="31:32" x14ac:dyDescent="0.25">
      <c r="AE283" s="107" t="s">
        <v>3850</v>
      </c>
      <c r="AF283" s="1">
        <v>0</v>
      </c>
    </row>
    <row r="284" spans="31:32" x14ac:dyDescent="0.25">
      <c r="AE284" s="107" t="s">
        <v>4157</v>
      </c>
      <c r="AF284" s="1">
        <v>0</v>
      </c>
    </row>
    <row r="285" spans="31:32" x14ac:dyDescent="0.25">
      <c r="AE285" s="107" t="s">
        <v>3858</v>
      </c>
      <c r="AF285" s="1">
        <v>0</v>
      </c>
    </row>
    <row r="286" spans="31:32" x14ac:dyDescent="0.25">
      <c r="AE286" s="107" t="s">
        <v>5147</v>
      </c>
      <c r="AF286" s="1">
        <v>0</v>
      </c>
    </row>
    <row r="287" spans="31:32" x14ac:dyDescent="0.25">
      <c r="AE287" s="107" t="s">
        <v>3854</v>
      </c>
      <c r="AF287" s="1">
        <v>0</v>
      </c>
    </row>
    <row r="288" spans="31:32" x14ac:dyDescent="0.25">
      <c r="AE288" s="107" t="s">
        <v>4025</v>
      </c>
      <c r="AF288" s="1">
        <v>0</v>
      </c>
    </row>
    <row r="289" spans="31:32" x14ac:dyDescent="0.25">
      <c r="AE289" s="107" t="s">
        <v>3852</v>
      </c>
      <c r="AF289" s="1">
        <v>0</v>
      </c>
    </row>
    <row r="290" spans="31:32" x14ac:dyDescent="0.25">
      <c r="AE290" s="107" t="s">
        <v>4075</v>
      </c>
      <c r="AF290" s="1">
        <v>0</v>
      </c>
    </row>
    <row r="291" spans="31:32" x14ac:dyDescent="0.25">
      <c r="AE291" s="107" t="s">
        <v>3856</v>
      </c>
      <c r="AF291" s="1">
        <v>0</v>
      </c>
    </row>
    <row r="292" spans="31:32" x14ac:dyDescent="0.25">
      <c r="AE292" s="107" t="s">
        <v>1332</v>
      </c>
      <c r="AF292" s="1">
        <v>0</v>
      </c>
    </row>
    <row r="293" spans="31:32" x14ac:dyDescent="0.25">
      <c r="AE293" s="107" t="s">
        <v>5119</v>
      </c>
      <c r="AF293" s="1">
        <v>0</v>
      </c>
    </row>
    <row r="294" spans="31:32" x14ac:dyDescent="0.25">
      <c r="AE294" s="107" t="s">
        <v>2944</v>
      </c>
      <c r="AF294" s="1">
        <v>0</v>
      </c>
    </row>
    <row r="295" spans="31:32" x14ac:dyDescent="0.25">
      <c r="AE295" s="107" t="s">
        <v>3864</v>
      </c>
      <c r="AF295" s="1">
        <v>0</v>
      </c>
    </row>
    <row r="296" spans="31:32" x14ac:dyDescent="0.25">
      <c r="AE296" s="107" t="s">
        <v>4057</v>
      </c>
      <c r="AF296" s="1">
        <v>0</v>
      </c>
    </row>
    <row r="297" spans="31:32" x14ac:dyDescent="0.25">
      <c r="AE297" s="107" t="s">
        <v>3948</v>
      </c>
      <c r="AF297" s="1">
        <v>0</v>
      </c>
    </row>
    <row r="298" spans="31:32" x14ac:dyDescent="0.25">
      <c r="AE298" s="107" t="s">
        <v>4103</v>
      </c>
      <c r="AF298" s="1">
        <v>0</v>
      </c>
    </row>
    <row r="299" spans="31:32" x14ac:dyDescent="0.25">
      <c r="AE299" s="107" t="s">
        <v>3870</v>
      </c>
      <c r="AF299" s="1">
        <v>0</v>
      </c>
    </row>
    <row r="300" spans="31:32" x14ac:dyDescent="0.25">
      <c r="AE300" s="107" t="s">
        <v>4043</v>
      </c>
      <c r="AF300" s="1">
        <v>0</v>
      </c>
    </row>
    <row r="301" spans="31:32" x14ac:dyDescent="0.25">
      <c r="AE301" s="107" t="s">
        <v>5115</v>
      </c>
      <c r="AF301" s="1">
        <v>0</v>
      </c>
    </row>
    <row r="302" spans="31:32" x14ac:dyDescent="0.25">
      <c r="AE302" s="107" t="s">
        <v>3541</v>
      </c>
      <c r="AF302" s="1">
        <v>0</v>
      </c>
    </row>
    <row r="303" spans="31:32" x14ac:dyDescent="0.25">
      <c r="AE303" s="107" t="s">
        <v>5027</v>
      </c>
      <c r="AF303" s="1">
        <v>0</v>
      </c>
    </row>
    <row r="304" spans="31:32" x14ac:dyDescent="0.25">
      <c r="AE304" s="107" t="s">
        <v>4053</v>
      </c>
      <c r="AF304" s="1">
        <v>0</v>
      </c>
    </row>
    <row r="305" spans="31:32" x14ac:dyDescent="0.25">
      <c r="AE305" s="107" t="s">
        <v>3860</v>
      </c>
      <c r="AF305" s="1">
        <v>0</v>
      </c>
    </row>
    <row r="306" spans="31:32" x14ac:dyDescent="0.25">
      <c r="AE306" s="107" t="s">
        <v>4055</v>
      </c>
      <c r="AF306" s="1">
        <v>0</v>
      </c>
    </row>
    <row r="307" spans="31:32" x14ac:dyDescent="0.25">
      <c r="AE307" s="107" t="s">
        <v>3868</v>
      </c>
      <c r="AF307" s="1">
        <v>0</v>
      </c>
    </row>
    <row r="308" spans="31:32" x14ac:dyDescent="0.25">
      <c r="AE308" s="107" t="s">
        <v>5145</v>
      </c>
      <c r="AF308" s="1">
        <v>0</v>
      </c>
    </row>
    <row r="309" spans="31:32" x14ac:dyDescent="0.25">
      <c r="AE309" s="107" t="s">
        <v>3884</v>
      </c>
      <c r="AF309" s="1">
        <v>0</v>
      </c>
    </row>
    <row r="310" spans="31:32" x14ac:dyDescent="0.25">
      <c r="AE310" s="107" t="s">
        <v>4244</v>
      </c>
      <c r="AF310" s="1">
        <v>0</v>
      </c>
    </row>
    <row r="311" spans="31:32" x14ac:dyDescent="0.25">
      <c r="AE311" s="107" t="s">
        <v>3992</v>
      </c>
      <c r="AF311" s="1">
        <v>0</v>
      </c>
    </row>
    <row r="312" spans="31:32" x14ac:dyDescent="0.25">
      <c r="AE312" s="107" t="s">
        <v>4228</v>
      </c>
      <c r="AF312" s="1">
        <v>0</v>
      </c>
    </row>
    <row r="313" spans="31:32" x14ac:dyDescent="0.25">
      <c r="AE313" s="107" t="s">
        <v>3996</v>
      </c>
      <c r="AF313" s="1">
        <v>0</v>
      </c>
    </row>
    <row r="314" spans="31:32" x14ac:dyDescent="0.25">
      <c r="AE314" s="107" t="s">
        <v>5152</v>
      </c>
      <c r="AF314" s="1">
        <v>0</v>
      </c>
    </row>
    <row r="315" spans="31:32" x14ac:dyDescent="0.25">
      <c r="AE315" s="107" t="s">
        <v>3910</v>
      </c>
      <c r="AF315" s="1">
        <v>0</v>
      </c>
    </row>
    <row r="316" spans="31:32" x14ac:dyDescent="0.25">
      <c r="AE316" s="107" t="s">
        <v>4205</v>
      </c>
      <c r="AF316" s="1">
        <v>0</v>
      </c>
    </row>
    <row r="317" spans="31:32" x14ac:dyDescent="0.25">
      <c r="AE317" s="107" t="s">
        <v>3846</v>
      </c>
      <c r="AF317" s="1">
        <v>0</v>
      </c>
    </row>
    <row r="318" spans="31:32" x14ac:dyDescent="0.25">
      <c r="AE318" s="107" t="s">
        <v>5135</v>
      </c>
      <c r="AF318" s="1">
        <v>0</v>
      </c>
    </row>
    <row r="319" spans="31:32" x14ac:dyDescent="0.25">
      <c r="AE319" s="107" t="s">
        <v>5121</v>
      </c>
      <c r="AF319" s="1">
        <v>0</v>
      </c>
    </row>
    <row r="320" spans="31:32" x14ac:dyDescent="0.25">
      <c r="AE320" s="107" t="s">
        <v>5093</v>
      </c>
      <c r="AF320" s="1">
        <v>0</v>
      </c>
    </row>
    <row r="321" spans="31:32" x14ac:dyDescent="0.25">
      <c r="AE321" s="107" t="s">
        <v>3878</v>
      </c>
      <c r="AF321" s="1">
        <v>0</v>
      </c>
    </row>
    <row r="322" spans="31:32" x14ac:dyDescent="0.25">
      <c r="AE322" s="107" t="s">
        <v>4197</v>
      </c>
      <c r="AF322" s="1">
        <v>0</v>
      </c>
    </row>
    <row r="323" spans="31:32" x14ac:dyDescent="0.25">
      <c r="AE323" s="107" t="s">
        <v>3876</v>
      </c>
      <c r="AF323" s="1">
        <v>0</v>
      </c>
    </row>
    <row r="324" spans="31:32" x14ac:dyDescent="0.25">
      <c r="AE324" s="107" t="s">
        <v>4220</v>
      </c>
      <c r="AF324" s="1">
        <v>0</v>
      </c>
    </row>
    <row r="325" spans="31:32" x14ac:dyDescent="0.25">
      <c r="AE325" s="107" t="s">
        <v>3954</v>
      </c>
      <c r="AF325" s="1">
        <v>0</v>
      </c>
    </row>
    <row r="326" spans="31:32" x14ac:dyDescent="0.25">
      <c r="AE326" s="107" t="s">
        <v>4067</v>
      </c>
      <c r="AF326" s="1">
        <v>0</v>
      </c>
    </row>
    <row r="327" spans="31:32" x14ac:dyDescent="0.25">
      <c r="AE327" s="107" t="s">
        <v>3904</v>
      </c>
      <c r="AF327" s="1">
        <v>0</v>
      </c>
    </row>
    <row r="328" spans="31:32" x14ac:dyDescent="0.25">
      <c r="AE328" s="107" t="s">
        <v>4059</v>
      </c>
      <c r="AF328" s="1">
        <v>0</v>
      </c>
    </row>
    <row r="329" spans="31:32" x14ac:dyDescent="0.25">
      <c r="AE329" s="107" t="s">
        <v>3900</v>
      </c>
      <c r="AF329" s="1">
        <v>0</v>
      </c>
    </row>
    <row r="330" spans="31:32" x14ac:dyDescent="0.25">
      <c r="AE330" s="107" t="s">
        <v>4145</v>
      </c>
      <c r="AF330" s="1">
        <v>0</v>
      </c>
    </row>
    <row r="331" spans="31:32" x14ac:dyDescent="0.25">
      <c r="AE331" s="107" t="s">
        <v>3902</v>
      </c>
      <c r="AF331" s="1">
        <v>0</v>
      </c>
    </row>
    <row r="332" spans="31:32" x14ac:dyDescent="0.25">
      <c r="AE332" s="107" t="s">
        <v>1649</v>
      </c>
      <c r="AF332" s="1">
        <v>0</v>
      </c>
    </row>
    <row r="333" spans="31:32" x14ac:dyDescent="0.25">
      <c r="AE333" s="107" t="s">
        <v>3914</v>
      </c>
      <c r="AF333" s="1">
        <v>0</v>
      </c>
    </row>
    <row r="334" spans="31:32" x14ac:dyDescent="0.25">
      <c r="AE334" s="107" t="s">
        <v>2434</v>
      </c>
      <c r="AF334" s="1">
        <v>0</v>
      </c>
    </row>
    <row r="335" spans="31:32" x14ac:dyDescent="0.25">
      <c r="AE335" s="107" t="s">
        <v>4322</v>
      </c>
      <c r="AF335" s="1">
        <v>0</v>
      </c>
    </row>
    <row r="336" spans="31:32" x14ac:dyDescent="0.25">
      <c r="AE336" s="107" t="s">
        <v>3238</v>
      </c>
      <c r="AF336" s="1">
        <v>0</v>
      </c>
    </row>
    <row r="337" spans="31:32" x14ac:dyDescent="0.25">
      <c r="AE337" s="107" t="s">
        <v>3922</v>
      </c>
      <c r="AF337" s="1">
        <v>0</v>
      </c>
    </row>
    <row r="338" spans="31:32" x14ac:dyDescent="0.25">
      <c r="AE338" s="107" t="s">
        <v>4344</v>
      </c>
      <c r="AF338" s="1">
        <v>0</v>
      </c>
    </row>
    <row r="339" spans="31:32" x14ac:dyDescent="0.25">
      <c r="AE339" s="107" t="s">
        <v>3896</v>
      </c>
      <c r="AF339" s="1">
        <v>0</v>
      </c>
    </row>
    <row r="340" spans="31:32" x14ac:dyDescent="0.25">
      <c r="AE340" s="107" t="s">
        <v>4095</v>
      </c>
      <c r="AF340" s="1">
        <v>0</v>
      </c>
    </row>
    <row r="341" spans="31:32" x14ac:dyDescent="0.25">
      <c r="AE341" s="107" t="s">
        <v>4749</v>
      </c>
      <c r="AF341" s="1">
        <v>0</v>
      </c>
    </row>
    <row r="342" spans="31:32" x14ac:dyDescent="0.25">
      <c r="AE342" s="107" t="s">
        <v>4101</v>
      </c>
      <c r="AF342" s="1">
        <v>0</v>
      </c>
    </row>
    <row r="343" spans="31:32" x14ac:dyDescent="0.25">
      <c r="AE343" s="107" t="s">
        <v>3848</v>
      </c>
      <c r="AF343" s="1">
        <v>0</v>
      </c>
    </row>
    <row r="344" spans="31:32" x14ac:dyDescent="0.25">
      <c r="AE344" s="107" t="s">
        <v>4224</v>
      </c>
      <c r="AF344" s="1">
        <v>0</v>
      </c>
    </row>
    <row r="345" spans="31:32" x14ac:dyDescent="0.25">
      <c r="AE345" s="107" t="s">
        <v>1625</v>
      </c>
      <c r="AF345" s="1">
        <v>0</v>
      </c>
    </row>
    <row r="346" spans="31:32" x14ac:dyDescent="0.25">
      <c r="AE346" s="107" t="s">
        <v>4119</v>
      </c>
      <c r="AF346" s="1">
        <v>0</v>
      </c>
    </row>
    <row r="347" spans="31:32" x14ac:dyDescent="0.25">
      <c r="AE347" s="107" t="s">
        <v>3844</v>
      </c>
      <c r="AF347" s="1">
        <v>0</v>
      </c>
    </row>
    <row r="348" spans="31:32" x14ac:dyDescent="0.25">
      <c r="AE348" s="107" t="s">
        <v>4238</v>
      </c>
      <c r="AF348" s="1">
        <v>0</v>
      </c>
    </row>
    <row r="349" spans="31:32" x14ac:dyDescent="0.25">
      <c r="AE349" s="107" t="s">
        <v>4008</v>
      </c>
      <c r="AF349" s="1">
        <v>0</v>
      </c>
    </row>
    <row r="350" spans="31:32" x14ac:dyDescent="0.25">
      <c r="AE350" s="107" t="s">
        <v>4041</v>
      </c>
      <c r="AF350" s="1">
        <v>0</v>
      </c>
    </row>
    <row r="351" spans="31:32" x14ac:dyDescent="0.25">
      <c r="AE351" s="107" t="s">
        <v>5109</v>
      </c>
      <c r="AF351" s="1">
        <v>0</v>
      </c>
    </row>
    <row r="352" spans="31:32" x14ac:dyDescent="0.25">
      <c r="AE352" s="107" t="s">
        <v>4121</v>
      </c>
      <c r="AF352" s="1">
        <v>0</v>
      </c>
    </row>
    <row r="353" spans="31:32" x14ac:dyDescent="0.25">
      <c r="AE353" s="107" t="s">
        <v>3817</v>
      </c>
      <c r="AF353" s="1">
        <v>0</v>
      </c>
    </row>
    <row r="354" spans="31:32" x14ac:dyDescent="0.25">
      <c r="AE354" s="107" t="s">
        <v>4159</v>
      </c>
      <c r="AF354" s="1">
        <v>0</v>
      </c>
    </row>
    <row r="355" spans="31:32" x14ac:dyDescent="0.25">
      <c r="AE355" s="107" t="s">
        <v>3920</v>
      </c>
      <c r="AF355" s="1">
        <v>0</v>
      </c>
    </row>
    <row r="356" spans="31:32" x14ac:dyDescent="0.25">
      <c r="AE356" s="107" t="s">
        <v>4167</v>
      </c>
      <c r="AF356" s="1">
        <v>0</v>
      </c>
    </row>
    <row r="357" spans="31:32" x14ac:dyDescent="0.25">
      <c r="AE357" s="107" t="s">
        <v>3934</v>
      </c>
      <c r="AF357" s="1">
        <v>0</v>
      </c>
    </row>
    <row r="358" spans="31:32" x14ac:dyDescent="0.25">
      <c r="AE358" s="107" t="s">
        <v>4171</v>
      </c>
      <c r="AF358" s="1">
        <v>0</v>
      </c>
    </row>
    <row r="359" spans="31:32" x14ac:dyDescent="0.25">
      <c r="AE359" s="107" t="s">
        <v>3924</v>
      </c>
      <c r="AF359" s="1">
        <v>0</v>
      </c>
    </row>
    <row r="360" spans="31:32" x14ac:dyDescent="0.25">
      <c r="AE360" s="107" t="s">
        <v>4240</v>
      </c>
      <c r="AF360" s="1">
        <v>0</v>
      </c>
    </row>
    <row r="361" spans="31:32" x14ac:dyDescent="0.25">
      <c r="AE361" s="107" t="s">
        <v>3938</v>
      </c>
      <c r="AF361" s="1">
        <v>0</v>
      </c>
    </row>
    <row r="362" spans="31:32" x14ac:dyDescent="0.25">
      <c r="AE362" s="107" t="s">
        <v>4213</v>
      </c>
      <c r="AF362" s="1">
        <v>0</v>
      </c>
    </row>
    <row r="363" spans="31:32" x14ac:dyDescent="0.25">
      <c r="AE363" s="107" t="s">
        <v>3932</v>
      </c>
      <c r="AF363" s="1">
        <v>0</v>
      </c>
    </row>
    <row r="364" spans="31:32" x14ac:dyDescent="0.25">
      <c r="AE364" s="107" t="s">
        <v>4246</v>
      </c>
      <c r="AF364" s="1">
        <v>0</v>
      </c>
    </row>
    <row r="365" spans="31:32" x14ac:dyDescent="0.25">
      <c r="AE365" s="107" t="s">
        <v>3928</v>
      </c>
      <c r="AF365" s="1">
        <v>0</v>
      </c>
    </row>
    <row r="366" spans="31:32" x14ac:dyDescent="0.25">
      <c r="AE366" s="107" t="s">
        <v>4081</v>
      </c>
      <c r="AF366" s="1">
        <v>0</v>
      </c>
    </row>
    <row r="367" spans="31:32" x14ac:dyDescent="0.25">
      <c r="AE367" s="107" t="s">
        <v>3930</v>
      </c>
      <c r="AF367" s="1">
        <v>0</v>
      </c>
    </row>
    <row r="368" spans="31:32" x14ac:dyDescent="0.25">
      <c r="AE368" s="107" t="s">
        <v>5137</v>
      </c>
      <c r="AF368" s="1">
        <v>0</v>
      </c>
    </row>
    <row r="369" spans="31:32" x14ac:dyDescent="0.25">
      <c r="AE369" s="107" t="s">
        <v>3936</v>
      </c>
      <c r="AF369" s="1">
        <v>0</v>
      </c>
    </row>
    <row r="370" spans="31:32" x14ac:dyDescent="0.25">
      <c r="AE370" s="107" t="s">
        <v>4193</v>
      </c>
      <c r="AF370" s="1">
        <v>0</v>
      </c>
    </row>
    <row r="371" spans="31:32" x14ac:dyDescent="0.25">
      <c r="AE371" s="107" t="s">
        <v>3958</v>
      </c>
      <c r="AF371" s="1">
        <v>0</v>
      </c>
    </row>
    <row r="372" spans="31:32" x14ac:dyDescent="0.25">
      <c r="AE372" s="107" t="s">
        <v>5139</v>
      </c>
      <c r="AF372" s="1">
        <v>0</v>
      </c>
    </row>
    <row r="373" spans="31:32" x14ac:dyDescent="0.25">
      <c r="AE373" s="107" t="s">
        <v>5117</v>
      </c>
      <c r="AF373" s="1">
        <v>0</v>
      </c>
    </row>
    <row r="374" spans="31:32" x14ac:dyDescent="0.25">
      <c r="AE374" s="107" t="s">
        <v>4137</v>
      </c>
      <c r="AF374" s="1">
        <v>0</v>
      </c>
    </row>
    <row r="375" spans="31:32" x14ac:dyDescent="0.25">
      <c r="AE375" s="107" t="s">
        <v>5113</v>
      </c>
      <c r="AF375" s="1">
        <v>0</v>
      </c>
    </row>
    <row r="376" spans="31:32" x14ac:dyDescent="0.25">
      <c r="AE376" s="107" t="s">
        <v>4039</v>
      </c>
      <c r="AF376" s="1">
        <v>0</v>
      </c>
    </row>
    <row r="377" spans="31:32" x14ac:dyDescent="0.25">
      <c r="AE377" s="107" t="s">
        <v>3894</v>
      </c>
      <c r="AF377" s="1">
        <v>0</v>
      </c>
    </row>
    <row r="378" spans="31:32" x14ac:dyDescent="0.25">
      <c r="AE378" s="107" t="s">
        <v>4232</v>
      </c>
      <c r="AF378" s="1">
        <v>0</v>
      </c>
    </row>
    <row r="379" spans="31:32" x14ac:dyDescent="0.25">
      <c r="AE379" s="107" t="s">
        <v>3882</v>
      </c>
      <c r="AF379" s="1">
        <v>0</v>
      </c>
    </row>
    <row r="380" spans="31:32" x14ac:dyDescent="0.25">
      <c r="AE380" s="107" t="s">
        <v>4129</v>
      </c>
      <c r="AF380" s="1">
        <v>0</v>
      </c>
    </row>
    <row r="381" spans="31:32" x14ac:dyDescent="0.25">
      <c r="AE381" s="107" t="s">
        <v>5123</v>
      </c>
      <c r="AF381" s="1">
        <v>0</v>
      </c>
    </row>
    <row r="382" spans="31:32" x14ac:dyDescent="0.25">
      <c r="AE382" s="107" t="s">
        <v>4250</v>
      </c>
      <c r="AF382" s="1">
        <v>0</v>
      </c>
    </row>
    <row r="383" spans="31:32" x14ac:dyDescent="0.25">
      <c r="AE383" s="107" t="s">
        <v>3357</v>
      </c>
      <c r="AF383" s="1">
        <v>0</v>
      </c>
    </row>
    <row r="384" spans="31:32" x14ac:dyDescent="0.25">
      <c r="AE384" s="107" t="s">
        <v>4165</v>
      </c>
      <c r="AF384" s="1">
        <v>0</v>
      </c>
    </row>
    <row r="385" spans="31:32" x14ac:dyDescent="0.25">
      <c r="AE385" s="107" t="s">
        <v>3968</v>
      </c>
      <c r="AF385" s="1">
        <v>0</v>
      </c>
    </row>
    <row r="386" spans="31:32" x14ac:dyDescent="0.25">
      <c r="AE386" s="107" t="s">
        <v>4017</v>
      </c>
      <c r="AF386" s="1">
        <v>0</v>
      </c>
    </row>
    <row r="387" spans="31:32" x14ac:dyDescent="0.25">
      <c r="AE387" s="107" t="s">
        <v>3976</v>
      </c>
      <c r="AF387" s="1">
        <v>0</v>
      </c>
    </row>
    <row r="388" spans="31:32" x14ac:dyDescent="0.25">
      <c r="AE388" s="107" t="s">
        <v>4195</v>
      </c>
      <c r="AF388" s="1">
        <v>0</v>
      </c>
    </row>
    <row r="389" spans="31:32" x14ac:dyDescent="0.25">
      <c r="AE389" s="107" t="s">
        <v>3926</v>
      </c>
      <c r="AF389" s="1">
        <v>0</v>
      </c>
    </row>
    <row r="390" spans="31:32" x14ac:dyDescent="0.25">
      <c r="AE390" s="107" t="s">
        <v>4051</v>
      </c>
      <c r="AF390" s="1">
        <v>0</v>
      </c>
    </row>
    <row r="391" spans="31:32" x14ac:dyDescent="0.25">
      <c r="AE391" s="107" t="s">
        <v>5129</v>
      </c>
      <c r="AF391" s="1">
        <v>0</v>
      </c>
    </row>
    <row r="392" spans="31:32" x14ac:dyDescent="0.25">
      <c r="AE392" s="107" t="s">
        <v>4141</v>
      </c>
      <c r="AF392" s="1">
        <v>0</v>
      </c>
    </row>
    <row r="393" spans="31:32" x14ac:dyDescent="0.25">
      <c r="AE393" s="107" t="s">
        <v>3964</v>
      </c>
      <c r="AF393" s="1">
        <v>0</v>
      </c>
    </row>
    <row r="394" spans="31:32" x14ac:dyDescent="0.25">
      <c r="AE394" s="107" t="s">
        <v>4207</v>
      </c>
      <c r="AF394" s="1">
        <v>0</v>
      </c>
    </row>
    <row r="395" spans="31:32" x14ac:dyDescent="0.25">
      <c r="AE395" s="107" t="s">
        <v>3874</v>
      </c>
      <c r="AF395" s="1">
        <v>0</v>
      </c>
    </row>
    <row r="396" spans="31:32" x14ac:dyDescent="0.25">
      <c r="AE396" s="107" t="s">
        <v>4029</v>
      </c>
      <c r="AF396" s="1">
        <v>0</v>
      </c>
    </row>
    <row r="397" spans="31:32" x14ac:dyDescent="0.25">
      <c r="AE397" s="107" t="s">
        <v>4010</v>
      </c>
      <c r="AF397" s="1">
        <v>0</v>
      </c>
    </row>
    <row r="398" spans="31:32" x14ac:dyDescent="0.25">
      <c r="AE398" s="107" t="s">
        <v>4065</v>
      </c>
      <c r="AF398" s="1">
        <v>0</v>
      </c>
    </row>
    <row r="399" spans="31:32" x14ac:dyDescent="0.25">
      <c r="AE399" s="107" t="s">
        <v>3862</v>
      </c>
      <c r="AF399" s="1">
        <v>0</v>
      </c>
    </row>
    <row r="400" spans="31:32" x14ac:dyDescent="0.25">
      <c r="AE400" s="107" t="s">
        <v>4163</v>
      </c>
      <c r="AF400" s="1">
        <v>0</v>
      </c>
    </row>
    <row r="401" spans="31:32" x14ac:dyDescent="0.25">
      <c r="AE401" s="107" t="s">
        <v>3972</v>
      </c>
      <c r="AF401" s="1">
        <v>0</v>
      </c>
    </row>
    <row r="402" spans="31:32" x14ac:dyDescent="0.25">
      <c r="AE402" s="107" t="s">
        <v>5141</v>
      </c>
      <c r="AF402" s="1">
        <v>0</v>
      </c>
    </row>
    <row r="403" spans="31:32" x14ac:dyDescent="0.25">
      <c r="AE403" s="107" t="s">
        <v>1542</v>
      </c>
      <c r="AF403" s="1">
        <v>0</v>
      </c>
    </row>
    <row r="404" spans="31:32" x14ac:dyDescent="0.25">
      <c r="AE404" s="107" t="s">
        <v>4069</v>
      </c>
      <c r="AF404" s="1">
        <v>0</v>
      </c>
    </row>
    <row r="405" spans="31:32" x14ac:dyDescent="0.25">
      <c r="AE405" s="107" t="s">
        <v>3974</v>
      </c>
      <c r="AF405" s="1">
        <v>0</v>
      </c>
    </row>
    <row r="406" spans="31:32" x14ac:dyDescent="0.25">
      <c r="AE406" s="107" t="s">
        <v>5158</v>
      </c>
      <c r="AF406" s="1">
        <v>0</v>
      </c>
    </row>
    <row r="407" spans="31:32" x14ac:dyDescent="0.25">
      <c r="AE407" s="107" t="s">
        <v>4640</v>
      </c>
      <c r="AF407" s="1">
        <v>0</v>
      </c>
    </row>
    <row r="408" spans="31:32" x14ac:dyDescent="0.25">
      <c r="AE408" s="107" t="s">
        <v>4161</v>
      </c>
      <c r="AF408" s="1">
        <v>0</v>
      </c>
    </row>
    <row r="409" spans="31:32" x14ac:dyDescent="0.25">
      <c r="AE409" s="107" t="s">
        <v>3831</v>
      </c>
      <c r="AF409" s="1">
        <v>0</v>
      </c>
    </row>
    <row r="410" spans="31:32" x14ac:dyDescent="0.25">
      <c r="AE410" s="107" t="s">
        <v>4083</v>
      </c>
      <c r="AF410" s="1">
        <v>0</v>
      </c>
    </row>
    <row r="411" spans="31:32" x14ac:dyDescent="0.25">
      <c r="AE411" s="107" t="s">
        <v>3978</v>
      </c>
      <c r="AF411" s="1">
        <v>0</v>
      </c>
    </row>
    <row r="412" spans="31:32" x14ac:dyDescent="0.25">
      <c r="AE412" s="107" t="s">
        <v>1621</v>
      </c>
      <c r="AF412" s="1">
        <v>0</v>
      </c>
    </row>
    <row r="413" spans="31:32" x14ac:dyDescent="0.25">
      <c r="AE413" s="107" t="s">
        <v>3795</v>
      </c>
      <c r="AF413" s="1">
        <v>0</v>
      </c>
    </row>
    <row r="414" spans="31:32" x14ac:dyDescent="0.25">
      <c r="AE414" s="107" t="s">
        <v>4085</v>
      </c>
      <c r="AF414" s="1">
        <v>0</v>
      </c>
    </row>
    <row r="415" spans="31:32" x14ac:dyDescent="0.25">
      <c r="AE415" s="107" t="s">
        <v>3950</v>
      </c>
      <c r="AF415" s="1">
        <v>0</v>
      </c>
    </row>
    <row r="416" spans="31:32" x14ac:dyDescent="0.25">
      <c r="AE416" s="107" t="s">
        <v>4143</v>
      </c>
      <c r="AF416" s="1">
        <v>0</v>
      </c>
    </row>
    <row r="417" spans="31:32" x14ac:dyDescent="0.25">
      <c r="AE417" s="107" t="s">
        <v>3966</v>
      </c>
      <c r="AF417" s="1">
        <v>0</v>
      </c>
    </row>
    <row r="418" spans="31:32" x14ac:dyDescent="0.25">
      <c r="AE418" s="107" t="s">
        <v>4153</v>
      </c>
      <c r="AF418" s="1">
        <v>0</v>
      </c>
    </row>
    <row r="419" spans="31:32" x14ac:dyDescent="0.25">
      <c r="AE419" s="107" t="s">
        <v>4015</v>
      </c>
      <c r="AF419" s="1">
        <v>0</v>
      </c>
    </row>
    <row r="420" spans="31:32" x14ac:dyDescent="0.25">
      <c r="AE420" s="107" t="s">
        <v>3890</v>
      </c>
      <c r="AF420" s="1">
        <v>0</v>
      </c>
    </row>
    <row r="421" spans="31:32" x14ac:dyDescent="0.25">
      <c r="AE421" s="107" t="s">
        <v>5133</v>
      </c>
      <c r="AF421" s="1">
        <v>0</v>
      </c>
    </row>
    <row r="422" spans="31:32" x14ac:dyDescent="0.25">
      <c r="AE422" s="107" t="s">
        <v>4336</v>
      </c>
      <c r="AF422" s="1">
        <v>0</v>
      </c>
    </row>
    <row r="423" spans="31:32" x14ac:dyDescent="0.25">
      <c r="AE423" s="107" t="s">
        <v>3994</v>
      </c>
      <c r="AF423" s="1">
        <v>0</v>
      </c>
    </row>
    <row r="424" spans="31:32" x14ac:dyDescent="0.25">
      <c r="AE424" s="107" t="s">
        <v>4093</v>
      </c>
      <c r="AF424" s="1">
        <v>0</v>
      </c>
    </row>
    <row r="425" spans="31:32" x14ac:dyDescent="0.25">
      <c r="AE425" s="107" t="s">
        <v>3960</v>
      </c>
      <c r="AF425" s="1">
        <v>0</v>
      </c>
    </row>
    <row r="426" spans="31:32" x14ac:dyDescent="0.25">
      <c r="AE426" s="107" t="s">
        <v>4107</v>
      </c>
      <c r="AF426" s="1">
        <v>0</v>
      </c>
    </row>
    <row r="427" spans="31:32" x14ac:dyDescent="0.25">
      <c r="AE427" s="107" t="s">
        <v>3980</v>
      </c>
      <c r="AF427" s="1">
        <v>0</v>
      </c>
    </row>
    <row r="428" spans="31:32" x14ac:dyDescent="0.25">
      <c r="AE428" s="107" t="s">
        <v>4185</v>
      </c>
      <c r="AF428" s="1">
        <v>0</v>
      </c>
    </row>
    <row r="429" spans="31:32" x14ac:dyDescent="0.25">
      <c r="AE429" s="107" t="s">
        <v>3837</v>
      </c>
      <c r="AF429" s="1">
        <v>0</v>
      </c>
    </row>
    <row r="430" spans="31:32" x14ac:dyDescent="0.25">
      <c r="AE430" s="107" t="s">
        <v>4097</v>
      </c>
      <c r="AF430" s="1">
        <v>0</v>
      </c>
    </row>
    <row r="431" spans="31:32" x14ac:dyDescent="0.25">
      <c r="AE431" s="107" t="s">
        <v>3841</v>
      </c>
      <c r="AF431" s="1">
        <v>0</v>
      </c>
    </row>
    <row r="432" spans="31:32" x14ac:dyDescent="0.25">
      <c r="AE432" s="107" t="s">
        <v>4211</v>
      </c>
      <c r="AF432" s="1">
        <v>0</v>
      </c>
    </row>
    <row r="433" spans="31:32" x14ac:dyDescent="0.25">
      <c r="AE433" s="107" t="s">
        <v>3888</v>
      </c>
      <c r="AF433" s="1">
        <v>0</v>
      </c>
    </row>
    <row r="434" spans="31:32" x14ac:dyDescent="0.25">
      <c r="AE434" s="107" t="s">
        <v>4099</v>
      </c>
      <c r="AF434" s="1">
        <v>0</v>
      </c>
    </row>
    <row r="435" spans="31:32" x14ac:dyDescent="0.25">
      <c r="AE435" s="107" t="s">
        <v>3908</v>
      </c>
      <c r="AF435" s="1">
        <v>0</v>
      </c>
    </row>
    <row r="436" spans="31:32" x14ac:dyDescent="0.25">
      <c r="AE436" s="107" t="s">
        <v>5143</v>
      </c>
      <c r="AF436" s="1">
        <v>0</v>
      </c>
    </row>
    <row r="437" spans="31:32" x14ac:dyDescent="0.25">
      <c r="AE437" s="107" t="s">
        <v>3906</v>
      </c>
      <c r="AF437" s="1">
        <v>0</v>
      </c>
    </row>
    <row r="438" spans="31:32" x14ac:dyDescent="0.25">
      <c r="AE438" s="107" t="s">
        <v>4109</v>
      </c>
      <c r="AF438" s="1">
        <v>0</v>
      </c>
    </row>
    <row r="439" spans="31:32" x14ac:dyDescent="0.25">
      <c r="AE439" s="107" t="s">
        <v>2147</v>
      </c>
      <c r="AF439" s="1">
        <v>0</v>
      </c>
    </row>
    <row r="440" spans="31:32" x14ac:dyDescent="0.25">
      <c r="AE440" s="107" t="s">
        <v>4111</v>
      </c>
      <c r="AF440" s="1">
        <v>0</v>
      </c>
    </row>
    <row r="441" spans="31:32" x14ac:dyDescent="0.25">
      <c r="AE441" s="107" t="s">
        <v>3962</v>
      </c>
      <c r="AF441" s="1">
        <v>0</v>
      </c>
    </row>
    <row r="442" spans="31:32" x14ac:dyDescent="0.25">
      <c r="AE442" s="107" t="s">
        <v>4115</v>
      </c>
      <c r="AF442" s="1">
        <v>0</v>
      </c>
    </row>
    <row r="443" spans="31:32" x14ac:dyDescent="0.25">
      <c r="AE443" s="107" t="s">
        <v>3825</v>
      </c>
      <c r="AF443" s="1">
        <v>0</v>
      </c>
    </row>
    <row r="444" spans="31:32" x14ac:dyDescent="0.25">
      <c r="AE444" s="107" t="s">
        <v>4258</v>
      </c>
      <c r="AF444" s="1">
        <v>0</v>
      </c>
    </row>
    <row r="445" spans="31:32" x14ac:dyDescent="0.25">
      <c r="AE445" s="107" t="s">
        <v>3827</v>
      </c>
      <c r="AF445" s="1">
        <v>0</v>
      </c>
    </row>
    <row r="446" spans="31:32" x14ac:dyDescent="0.25">
      <c r="AE446" s="107" t="s">
        <v>4209</v>
      </c>
      <c r="AF446" s="1">
        <v>0</v>
      </c>
    </row>
    <row r="447" spans="31:32" x14ac:dyDescent="0.25">
      <c r="AE447" s="107" t="s">
        <v>3819</v>
      </c>
      <c r="AF447" s="1">
        <v>0</v>
      </c>
    </row>
    <row r="448" spans="31:32" x14ac:dyDescent="0.25">
      <c r="AE448" s="107" t="s">
        <v>4077</v>
      </c>
      <c r="AF448" s="1">
        <v>0</v>
      </c>
    </row>
    <row r="449" spans="31:32" x14ac:dyDescent="0.25">
      <c r="AE449" s="107" t="s">
        <v>3988</v>
      </c>
      <c r="AF449" s="1">
        <v>0</v>
      </c>
    </row>
    <row r="450" spans="31:32" x14ac:dyDescent="0.25">
      <c r="AE450" s="107" t="s">
        <v>4183</v>
      </c>
      <c r="AF450" s="1">
        <v>0</v>
      </c>
    </row>
    <row r="451" spans="31:32" x14ac:dyDescent="0.25">
      <c r="AE451" s="107" t="s">
        <v>3791</v>
      </c>
      <c r="AF451" s="1">
        <v>0</v>
      </c>
    </row>
    <row r="452" spans="31:32" x14ac:dyDescent="0.25">
      <c r="AE452" s="107" t="s">
        <v>4125</v>
      </c>
      <c r="AF452" s="1">
        <v>0</v>
      </c>
    </row>
    <row r="453" spans="31:32" x14ac:dyDescent="0.25">
      <c r="AE453" s="107" t="s">
        <v>3918</v>
      </c>
      <c r="AF453" s="1">
        <v>0</v>
      </c>
    </row>
    <row r="454" spans="31:32" x14ac:dyDescent="0.25">
      <c r="AE454" s="107" t="s">
        <v>4127</v>
      </c>
      <c r="AF454" s="1">
        <v>0</v>
      </c>
    </row>
    <row r="455" spans="31:32" x14ac:dyDescent="0.25">
      <c r="AE455" s="107" t="s">
        <v>3944</v>
      </c>
      <c r="AF455" s="1">
        <v>0</v>
      </c>
    </row>
    <row r="456" spans="31:32" x14ac:dyDescent="0.25">
      <c r="AE456" s="107" t="s">
        <v>4173</v>
      </c>
      <c r="AF456" s="1">
        <v>0</v>
      </c>
    </row>
    <row r="457" spans="31:32" x14ac:dyDescent="0.25">
      <c r="AE457" s="107" t="s">
        <v>3942</v>
      </c>
      <c r="AF457" s="1">
        <v>0</v>
      </c>
    </row>
    <row r="458" spans="31:32" x14ac:dyDescent="0.25">
      <c r="AE458" s="107" t="s">
        <v>4175</v>
      </c>
      <c r="AF458" s="1">
        <v>0</v>
      </c>
    </row>
    <row r="459" spans="31:32" x14ac:dyDescent="0.25">
      <c r="AE459" s="107" t="s">
        <v>673</v>
      </c>
      <c r="AF459" s="1">
        <v>0</v>
      </c>
    </row>
    <row r="460" spans="31:32" x14ac:dyDescent="0.25">
      <c r="AE460" s="107" t="s">
        <v>4133</v>
      </c>
      <c r="AF460" s="1">
        <v>0</v>
      </c>
    </row>
    <row r="461" spans="31:32" x14ac:dyDescent="0.25">
      <c r="AE461" s="107" t="s">
        <v>4881</v>
      </c>
      <c r="AF461" s="1">
        <v>0</v>
      </c>
    </row>
    <row r="462" spans="31:32" x14ac:dyDescent="0.25">
      <c r="AE462" s="107" t="s">
        <v>4177</v>
      </c>
      <c r="AF462" s="1">
        <v>0</v>
      </c>
    </row>
    <row r="463" spans="31:32" x14ac:dyDescent="0.25">
      <c r="AE463" s="107" t="s">
        <v>3986</v>
      </c>
      <c r="AF463" s="1">
        <v>0</v>
      </c>
    </row>
    <row r="464" spans="31:32" x14ac:dyDescent="0.25">
      <c r="AE464" s="107" t="s">
        <v>4189</v>
      </c>
      <c r="AF464" s="1">
        <v>0</v>
      </c>
    </row>
    <row r="465" spans="31:32" x14ac:dyDescent="0.25">
      <c r="AE465" s="107" t="s">
        <v>3952</v>
      </c>
      <c r="AF465" s="1">
        <v>0</v>
      </c>
    </row>
    <row r="466" spans="31:32" x14ac:dyDescent="0.25">
      <c r="AE466" s="107" t="s">
        <v>4252</v>
      </c>
      <c r="AF466" s="1">
        <v>0</v>
      </c>
    </row>
    <row r="467" spans="31:32" x14ac:dyDescent="0.25">
      <c r="AE467" s="107" t="s">
        <v>3880</v>
      </c>
      <c r="AF467" s="1">
        <v>0</v>
      </c>
    </row>
    <row r="468" spans="31:32" x14ac:dyDescent="0.25">
      <c r="AE468" s="107" t="s">
        <v>5149</v>
      </c>
      <c r="AF468" s="1">
        <v>0</v>
      </c>
    </row>
    <row r="469" spans="31:32" x14ac:dyDescent="0.25">
      <c r="AE469" s="107" t="s">
        <v>3990</v>
      </c>
      <c r="AF469" s="1">
        <v>0</v>
      </c>
    </row>
    <row r="470" spans="31:32" x14ac:dyDescent="0.25">
      <c r="AE470" s="107" t="s">
        <v>4047</v>
      </c>
      <c r="AF470" s="1">
        <v>0</v>
      </c>
    </row>
    <row r="471" spans="31:32" x14ac:dyDescent="0.25">
      <c r="AE471" s="107" t="s">
        <v>3998</v>
      </c>
      <c r="AF471" s="1">
        <v>0</v>
      </c>
    </row>
    <row r="472" spans="31:32" x14ac:dyDescent="0.25">
      <c r="AE472" s="107" t="s">
        <v>4181</v>
      </c>
      <c r="AF472" s="1">
        <v>0</v>
      </c>
    </row>
    <row r="473" spans="31:32" x14ac:dyDescent="0.25">
      <c r="AE473" s="107" t="s">
        <v>4006</v>
      </c>
      <c r="AF473" s="1">
        <v>0</v>
      </c>
    </row>
    <row r="474" spans="31:32" x14ac:dyDescent="0.25">
      <c r="AE474" s="107" t="s">
        <v>685</v>
      </c>
      <c r="AF474" s="1">
        <v>0</v>
      </c>
    </row>
    <row r="475" spans="31:32" x14ac:dyDescent="0.25">
      <c r="AE475" s="107" t="s">
        <v>5131</v>
      </c>
      <c r="AF475" s="1">
        <v>0</v>
      </c>
    </row>
    <row r="476" spans="31:32" x14ac:dyDescent="0.25">
      <c r="AE476" s="107" t="s">
        <v>4201</v>
      </c>
      <c r="AF476" s="1">
        <v>0</v>
      </c>
    </row>
    <row r="477" spans="31:32" x14ac:dyDescent="0.25">
      <c r="AE477" s="107" t="s">
        <v>4002</v>
      </c>
      <c r="AF477" s="1">
        <v>0</v>
      </c>
    </row>
    <row r="478" spans="31:32" x14ac:dyDescent="0.25">
      <c r="AE478" s="107" t="s">
        <v>4087</v>
      </c>
      <c r="AF478" s="1">
        <v>0</v>
      </c>
    </row>
    <row r="479" spans="31:32" x14ac:dyDescent="0.25">
      <c r="AE479" s="107" t="s">
        <v>5107</v>
      </c>
      <c r="AF479" s="1">
        <v>0</v>
      </c>
    </row>
    <row r="480" spans="31:32" x14ac:dyDescent="0.25">
      <c r="AE480" s="107" t="s">
        <v>4199</v>
      </c>
      <c r="AF480" s="1">
        <v>0</v>
      </c>
    </row>
    <row r="481" spans="31:32" x14ac:dyDescent="0.25">
      <c r="AE481" s="107" t="s">
        <v>5125</v>
      </c>
      <c r="AF481" s="1">
        <v>0</v>
      </c>
    </row>
    <row r="482" spans="31:32" x14ac:dyDescent="0.25">
      <c r="AE482" s="107" t="s">
        <v>4061</v>
      </c>
      <c r="AF482" s="1">
        <v>0</v>
      </c>
    </row>
    <row r="483" spans="31:32" x14ac:dyDescent="0.25">
      <c r="AE483" s="107" t="s">
        <v>3793</v>
      </c>
      <c r="AF483" s="1">
        <v>0</v>
      </c>
    </row>
    <row r="484" spans="31:32" x14ac:dyDescent="0.25">
      <c r="AE484" s="107" t="s">
        <v>4123</v>
      </c>
      <c r="AF484" s="1">
        <v>0</v>
      </c>
    </row>
    <row r="485" spans="31:32" x14ac:dyDescent="0.25">
      <c r="AE485" s="107" t="s">
        <v>3956</v>
      </c>
      <c r="AF485" s="1">
        <v>0</v>
      </c>
    </row>
    <row r="486" spans="31:32" x14ac:dyDescent="0.25">
      <c r="AE486" s="107" t="s">
        <v>4203</v>
      </c>
      <c r="AF486" s="1">
        <v>0</v>
      </c>
    </row>
    <row r="487" spans="31:32" x14ac:dyDescent="0.25">
      <c r="AE487" s="107" t="s">
        <v>4037</v>
      </c>
      <c r="AF487" s="1">
        <v>0</v>
      </c>
    </row>
    <row r="488" spans="31:32" x14ac:dyDescent="0.25">
      <c r="AE488" s="107" t="s">
        <v>4218</v>
      </c>
      <c r="AF488" s="1">
        <v>0</v>
      </c>
    </row>
    <row r="489" spans="31:32" x14ac:dyDescent="0.25">
      <c r="AE489" s="107" t="s">
        <v>4019</v>
      </c>
      <c r="AF489" s="1">
        <v>0</v>
      </c>
    </row>
    <row r="490" spans="31:32" x14ac:dyDescent="0.25">
      <c r="AE490" s="107" t="s">
        <v>4226</v>
      </c>
      <c r="AF490" s="1">
        <v>0</v>
      </c>
    </row>
    <row r="491" spans="31:32" x14ac:dyDescent="0.25">
      <c r="AE491" s="107" t="s">
        <v>4023</v>
      </c>
      <c r="AF491" s="1">
        <v>0</v>
      </c>
    </row>
    <row r="492" spans="31:32" x14ac:dyDescent="0.25">
      <c r="AE492" s="107" t="s">
        <v>4073</v>
      </c>
      <c r="AF492" s="1">
        <v>0</v>
      </c>
    </row>
    <row r="493" spans="31:32" x14ac:dyDescent="0.25">
      <c r="AE493" s="107" t="s">
        <v>4045</v>
      </c>
      <c r="AF493" s="1">
        <v>0</v>
      </c>
    </row>
    <row r="494" spans="31:32" x14ac:dyDescent="0.25">
      <c r="AE494" s="107" t="s">
        <v>4049</v>
      </c>
      <c r="AF494" s="1">
        <v>0</v>
      </c>
    </row>
    <row r="495" spans="31:32" x14ac:dyDescent="0.25">
      <c r="AE495" s="107" t="s">
        <v>4135</v>
      </c>
      <c r="AF495" s="1">
        <v>0</v>
      </c>
    </row>
    <row r="496" spans="31:32" x14ac:dyDescent="0.25">
      <c r="AE496" s="107" t="s">
        <v>4236</v>
      </c>
      <c r="AF496" s="1">
        <v>0</v>
      </c>
    </row>
    <row r="497" spans="31:32" x14ac:dyDescent="0.25">
      <c r="AE497" s="107" t="s">
        <v>4242</v>
      </c>
      <c r="AF497" s="1">
        <v>0</v>
      </c>
    </row>
    <row r="498" spans="31:32" x14ac:dyDescent="0.25">
      <c r="AE498" s="107" t="s">
        <v>4230</v>
      </c>
      <c r="AF498" s="1">
        <v>0</v>
      </c>
    </row>
    <row r="499" spans="31:32" x14ac:dyDescent="0.25">
      <c r="AE499" s="107" t="s">
        <v>4155</v>
      </c>
      <c r="AF499" s="1">
        <v>0</v>
      </c>
    </row>
    <row r="500" spans="31:32" x14ac:dyDescent="0.25">
      <c r="AE500" s="107" t="s">
        <v>4033</v>
      </c>
      <c r="AF500" s="1">
        <v>0</v>
      </c>
    </row>
    <row r="501" spans="31:32" x14ac:dyDescent="0.25">
      <c r="AE501" s="107" t="s">
        <v>4147</v>
      </c>
      <c r="AF501" s="1">
        <v>0</v>
      </c>
    </row>
    <row r="502" spans="31:32" x14ac:dyDescent="0.25">
      <c r="AE502" s="107" t="s">
        <v>4296</v>
      </c>
      <c r="AF502" s="1">
        <v>0</v>
      </c>
    </row>
    <row r="503" spans="31:32" x14ac:dyDescent="0.25">
      <c r="AE503" s="107" t="s">
        <v>3984</v>
      </c>
      <c r="AF503" s="1">
        <v>0</v>
      </c>
    </row>
    <row r="504" spans="31:32" x14ac:dyDescent="0.25">
      <c r="AE504" s="107" t="s">
        <v>4234</v>
      </c>
      <c r="AF504" s="1">
        <v>0</v>
      </c>
    </row>
    <row r="505" spans="31:32" x14ac:dyDescent="0.25">
      <c r="AE505" s="107" t="s">
        <v>5156</v>
      </c>
      <c r="AF505" s="1">
        <v>0</v>
      </c>
    </row>
    <row r="506" spans="31:32" x14ac:dyDescent="0.25">
      <c r="AE506" s="107" t="s">
        <v>4131</v>
      </c>
      <c r="AF506" s="1">
        <v>0</v>
      </c>
    </row>
    <row r="507" spans="31:32" x14ac:dyDescent="0.25">
      <c r="AE507" s="107" t="s">
        <v>4149</v>
      </c>
      <c r="AF507" s="1">
        <v>0</v>
      </c>
    </row>
    <row r="508" spans="31:32" x14ac:dyDescent="0.25">
      <c r="AE508" s="107" t="s">
        <v>4187</v>
      </c>
      <c r="AF508" s="1">
        <v>0</v>
      </c>
    </row>
    <row r="509" spans="31:32" x14ac:dyDescent="0.25">
      <c r="AE509" s="107" t="s">
        <v>4151</v>
      </c>
      <c r="AF509" s="1">
        <v>0</v>
      </c>
    </row>
    <row r="510" spans="31:32" x14ac:dyDescent="0.25">
      <c r="AE510" s="107" t="s">
        <v>5154</v>
      </c>
      <c r="AF510" s="1">
        <v>0</v>
      </c>
    </row>
    <row r="511" spans="31:32" x14ac:dyDescent="0.25">
      <c r="AE511" s="107" t="s">
        <v>4027</v>
      </c>
      <c r="AF511" s="1">
        <v>0</v>
      </c>
    </row>
    <row r="512" spans="31:32" x14ac:dyDescent="0.25">
      <c r="AE512" s="107" t="s">
        <v>3807</v>
      </c>
      <c r="AF512" s="1">
        <v>0</v>
      </c>
    </row>
    <row r="513" spans="31:32" x14ac:dyDescent="0.25">
      <c r="AE513" s="107" t="s">
        <v>4079</v>
      </c>
      <c r="AF513" s="1">
        <v>0</v>
      </c>
    </row>
    <row r="514" spans="31:32" x14ac:dyDescent="0.25">
      <c r="AE514" s="107" t="s">
        <v>3789</v>
      </c>
      <c r="AF514" s="1">
        <v>0</v>
      </c>
    </row>
    <row r="515" spans="31:32" x14ac:dyDescent="0.25">
      <c r="AE515" s="107" t="s">
        <v>3619</v>
      </c>
      <c r="AF515" s="1">
        <v>0</v>
      </c>
    </row>
    <row r="516" spans="31:32" x14ac:dyDescent="0.25">
      <c r="AE516" s="107" t="s">
        <v>3769</v>
      </c>
      <c r="AF516" s="1">
        <v>0</v>
      </c>
    </row>
    <row r="517" spans="31:32" x14ac:dyDescent="0.25">
      <c r="AE517" s="107" t="s">
        <v>3323</v>
      </c>
      <c r="AF517" s="1">
        <v>0</v>
      </c>
    </row>
    <row r="518" spans="31:32" x14ac:dyDescent="0.25">
      <c r="AE518" s="107" t="s">
        <v>3761</v>
      </c>
      <c r="AF518" s="1">
        <v>0</v>
      </c>
    </row>
    <row r="519" spans="31:32" x14ac:dyDescent="0.25">
      <c r="AE519" s="107" t="s">
        <v>3262</v>
      </c>
      <c r="AF519" s="1">
        <v>0</v>
      </c>
    </row>
    <row r="520" spans="31:32" x14ac:dyDescent="0.25">
      <c r="AE520" s="107" t="s">
        <v>3601</v>
      </c>
      <c r="AF520" s="1">
        <v>0</v>
      </c>
    </row>
    <row r="521" spans="31:32" x14ac:dyDescent="0.25">
      <c r="AE521" s="107" t="s">
        <v>3325</v>
      </c>
      <c r="AF521" s="1">
        <v>0</v>
      </c>
    </row>
    <row r="522" spans="31:32" x14ac:dyDescent="0.25">
      <c r="AE522" s="107" t="s">
        <v>1036</v>
      </c>
      <c r="AF522" s="1">
        <v>0</v>
      </c>
    </row>
    <row r="523" spans="31:32" x14ac:dyDescent="0.25">
      <c r="AE523" s="107" t="s">
        <v>3312</v>
      </c>
      <c r="AF523" s="1">
        <v>0</v>
      </c>
    </row>
    <row r="524" spans="31:32" x14ac:dyDescent="0.25">
      <c r="AE524" s="107" t="s">
        <v>3681</v>
      </c>
      <c r="AF524" s="1">
        <v>0</v>
      </c>
    </row>
    <row r="525" spans="31:32" x14ac:dyDescent="0.25">
      <c r="AE525" s="107" t="s">
        <v>3300</v>
      </c>
      <c r="AF525" s="1">
        <v>0</v>
      </c>
    </row>
    <row r="526" spans="31:32" x14ac:dyDescent="0.25">
      <c r="AE526" s="107" t="s">
        <v>3765</v>
      </c>
      <c r="AF526" s="1">
        <v>0</v>
      </c>
    </row>
    <row r="527" spans="31:32" x14ac:dyDescent="0.25">
      <c r="AE527" s="107" t="s">
        <v>3316</v>
      </c>
      <c r="AF527" s="1">
        <v>0</v>
      </c>
    </row>
    <row r="528" spans="31:32" x14ac:dyDescent="0.25">
      <c r="AE528" s="107" t="s">
        <v>3581</v>
      </c>
      <c r="AF528" s="1">
        <v>0</v>
      </c>
    </row>
    <row r="529" spans="31:32" x14ac:dyDescent="0.25">
      <c r="AE529" s="107" t="s">
        <v>3321</v>
      </c>
      <c r="AF529" s="1">
        <v>0</v>
      </c>
    </row>
    <row r="530" spans="31:32" x14ac:dyDescent="0.25">
      <c r="AE530" s="107" t="s">
        <v>3605</v>
      </c>
      <c r="AF530" s="1">
        <v>0</v>
      </c>
    </row>
    <row r="531" spans="31:32" x14ac:dyDescent="0.25">
      <c r="AE531" s="107" t="s">
        <v>3329</v>
      </c>
      <c r="AF531" s="1">
        <v>0</v>
      </c>
    </row>
    <row r="532" spans="31:32" x14ac:dyDescent="0.25">
      <c r="AE532" s="107" t="s">
        <v>270</v>
      </c>
      <c r="AF532" s="1">
        <v>0</v>
      </c>
    </row>
    <row r="533" spans="31:32" x14ac:dyDescent="0.25">
      <c r="AE533" s="107" t="s">
        <v>3327</v>
      </c>
      <c r="AF533" s="1">
        <v>0</v>
      </c>
    </row>
    <row r="534" spans="31:32" x14ac:dyDescent="0.25">
      <c r="AE534" s="107" t="s">
        <v>3659</v>
      </c>
      <c r="AF534" s="1">
        <v>0</v>
      </c>
    </row>
    <row r="535" spans="31:32" x14ac:dyDescent="0.25">
      <c r="AE535" s="107" t="s">
        <v>3254</v>
      </c>
      <c r="AF535" s="1">
        <v>0</v>
      </c>
    </row>
    <row r="536" spans="31:32" x14ac:dyDescent="0.25">
      <c r="AE536" s="107" t="s">
        <v>5095</v>
      </c>
      <c r="AF536" s="1">
        <v>0</v>
      </c>
    </row>
    <row r="537" spans="31:32" x14ac:dyDescent="0.25">
      <c r="AE537" s="107" t="s">
        <v>5053</v>
      </c>
      <c r="AF537" s="1">
        <v>0</v>
      </c>
    </row>
    <row r="538" spans="31:32" x14ac:dyDescent="0.25">
      <c r="AE538" s="107" t="s">
        <v>3731</v>
      </c>
      <c r="AF538" s="1">
        <v>0</v>
      </c>
    </row>
    <row r="539" spans="31:32" x14ac:dyDescent="0.25">
      <c r="AE539" s="107" t="s">
        <v>3337</v>
      </c>
      <c r="AF539" s="1">
        <v>0</v>
      </c>
    </row>
    <row r="540" spans="31:32" x14ac:dyDescent="0.25">
      <c r="AE540" s="107" t="s">
        <v>5025</v>
      </c>
      <c r="AF540" s="1">
        <v>0</v>
      </c>
    </row>
    <row r="541" spans="31:32" x14ac:dyDescent="0.25">
      <c r="AE541" s="107" t="s">
        <v>3282</v>
      </c>
      <c r="AF541" s="1">
        <v>0</v>
      </c>
    </row>
    <row r="542" spans="31:32" x14ac:dyDescent="0.25">
      <c r="AE542" s="107" t="s">
        <v>3783</v>
      </c>
      <c r="AF542" s="1">
        <v>0</v>
      </c>
    </row>
    <row r="543" spans="31:32" x14ac:dyDescent="0.25">
      <c r="AE543" s="107" t="s">
        <v>3339</v>
      </c>
      <c r="AF543" s="1">
        <v>0</v>
      </c>
    </row>
    <row r="544" spans="31:32" x14ac:dyDescent="0.25">
      <c r="AE544" s="107" t="s">
        <v>3585</v>
      </c>
      <c r="AF544" s="1">
        <v>0</v>
      </c>
    </row>
    <row r="545" spans="31:32" x14ac:dyDescent="0.25">
      <c r="AE545" s="107" t="s">
        <v>3341</v>
      </c>
      <c r="AF545" s="1">
        <v>0</v>
      </c>
    </row>
    <row r="546" spans="31:32" x14ac:dyDescent="0.25">
      <c r="AE546" s="107" t="s">
        <v>3587</v>
      </c>
      <c r="AF546" s="1">
        <v>0</v>
      </c>
    </row>
    <row r="547" spans="31:32" x14ac:dyDescent="0.25">
      <c r="AE547" s="107" t="s">
        <v>3381</v>
      </c>
      <c r="AF547" s="1">
        <v>0</v>
      </c>
    </row>
    <row r="548" spans="31:32" x14ac:dyDescent="0.25">
      <c r="AE548" s="107" t="s">
        <v>3759</v>
      </c>
      <c r="AF548" s="1">
        <v>0</v>
      </c>
    </row>
    <row r="549" spans="31:32" x14ac:dyDescent="0.25">
      <c r="AE549" s="107" t="s">
        <v>3393</v>
      </c>
      <c r="AF549" s="1">
        <v>0</v>
      </c>
    </row>
    <row r="550" spans="31:32" x14ac:dyDescent="0.25">
      <c r="AE550" s="107" t="s">
        <v>3595</v>
      </c>
      <c r="AF550" s="1">
        <v>0</v>
      </c>
    </row>
    <row r="551" spans="31:32" x14ac:dyDescent="0.25">
      <c r="AE551" s="107" t="s">
        <v>3463</v>
      </c>
      <c r="AF551" s="1">
        <v>0</v>
      </c>
    </row>
    <row r="552" spans="31:32" x14ac:dyDescent="0.25">
      <c r="AE552" s="107" t="s">
        <v>3775</v>
      </c>
      <c r="AF552" s="1">
        <v>0</v>
      </c>
    </row>
    <row r="553" spans="31:32" x14ac:dyDescent="0.25">
      <c r="AE553" s="107" t="s">
        <v>3351</v>
      </c>
      <c r="AF553" s="1">
        <v>0</v>
      </c>
    </row>
    <row r="554" spans="31:32" x14ac:dyDescent="0.25">
      <c r="AE554" s="107" t="s">
        <v>3637</v>
      </c>
      <c r="AF554" s="1">
        <v>0</v>
      </c>
    </row>
    <row r="555" spans="31:32" x14ac:dyDescent="0.25">
      <c r="AE555" s="107" t="s">
        <v>3349</v>
      </c>
      <c r="AF555" s="1">
        <v>0</v>
      </c>
    </row>
    <row r="556" spans="31:32" x14ac:dyDescent="0.25">
      <c r="AE556" s="107" t="s">
        <v>3653</v>
      </c>
      <c r="AF556" s="1">
        <v>0</v>
      </c>
    </row>
    <row r="557" spans="31:32" x14ac:dyDescent="0.25">
      <c r="AE557" s="107" t="s">
        <v>3467</v>
      </c>
      <c r="AF557" s="1">
        <v>0</v>
      </c>
    </row>
    <row r="558" spans="31:32" x14ac:dyDescent="0.25">
      <c r="AE558" s="107" t="s">
        <v>3727</v>
      </c>
      <c r="AF558" s="1">
        <v>0</v>
      </c>
    </row>
    <row r="559" spans="31:32" x14ac:dyDescent="0.25">
      <c r="AE559" s="107" t="s">
        <v>3557</v>
      </c>
      <c r="AF559" s="1">
        <v>0</v>
      </c>
    </row>
    <row r="560" spans="31:32" x14ac:dyDescent="0.25">
      <c r="AE560" s="107" t="s">
        <v>3697</v>
      </c>
      <c r="AF560" s="1">
        <v>0</v>
      </c>
    </row>
    <row r="561" spans="31:32" x14ac:dyDescent="0.25">
      <c r="AE561" s="107" t="s">
        <v>3569</v>
      </c>
      <c r="AF561" s="1">
        <v>0</v>
      </c>
    </row>
    <row r="562" spans="31:32" x14ac:dyDescent="0.25">
      <c r="AE562" s="107" t="s">
        <v>3627</v>
      </c>
      <c r="AF562" s="1">
        <v>0</v>
      </c>
    </row>
    <row r="563" spans="31:32" x14ac:dyDescent="0.25">
      <c r="AE563" s="107" t="s">
        <v>3509</v>
      </c>
      <c r="AF563" s="1">
        <v>0</v>
      </c>
    </row>
    <row r="564" spans="31:32" x14ac:dyDescent="0.25">
      <c r="AE564" s="107" t="s">
        <v>3703</v>
      </c>
      <c r="AF564" s="1">
        <v>0</v>
      </c>
    </row>
    <row r="565" spans="31:32" x14ac:dyDescent="0.25">
      <c r="AE565" s="107" t="s">
        <v>3547</v>
      </c>
      <c r="AF565" s="1">
        <v>0</v>
      </c>
    </row>
    <row r="566" spans="31:32" x14ac:dyDescent="0.25">
      <c r="AE566" s="107" t="s">
        <v>3737</v>
      </c>
      <c r="AF566" s="1">
        <v>0</v>
      </c>
    </row>
    <row r="567" spans="31:32" x14ac:dyDescent="0.25">
      <c r="AE567" s="107" t="s">
        <v>3383</v>
      </c>
      <c r="AF567" s="1">
        <v>0</v>
      </c>
    </row>
    <row r="568" spans="31:32" x14ac:dyDescent="0.25">
      <c r="AE568" s="107" t="s">
        <v>3655</v>
      </c>
      <c r="AF568" s="1">
        <v>0</v>
      </c>
    </row>
    <row r="569" spans="31:32" x14ac:dyDescent="0.25">
      <c r="AE569" s="107" t="s">
        <v>3353</v>
      </c>
      <c r="AF569" s="1">
        <v>0</v>
      </c>
    </row>
    <row r="570" spans="31:32" x14ac:dyDescent="0.25">
      <c r="AE570" s="107" t="s">
        <v>3745</v>
      </c>
      <c r="AF570" s="1">
        <v>0</v>
      </c>
    </row>
    <row r="571" spans="31:32" x14ac:dyDescent="0.25">
      <c r="AE571" s="107" t="s">
        <v>3497</v>
      </c>
      <c r="AF571" s="1">
        <v>0</v>
      </c>
    </row>
    <row r="572" spans="31:32" x14ac:dyDescent="0.25">
      <c r="AE572" s="107" t="s">
        <v>3839</v>
      </c>
      <c r="AF572" s="1">
        <v>0</v>
      </c>
    </row>
    <row r="573" spans="31:32" x14ac:dyDescent="0.25">
      <c r="AE573" s="107" t="s">
        <v>3439</v>
      </c>
      <c r="AF573" s="1">
        <v>0</v>
      </c>
    </row>
    <row r="574" spans="31:32" x14ac:dyDescent="0.25">
      <c r="AE574" s="107" t="s">
        <v>3781</v>
      </c>
      <c r="AF574" s="1">
        <v>0</v>
      </c>
    </row>
    <row r="575" spans="31:32" x14ac:dyDescent="0.25">
      <c r="AE575" s="107" t="s">
        <v>3359</v>
      </c>
      <c r="AF575" s="1">
        <v>0</v>
      </c>
    </row>
    <row r="576" spans="31:32" x14ac:dyDescent="0.25">
      <c r="AE576" s="107" t="s">
        <v>3571</v>
      </c>
      <c r="AF576" s="1">
        <v>0</v>
      </c>
    </row>
    <row r="577" spans="31:32" x14ac:dyDescent="0.25">
      <c r="AE577" s="107" t="s">
        <v>3367</v>
      </c>
      <c r="AF577" s="1">
        <v>0</v>
      </c>
    </row>
    <row r="578" spans="31:32" x14ac:dyDescent="0.25">
      <c r="AE578" s="107" t="s">
        <v>3577</v>
      </c>
      <c r="AF578" s="1">
        <v>0</v>
      </c>
    </row>
    <row r="579" spans="31:32" x14ac:dyDescent="0.25">
      <c r="AE579" s="107" t="s">
        <v>3451</v>
      </c>
      <c r="AF579" s="1">
        <v>0</v>
      </c>
    </row>
    <row r="580" spans="31:32" x14ac:dyDescent="0.25">
      <c r="AE580" s="107" t="s">
        <v>3591</v>
      </c>
      <c r="AF580" s="1">
        <v>0</v>
      </c>
    </row>
    <row r="581" spans="31:32" x14ac:dyDescent="0.25">
      <c r="AE581" s="107" t="s">
        <v>3389</v>
      </c>
      <c r="AF581" s="1">
        <v>0</v>
      </c>
    </row>
    <row r="582" spans="31:32" x14ac:dyDescent="0.25">
      <c r="AE582" s="107" t="s">
        <v>3593</v>
      </c>
      <c r="AF582" s="1">
        <v>0</v>
      </c>
    </row>
    <row r="583" spans="31:32" x14ac:dyDescent="0.25">
      <c r="AE583" s="107" t="s">
        <v>3455</v>
      </c>
      <c r="AF583" s="1">
        <v>0</v>
      </c>
    </row>
    <row r="584" spans="31:32" x14ac:dyDescent="0.25">
      <c r="AE584" s="107" t="s">
        <v>3611</v>
      </c>
      <c r="AF584" s="1">
        <v>0</v>
      </c>
    </row>
    <row r="585" spans="31:32" x14ac:dyDescent="0.25">
      <c r="AE585" s="107" t="s">
        <v>5071</v>
      </c>
      <c r="AF585" s="1">
        <v>0</v>
      </c>
    </row>
    <row r="586" spans="31:32" x14ac:dyDescent="0.25">
      <c r="AE586" s="107" t="s">
        <v>3715</v>
      </c>
      <c r="AF586" s="1">
        <v>0</v>
      </c>
    </row>
    <row r="587" spans="31:32" x14ac:dyDescent="0.25">
      <c r="AE587" s="107" t="s">
        <v>3523</v>
      </c>
      <c r="AF587" s="1">
        <v>0</v>
      </c>
    </row>
    <row r="588" spans="31:32" x14ac:dyDescent="0.25">
      <c r="AE588" s="107" t="s">
        <v>3751</v>
      </c>
      <c r="AF588" s="1">
        <v>0</v>
      </c>
    </row>
    <row r="589" spans="31:32" x14ac:dyDescent="0.25">
      <c r="AE589" s="107" t="s">
        <v>3527</v>
      </c>
      <c r="AF589" s="1">
        <v>0</v>
      </c>
    </row>
    <row r="590" spans="31:32" x14ac:dyDescent="0.25">
      <c r="AE590" s="107" t="s">
        <v>3607</v>
      </c>
      <c r="AF590" s="1">
        <v>0</v>
      </c>
    </row>
    <row r="591" spans="31:32" x14ac:dyDescent="0.25">
      <c r="AE591" s="107" t="s">
        <v>3373</v>
      </c>
      <c r="AF591" s="1">
        <v>0</v>
      </c>
    </row>
    <row r="592" spans="31:32" x14ac:dyDescent="0.25">
      <c r="AE592" s="107" t="s">
        <v>3599</v>
      </c>
      <c r="AF592" s="1">
        <v>0</v>
      </c>
    </row>
    <row r="593" spans="31:32" x14ac:dyDescent="0.25">
      <c r="AE593" s="107" t="s">
        <v>3537</v>
      </c>
      <c r="AF593" s="1">
        <v>0</v>
      </c>
    </row>
    <row r="594" spans="31:32" x14ac:dyDescent="0.25">
      <c r="AE594" s="107" t="s">
        <v>3621</v>
      </c>
      <c r="AF594" s="1">
        <v>0</v>
      </c>
    </row>
    <row r="595" spans="31:32" x14ac:dyDescent="0.25">
      <c r="AE595" s="107" t="s">
        <v>3573</v>
      </c>
      <c r="AF595" s="1">
        <v>0</v>
      </c>
    </row>
    <row r="596" spans="31:32" x14ac:dyDescent="0.25">
      <c r="AE596" s="107" t="s">
        <v>3633</v>
      </c>
      <c r="AF596" s="1">
        <v>0</v>
      </c>
    </row>
    <row r="597" spans="31:32" x14ac:dyDescent="0.25">
      <c r="AE597" s="107" t="s">
        <v>3449</v>
      </c>
      <c r="AF597" s="1">
        <v>0</v>
      </c>
    </row>
    <row r="598" spans="31:32" x14ac:dyDescent="0.25">
      <c r="AE598" s="107" t="s">
        <v>3647</v>
      </c>
      <c r="AF598" s="1">
        <v>0</v>
      </c>
    </row>
    <row r="599" spans="31:32" x14ac:dyDescent="0.25">
      <c r="AE599" s="107" t="s">
        <v>5067</v>
      </c>
      <c r="AF599" s="1">
        <v>0</v>
      </c>
    </row>
    <row r="600" spans="31:32" x14ac:dyDescent="0.25">
      <c r="AE600" s="107" t="s">
        <v>3763</v>
      </c>
      <c r="AF600" s="1">
        <v>0</v>
      </c>
    </row>
    <row r="601" spans="31:32" x14ac:dyDescent="0.25">
      <c r="AE601" s="107" t="s">
        <v>3445</v>
      </c>
      <c r="AF601" s="1">
        <v>0</v>
      </c>
    </row>
    <row r="602" spans="31:32" x14ac:dyDescent="0.25">
      <c r="AE602" s="107" t="s">
        <v>3683</v>
      </c>
      <c r="AF602" s="1">
        <v>0</v>
      </c>
    </row>
    <row r="603" spans="31:32" x14ac:dyDescent="0.25">
      <c r="AE603" s="107" t="s">
        <v>3395</v>
      </c>
      <c r="AF603" s="1">
        <v>0</v>
      </c>
    </row>
    <row r="604" spans="31:32" x14ac:dyDescent="0.25">
      <c r="AE604" s="107" t="s">
        <v>3689</v>
      </c>
      <c r="AF604" s="1">
        <v>0</v>
      </c>
    </row>
    <row r="605" spans="31:32" x14ac:dyDescent="0.25">
      <c r="AE605" s="107" t="s">
        <v>3399</v>
      </c>
      <c r="AF605" s="1">
        <v>0</v>
      </c>
    </row>
    <row r="606" spans="31:32" x14ac:dyDescent="0.25">
      <c r="AE606" s="107" t="s">
        <v>3677</v>
      </c>
      <c r="AF606" s="1">
        <v>0</v>
      </c>
    </row>
    <row r="607" spans="31:32" x14ac:dyDescent="0.25">
      <c r="AE607" s="107" t="s">
        <v>3401</v>
      </c>
      <c r="AF607" s="1">
        <v>0</v>
      </c>
    </row>
    <row r="608" spans="31:32" x14ac:dyDescent="0.25">
      <c r="AE608" s="107" t="s">
        <v>3631</v>
      </c>
      <c r="AF608" s="1">
        <v>0</v>
      </c>
    </row>
    <row r="609" spans="31:32" x14ac:dyDescent="0.25">
      <c r="AE609" s="107" t="s">
        <v>3489</v>
      </c>
      <c r="AF609" s="1">
        <v>0</v>
      </c>
    </row>
    <row r="610" spans="31:32" x14ac:dyDescent="0.25">
      <c r="AE610" s="107" t="s">
        <v>635</v>
      </c>
      <c r="AF610" s="1">
        <v>0</v>
      </c>
    </row>
    <row r="611" spans="31:32" x14ac:dyDescent="0.25">
      <c r="AE611" s="107" t="s">
        <v>3487</v>
      </c>
      <c r="AF611" s="1">
        <v>0</v>
      </c>
    </row>
    <row r="612" spans="31:32" x14ac:dyDescent="0.25">
      <c r="AE612" s="107" t="s">
        <v>3675</v>
      </c>
      <c r="AF612" s="1">
        <v>0</v>
      </c>
    </row>
    <row r="613" spans="31:32" x14ac:dyDescent="0.25">
      <c r="AE613" s="107" t="s">
        <v>3403</v>
      </c>
      <c r="AF613" s="1">
        <v>0</v>
      </c>
    </row>
    <row r="614" spans="31:32" x14ac:dyDescent="0.25">
      <c r="AE614" s="107" t="s">
        <v>3679</v>
      </c>
      <c r="AF614" s="1">
        <v>0</v>
      </c>
    </row>
    <row r="615" spans="31:32" x14ac:dyDescent="0.25">
      <c r="AE615" s="107" t="s">
        <v>4308</v>
      </c>
      <c r="AF615" s="1">
        <v>0</v>
      </c>
    </row>
    <row r="616" spans="31:32" x14ac:dyDescent="0.25">
      <c r="AE616" s="107" t="s">
        <v>3735</v>
      </c>
      <c r="AF616" s="1">
        <v>0</v>
      </c>
    </row>
    <row r="617" spans="31:32" x14ac:dyDescent="0.25">
      <c r="AE617" s="107" t="s">
        <v>3437</v>
      </c>
      <c r="AF617" s="1">
        <v>0</v>
      </c>
    </row>
    <row r="618" spans="31:32" x14ac:dyDescent="0.25">
      <c r="AE618" s="107" t="s">
        <v>3749</v>
      </c>
      <c r="AF618" s="1">
        <v>0</v>
      </c>
    </row>
    <row r="619" spans="31:32" x14ac:dyDescent="0.25">
      <c r="AE619" s="107" t="s">
        <v>3529</v>
      </c>
      <c r="AF619" s="1">
        <v>0</v>
      </c>
    </row>
    <row r="620" spans="31:32" x14ac:dyDescent="0.25">
      <c r="AE620" s="107" t="s">
        <v>3729</v>
      </c>
      <c r="AF620" s="1">
        <v>0</v>
      </c>
    </row>
    <row r="621" spans="31:32" x14ac:dyDescent="0.25">
      <c r="AE621" s="107" t="s">
        <v>3545</v>
      </c>
      <c r="AF621" s="1">
        <v>0</v>
      </c>
    </row>
    <row r="622" spans="31:32" x14ac:dyDescent="0.25">
      <c r="AE622" s="107" t="s">
        <v>3755</v>
      </c>
      <c r="AF622" s="1">
        <v>0</v>
      </c>
    </row>
    <row r="623" spans="31:32" x14ac:dyDescent="0.25">
      <c r="AE623" s="107" t="s">
        <v>3385</v>
      </c>
      <c r="AF623" s="1">
        <v>0</v>
      </c>
    </row>
    <row r="624" spans="31:32" x14ac:dyDescent="0.25">
      <c r="AE624" s="107" t="s">
        <v>3617</v>
      </c>
      <c r="AF624" s="1">
        <v>0</v>
      </c>
    </row>
    <row r="625" spans="31:32" x14ac:dyDescent="0.25">
      <c r="AE625" s="107" t="s">
        <v>3515</v>
      </c>
      <c r="AF625" s="1">
        <v>0</v>
      </c>
    </row>
    <row r="626" spans="31:32" x14ac:dyDescent="0.25">
      <c r="AE626" s="107" t="s">
        <v>4877</v>
      </c>
      <c r="AF626" s="1">
        <v>0</v>
      </c>
    </row>
    <row r="627" spans="31:32" x14ac:dyDescent="0.25">
      <c r="AE627" s="107" t="s">
        <v>3441</v>
      </c>
      <c r="AF627" s="1">
        <v>0</v>
      </c>
    </row>
    <row r="628" spans="31:32" x14ac:dyDescent="0.25">
      <c r="AE628" s="107" t="s">
        <v>3713</v>
      </c>
      <c r="AF628" s="1">
        <v>0</v>
      </c>
    </row>
    <row r="629" spans="31:32" x14ac:dyDescent="0.25">
      <c r="AE629" s="107" t="s">
        <v>3531</v>
      </c>
      <c r="AF629" s="1">
        <v>0</v>
      </c>
    </row>
    <row r="630" spans="31:32" x14ac:dyDescent="0.25">
      <c r="AE630" s="107" t="s">
        <v>5103</v>
      </c>
      <c r="AF630" s="1">
        <v>0</v>
      </c>
    </row>
    <row r="631" spans="31:32" x14ac:dyDescent="0.25">
      <c r="AE631" s="107" t="s">
        <v>3361</v>
      </c>
      <c r="AF631" s="1">
        <v>0</v>
      </c>
    </row>
    <row r="632" spans="31:32" x14ac:dyDescent="0.25">
      <c r="AE632" s="107" t="s">
        <v>5099</v>
      </c>
      <c r="AF632" s="1">
        <v>0</v>
      </c>
    </row>
    <row r="633" spans="31:32" x14ac:dyDescent="0.25">
      <c r="AE633" s="107" t="s">
        <v>3407</v>
      </c>
      <c r="AF633" s="1">
        <v>0</v>
      </c>
    </row>
    <row r="634" spans="31:32" x14ac:dyDescent="0.25">
      <c r="AE634" s="107" t="s">
        <v>3892</v>
      </c>
      <c r="AF634" s="1">
        <v>0</v>
      </c>
    </row>
    <row r="635" spans="31:32" x14ac:dyDescent="0.25">
      <c r="AE635" s="107" t="s">
        <v>3427</v>
      </c>
      <c r="AF635" s="1">
        <v>0</v>
      </c>
    </row>
    <row r="636" spans="31:32" x14ac:dyDescent="0.25">
      <c r="AE636" s="107" t="s">
        <v>3833</v>
      </c>
      <c r="AF636" s="1">
        <v>0</v>
      </c>
    </row>
    <row r="637" spans="31:32" x14ac:dyDescent="0.25">
      <c r="AE637" s="107" t="s">
        <v>3435</v>
      </c>
      <c r="AF637" s="1">
        <v>0</v>
      </c>
    </row>
    <row r="638" spans="31:32" x14ac:dyDescent="0.25">
      <c r="AE638" s="107" t="s">
        <v>3982</v>
      </c>
      <c r="AF638" s="1">
        <v>0</v>
      </c>
    </row>
    <row r="639" spans="31:32" x14ac:dyDescent="0.25">
      <c r="AE639" s="107" t="s">
        <v>3425</v>
      </c>
      <c r="AF639" s="1">
        <v>0</v>
      </c>
    </row>
    <row r="640" spans="31:32" x14ac:dyDescent="0.25">
      <c r="AE640" s="107" t="s">
        <v>3779</v>
      </c>
      <c r="AF640" s="1">
        <v>0</v>
      </c>
    </row>
    <row r="641" spans="31:32" x14ac:dyDescent="0.25">
      <c r="AE641" s="107" t="s">
        <v>3517</v>
      </c>
      <c r="AF641" s="1">
        <v>0</v>
      </c>
    </row>
    <row r="642" spans="31:32" x14ac:dyDescent="0.25">
      <c r="AE642" s="107" t="s">
        <v>3575</v>
      </c>
      <c r="AF642" s="1">
        <v>0</v>
      </c>
    </row>
    <row r="643" spans="31:32" x14ac:dyDescent="0.25">
      <c r="AE643" s="107" t="s">
        <v>3375</v>
      </c>
      <c r="AF643" s="1">
        <v>0</v>
      </c>
    </row>
    <row r="644" spans="31:32" x14ac:dyDescent="0.25">
      <c r="AE644" s="107" t="s">
        <v>3579</v>
      </c>
      <c r="AF644" s="1">
        <v>0</v>
      </c>
    </row>
    <row r="645" spans="31:32" x14ac:dyDescent="0.25">
      <c r="AE645" s="107" t="s">
        <v>3415</v>
      </c>
      <c r="AF645" s="1">
        <v>0</v>
      </c>
    </row>
    <row r="646" spans="31:32" x14ac:dyDescent="0.25">
      <c r="AE646" s="107" t="s">
        <v>5085</v>
      </c>
      <c r="AF646" s="1">
        <v>0</v>
      </c>
    </row>
    <row r="647" spans="31:32" x14ac:dyDescent="0.25">
      <c r="AE647" s="107" t="s">
        <v>5069</v>
      </c>
      <c r="AF647" s="1">
        <v>0</v>
      </c>
    </row>
    <row r="648" spans="31:32" x14ac:dyDescent="0.25">
      <c r="AE648" s="107" t="s">
        <v>5083</v>
      </c>
      <c r="AF648" s="1">
        <v>0</v>
      </c>
    </row>
    <row r="649" spans="31:32" x14ac:dyDescent="0.25">
      <c r="AE649" s="107" t="s">
        <v>3559</v>
      </c>
      <c r="AF649" s="1">
        <v>0</v>
      </c>
    </row>
    <row r="650" spans="31:32" x14ac:dyDescent="0.25">
      <c r="AE650" s="107" t="s">
        <v>3589</v>
      </c>
      <c r="AF650" s="1">
        <v>0</v>
      </c>
    </row>
    <row r="651" spans="31:32" x14ac:dyDescent="0.25">
      <c r="AE651" s="107" t="s">
        <v>126</v>
      </c>
      <c r="AF651" s="1">
        <v>0</v>
      </c>
    </row>
    <row r="652" spans="31:32" x14ac:dyDescent="0.25">
      <c r="AE652" s="107" t="s">
        <v>5087</v>
      </c>
      <c r="AF652" s="1">
        <v>0</v>
      </c>
    </row>
    <row r="653" spans="31:32" x14ac:dyDescent="0.25">
      <c r="AE653" s="107" t="s">
        <v>3429</v>
      </c>
      <c r="AF653" s="1">
        <v>0</v>
      </c>
    </row>
    <row r="654" spans="31:32" x14ac:dyDescent="0.25">
      <c r="AE654" s="107" t="s">
        <v>3625</v>
      </c>
      <c r="AF654" s="1">
        <v>0</v>
      </c>
    </row>
    <row r="655" spans="31:32" x14ac:dyDescent="0.25">
      <c r="AE655" s="107" t="s">
        <v>3377</v>
      </c>
      <c r="AF655" s="1">
        <v>0</v>
      </c>
    </row>
    <row r="656" spans="31:32" x14ac:dyDescent="0.25">
      <c r="AE656" s="107" t="s">
        <v>3651</v>
      </c>
      <c r="AF656" s="1">
        <v>0</v>
      </c>
    </row>
    <row r="657" spans="31:32" x14ac:dyDescent="0.25">
      <c r="AE657" s="107" t="s">
        <v>3485</v>
      </c>
      <c r="AF657" s="1">
        <v>0</v>
      </c>
    </row>
    <row r="658" spans="31:32" x14ac:dyDescent="0.25">
      <c r="AE658" s="107" t="s">
        <v>3687</v>
      </c>
      <c r="AF658" s="1">
        <v>0</v>
      </c>
    </row>
    <row r="659" spans="31:32" x14ac:dyDescent="0.25">
      <c r="AE659" s="107" t="s">
        <v>3493</v>
      </c>
      <c r="AF659" s="1">
        <v>0</v>
      </c>
    </row>
    <row r="660" spans="31:32" x14ac:dyDescent="0.25">
      <c r="AE660" s="107" t="s">
        <v>5089</v>
      </c>
      <c r="AF660" s="1">
        <v>0</v>
      </c>
    </row>
    <row r="661" spans="31:32" x14ac:dyDescent="0.25">
      <c r="AE661" s="107" t="s">
        <v>3495</v>
      </c>
      <c r="AF661" s="1">
        <v>0</v>
      </c>
    </row>
    <row r="662" spans="31:32" x14ac:dyDescent="0.25">
      <c r="AE662" s="107" t="s">
        <v>3597</v>
      </c>
      <c r="AF662" s="1">
        <v>0</v>
      </c>
    </row>
    <row r="663" spans="31:32" x14ac:dyDescent="0.25">
      <c r="AE663" s="107" t="s">
        <v>5077</v>
      </c>
      <c r="AF663" s="1">
        <v>0</v>
      </c>
    </row>
    <row r="664" spans="31:32" x14ac:dyDescent="0.25">
      <c r="AE664" s="107" t="s">
        <v>3184</v>
      </c>
      <c r="AF664" s="1">
        <v>0</v>
      </c>
    </row>
    <row r="665" spans="31:32" x14ac:dyDescent="0.25">
      <c r="AE665" s="107" t="s">
        <v>3431</v>
      </c>
      <c r="AF665" s="1">
        <v>0</v>
      </c>
    </row>
    <row r="666" spans="31:32" x14ac:dyDescent="0.25">
      <c r="AE666" s="107" t="s">
        <v>3757</v>
      </c>
      <c r="AF666" s="1">
        <v>0</v>
      </c>
    </row>
    <row r="667" spans="31:32" x14ac:dyDescent="0.25">
      <c r="AE667" s="107" t="s">
        <v>3563</v>
      </c>
      <c r="AF667" s="1">
        <v>0</v>
      </c>
    </row>
    <row r="668" spans="31:32" x14ac:dyDescent="0.25">
      <c r="AE668" s="107" t="s">
        <v>3693</v>
      </c>
      <c r="AF668" s="1">
        <v>0</v>
      </c>
    </row>
    <row r="669" spans="31:32" x14ac:dyDescent="0.25">
      <c r="AE669" s="107" t="s">
        <v>3391</v>
      </c>
      <c r="AF669" s="1">
        <v>0</v>
      </c>
    </row>
    <row r="670" spans="31:32" x14ac:dyDescent="0.25">
      <c r="AE670" s="107" t="s">
        <v>3753</v>
      </c>
      <c r="AF670" s="1">
        <v>0</v>
      </c>
    </row>
    <row r="671" spans="31:32" x14ac:dyDescent="0.25">
      <c r="AE671" s="107" t="s">
        <v>3555</v>
      </c>
      <c r="AF671" s="1">
        <v>0</v>
      </c>
    </row>
    <row r="672" spans="31:32" x14ac:dyDescent="0.25">
      <c r="AE672" s="107" t="s">
        <v>3721</v>
      </c>
      <c r="AF672" s="1">
        <v>0</v>
      </c>
    </row>
    <row r="673" spans="31:32" x14ac:dyDescent="0.25">
      <c r="AE673" s="107" t="s">
        <v>3477</v>
      </c>
      <c r="AF673" s="1">
        <v>0</v>
      </c>
    </row>
    <row r="674" spans="31:32" x14ac:dyDescent="0.25">
      <c r="AE674" s="107" t="s">
        <v>3773</v>
      </c>
      <c r="AF674" s="1">
        <v>0</v>
      </c>
    </row>
    <row r="675" spans="31:32" x14ac:dyDescent="0.25">
      <c r="AE675" s="107" t="s">
        <v>3461</v>
      </c>
      <c r="AF675" s="1">
        <v>0</v>
      </c>
    </row>
    <row r="676" spans="31:32" x14ac:dyDescent="0.25">
      <c r="AE676" s="107" t="s">
        <v>3635</v>
      </c>
      <c r="AF676" s="1">
        <v>0</v>
      </c>
    </row>
    <row r="677" spans="31:32" x14ac:dyDescent="0.25">
      <c r="AE677" s="107" t="s">
        <v>3475</v>
      </c>
      <c r="AF677" s="1">
        <v>0</v>
      </c>
    </row>
    <row r="678" spans="31:32" x14ac:dyDescent="0.25">
      <c r="AE678" s="107" t="s">
        <v>3643</v>
      </c>
      <c r="AF678" s="1">
        <v>0</v>
      </c>
    </row>
    <row r="679" spans="31:32" x14ac:dyDescent="0.25">
      <c r="AE679" s="107" t="s">
        <v>2874</v>
      </c>
      <c r="AF679" s="1">
        <v>0</v>
      </c>
    </row>
    <row r="680" spans="31:32" x14ac:dyDescent="0.25">
      <c r="AE680" s="107" t="s">
        <v>5091</v>
      </c>
      <c r="AF680" s="1">
        <v>0</v>
      </c>
    </row>
    <row r="681" spans="31:32" x14ac:dyDescent="0.25">
      <c r="AE681" s="107" t="s">
        <v>3379</v>
      </c>
      <c r="AF681" s="1">
        <v>0</v>
      </c>
    </row>
    <row r="682" spans="31:32" x14ac:dyDescent="0.25">
      <c r="AE682" s="107" t="s">
        <v>3641</v>
      </c>
      <c r="AF682" s="1">
        <v>0</v>
      </c>
    </row>
    <row r="683" spans="31:32" x14ac:dyDescent="0.25">
      <c r="AE683" s="107" t="s">
        <v>3473</v>
      </c>
      <c r="AF683" s="1">
        <v>0</v>
      </c>
    </row>
    <row r="684" spans="31:32" x14ac:dyDescent="0.25">
      <c r="AE684" s="107" t="s">
        <v>3645</v>
      </c>
      <c r="AF684" s="1">
        <v>0</v>
      </c>
    </row>
    <row r="685" spans="31:32" x14ac:dyDescent="0.25">
      <c r="AE685" s="107" t="s">
        <v>3371</v>
      </c>
      <c r="AF685" s="1">
        <v>0</v>
      </c>
    </row>
    <row r="686" spans="31:32" x14ac:dyDescent="0.25">
      <c r="AE686" s="107" t="s">
        <v>5097</v>
      </c>
      <c r="AF686" s="1">
        <v>0</v>
      </c>
    </row>
    <row r="687" spans="31:32" x14ac:dyDescent="0.25">
      <c r="AE687" s="107" t="s">
        <v>3503</v>
      </c>
      <c r="AF687" s="1">
        <v>0</v>
      </c>
    </row>
    <row r="688" spans="31:32" x14ac:dyDescent="0.25">
      <c r="AE688" s="107" t="s">
        <v>3649</v>
      </c>
      <c r="AF688" s="1">
        <v>0</v>
      </c>
    </row>
    <row r="689" spans="31:32" x14ac:dyDescent="0.25">
      <c r="AE689" s="107" t="s">
        <v>3481</v>
      </c>
      <c r="AF689" s="1">
        <v>0</v>
      </c>
    </row>
    <row r="690" spans="31:32" x14ac:dyDescent="0.25">
      <c r="AE690" s="107" t="s">
        <v>3719</v>
      </c>
      <c r="AF690" s="1">
        <v>0</v>
      </c>
    </row>
    <row r="691" spans="31:32" x14ac:dyDescent="0.25">
      <c r="AE691" s="107" t="s">
        <v>3505</v>
      </c>
      <c r="AF691" s="1">
        <v>0</v>
      </c>
    </row>
    <row r="692" spans="31:32" x14ac:dyDescent="0.25">
      <c r="AE692" s="107" t="s">
        <v>3946</v>
      </c>
      <c r="AF692" s="1">
        <v>0</v>
      </c>
    </row>
    <row r="693" spans="31:32" x14ac:dyDescent="0.25">
      <c r="AE693" s="107" t="s">
        <v>3355</v>
      </c>
      <c r="AF693" s="1">
        <v>0</v>
      </c>
    </row>
    <row r="694" spans="31:32" x14ac:dyDescent="0.25">
      <c r="AE694" s="107" t="s">
        <v>3639</v>
      </c>
      <c r="AF694" s="1">
        <v>0</v>
      </c>
    </row>
    <row r="695" spans="31:32" x14ac:dyDescent="0.25">
      <c r="AE695" s="107" t="s">
        <v>5081</v>
      </c>
      <c r="AF695" s="1">
        <v>0</v>
      </c>
    </row>
    <row r="696" spans="31:32" x14ac:dyDescent="0.25">
      <c r="AE696" s="107" t="s">
        <v>3725</v>
      </c>
      <c r="AF696" s="1">
        <v>0</v>
      </c>
    </row>
    <row r="697" spans="31:32" x14ac:dyDescent="0.25">
      <c r="AE697" s="107" t="s">
        <v>3345</v>
      </c>
      <c r="AF697" s="1">
        <v>0</v>
      </c>
    </row>
    <row r="698" spans="31:32" x14ac:dyDescent="0.25">
      <c r="AE698" s="107" t="s">
        <v>3665</v>
      </c>
      <c r="AF698" s="1">
        <v>0</v>
      </c>
    </row>
    <row r="699" spans="31:32" x14ac:dyDescent="0.25">
      <c r="AE699" s="107" t="s">
        <v>3363</v>
      </c>
      <c r="AF699" s="1">
        <v>0</v>
      </c>
    </row>
    <row r="700" spans="31:32" x14ac:dyDescent="0.25">
      <c r="AE700" s="107" t="s">
        <v>3747</v>
      </c>
      <c r="AF700" s="1">
        <v>0</v>
      </c>
    </row>
    <row r="701" spans="31:32" x14ac:dyDescent="0.25">
      <c r="AE701" s="107" t="s">
        <v>3365</v>
      </c>
      <c r="AF701" s="1">
        <v>0</v>
      </c>
    </row>
    <row r="702" spans="31:32" x14ac:dyDescent="0.25">
      <c r="AE702" s="107" t="s">
        <v>3615</v>
      </c>
      <c r="AF702" s="1">
        <v>0</v>
      </c>
    </row>
    <row r="703" spans="31:32" x14ac:dyDescent="0.25">
      <c r="AE703" s="107" t="s">
        <v>3419</v>
      </c>
      <c r="AF703" s="1">
        <v>0</v>
      </c>
    </row>
    <row r="704" spans="31:32" x14ac:dyDescent="0.25">
      <c r="AE704" s="107" t="s">
        <v>3691</v>
      </c>
      <c r="AF704" s="1">
        <v>0</v>
      </c>
    </row>
    <row r="705" spans="31:32" x14ac:dyDescent="0.25">
      <c r="AE705" s="107" t="s">
        <v>3533</v>
      </c>
      <c r="AF705" s="1">
        <v>0</v>
      </c>
    </row>
    <row r="706" spans="31:32" x14ac:dyDescent="0.25">
      <c r="AE706" s="107" t="s">
        <v>3623</v>
      </c>
      <c r="AF706" s="1">
        <v>0</v>
      </c>
    </row>
    <row r="707" spans="31:32" x14ac:dyDescent="0.25">
      <c r="AE707" s="107" t="s">
        <v>3409</v>
      </c>
      <c r="AF707" s="1">
        <v>0</v>
      </c>
    </row>
    <row r="708" spans="31:32" x14ac:dyDescent="0.25">
      <c r="AE708" s="107" t="s">
        <v>3629</v>
      </c>
      <c r="AF708" s="1">
        <v>0</v>
      </c>
    </row>
    <row r="709" spans="31:32" x14ac:dyDescent="0.25">
      <c r="AE709" s="107" t="s">
        <v>3535</v>
      </c>
      <c r="AF709" s="1">
        <v>0</v>
      </c>
    </row>
    <row r="710" spans="31:32" x14ac:dyDescent="0.25">
      <c r="AE710" s="107" t="s">
        <v>3669</v>
      </c>
      <c r="AF710" s="1">
        <v>0</v>
      </c>
    </row>
    <row r="711" spans="31:32" x14ac:dyDescent="0.25">
      <c r="AE711" s="107" t="s">
        <v>3511</v>
      </c>
      <c r="AF711" s="1">
        <v>0</v>
      </c>
    </row>
    <row r="712" spans="31:32" x14ac:dyDescent="0.25">
      <c r="AE712" s="107" t="s">
        <v>3673</v>
      </c>
      <c r="AF712" s="1">
        <v>0</v>
      </c>
    </row>
    <row r="713" spans="31:32" x14ac:dyDescent="0.25">
      <c r="AE713" s="107" t="s">
        <v>1891</v>
      </c>
      <c r="AF713" s="1">
        <v>0</v>
      </c>
    </row>
    <row r="714" spans="31:32" x14ac:dyDescent="0.25">
      <c r="AE714" s="107" t="s">
        <v>3695</v>
      </c>
      <c r="AF714" s="1">
        <v>0</v>
      </c>
    </row>
    <row r="715" spans="31:32" x14ac:dyDescent="0.25">
      <c r="AE715" s="107" t="s">
        <v>5063</v>
      </c>
      <c r="AF715" s="1">
        <v>0</v>
      </c>
    </row>
    <row r="716" spans="31:32" x14ac:dyDescent="0.25">
      <c r="AE716" s="107" t="s">
        <v>3667</v>
      </c>
      <c r="AF716" s="1">
        <v>0</v>
      </c>
    </row>
    <row r="717" spans="31:32" x14ac:dyDescent="0.25">
      <c r="AE717" s="107" t="s">
        <v>4460</v>
      </c>
      <c r="AF717" s="1">
        <v>0</v>
      </c>
    </row>
    <row r="718" spans="31:32" x14ac:dyDescent="0.25">
      <c r="AE718" s="107" t="s">
        <v>3699</v>
      </c>
      <c r="AF718" s="1">
        <v>0</v>
      </c>
    </row>
    <row r="719" spans="31:32" x14ac:dyDescent="0.25">
      <c r="AE719" s="107" t="s">
        <v>3423</v>
      </c>
      <c r="AF719" s="1">
        <v>0</v>
      </c>
    </row>
    <row r="720" spans="31:32" x14ac:dyDescent="0.25">
      <c r="AE720" s="107" t="s">
        <v>3701</v>
      </c>
      <c r="AF720" s="1">
        <v>0</v>
      </c>
    </row>
    <row r="721" spans="31:32" x14ac:dyDescent="0.25">
      <c r="AE721" s="107" t="s">
        <v>3457</v>
      </c>
      <c r="AF721" s="1">
        <v>0</v>
      </c>
    </row>
    <row r="722" spans="31:32" x14ac:dyDescent="0.25">
      <c r="AE722" s="107" t="s">
        <v>3717</v>
      </c>
      <c r="AF722" s="1">
        <v>0</v>
      </c>
    </row>
    <row r="723" spans="31:32" x14ac:dyDescent="0.25">
      <c r="AE723" s="107" t="s">
        <v>3465</v>
      </c>
      <c r="AF723" s="1">
        <v>0</v>
      </c>
    </row>
    <row r="724" spans="31:32" x14ac:dyDescent="0.25">
      <c r="AE724" s="107" t="s">
        <v>3609</v>
      </c>
      <c r="AF724" s="1">
        <v>0</v>
      </c>
    </row>
    <row r="725" spans="31:32" x14ac:dyDescent="0.25">
      <c r="AE725" s="107" t="s">
        <v>3483</v>
      </c>
      <c r="AF725" s="1">
        <v>0</v>
      </c>
    </row>
    <row r="726" spans="31:32" x14ac:dyDescent="0.25">
      <c r="AE726" s="107" t="s">
        <v>3723</v>
      </c>
      <c r="AF726" s="1">
        <v>0</v>
      </c>
    </row>
    <row r="727" spans="31:32" x14ac:dyDescent="0.25">
      <c r="AE727" s="107" t="s">
        <v>5073</v>
      </c>
      <c r="AF727" s="1">
        <v>0</v>
      </c>
    </row>
    <row r="728" spans="31:32" x14ac:dyDescent="0.25">
      <c r="AE728" s="107" t="s">
        <v>3709</v>
      </c>
      <c r="AF728" s="1">
        <v>0</v>
      </c>
    </row>
    <row r="729" spans="31:32" x14ac:dyDescent="0.25">
      <c r="AE729" s="107" t="s">
        <v>3433</v>
      </c>
      <c r="AF729" s="1">
        <v>0</v>
      </c>
    </row>
    <row r="730" spans="31:32" x14ac:dyDescent="0.25">
      <c r="AE730" s="107" t="s">
        <v>3707</v>
      </c>
      <c r="AF730" s="1">
        <v>0</v>
      </c>
    </row>
    <row r="731" spans="31:32" x14ac:dyDescent="0.25">
      <c r="AE731" s="107" t="s">
        <v>5065</v>
      </c>
      <c r="AF731" s="1">
        <v>0</v>
      </c>
    </row>
    <row r="732" spans="31:32" x14ac:dyDescent="0.25">
      <c r="AE732" s="107" t="s">
        <v>3739</v>
      </c>
      <c r="AF732" s="1">
        <v>0</v>
      </c>
    </row>
    <row r="733" spans="31:32" x14ac:dyDescent="0.25">
      <c r="AE733" s="107" t="s">
        <v>3561</v>
      </c>
      <c r="AF733" s="1">
        <v>0</v>
      </c>
    </row>
    <row r="734" spans="31:32" x14ac:dyDescent="0.25">
      <c r="AE734" s="107" t="s">
        <v>3711</v>
      </c>
      <c r="AF734" s="1">
        <v>0</v>
      </c>
    </row>
    <row r="735" spans="31:32" x14ac:dyDescent="0.25">
      <c r="AE735" s="107" t="s">
        <v>3499</v>
      </c>
      <c r="AF735" s="1">
        <v>0</v>
      </c>
    </row>
    <row r="736" spans="31:32" x14ac:dyDescent="0.25">
      <c r="AE736" s="107" t="s">
        <v>3767</v>
      </c>
      <c r="AF736" s="1">
        <v>0</v>
      </c>
    </row>
    <row r="737" spans="31:32" x14ac:dyDescent="0.25">
      <c r="AE737" s="107" t="s">
        <v>3501</v>
      </c>
      <c r="AF737" s="1">
        <v>0</v>
      </c>
    </row>
    <row r="738" spans="31:32" x14ac:dyDescent="0.25">
      <c r="AE738" s="107" t="s">
        <v>3613</v>
      </c>
      <c r="AF738" s="1">
        <v>0</v>
      </c>
    </row>
    <row r="739" spans="31:32" x14ac:dyDescent="0.25">
      <c r="AE739" s="107" t="s">
        <v>3539</v>
      </c>
      <c r="AF739" s="1">
        <v>0</v>
      </c>
    </row>
    <row r="740" spans="31:32" x14ac:dyDescent="0.25">
      <c r="AE740" s="107" t="s">
        <v>4785</v>
      </c>
      <c r="AF740" s="1">
        <v>0</v>
      </c>
    </row>
    <row r="741" spans="31:32" x14ac:dyDescent="0.25">
      <c r="AE741" s="107" t="s">
        <v>5079</v>
      </c>
      <c r="AF741" s="1">
        <v>0</v>
      </c>
    </row>
    <row r="742" spans="31:32" x14ac:dyDescent="0.25">
      <c r="AE742" s="107" t="s">
        <v>3685</v>
      </c>
      <c r="AF742" s="1">
        <v>0</v>
      </c>
    </row>
    <row r="743" spans="31:32" x14ac:dyDescent="0.25">
      <c r="AE743" s="107" t="s">
        <v>3543</v>
      </c>
      <c r="AF743" s="1">
        <v>0</v>
      </c>
    </row>
    <row r="744" spans="31:32" x14ac:dyDescent="0.25">
      <c r="AE744" s="107" t="s">
        <v>5101</v>
      </c>
      <c r="AF744" s="1">
        <v>0</v>
      </c>
    </row>
    <row r="745" spans="31:32" x14ac:dyDescent="0.25">
      <c r="AE745" s="107" t="s">
        <v>3507</v>
      </c>
      <c r="AF745" s="1">
        <v>0</v>
      </c>
    </row>
    <row r="746" spans="31:32" x14ac:dyDescent="0.25">
      <c r="AE746" s="107" t="s">
        <v>3743</v>
      </c>
      <c r="AF746" s="1">
        <v>0</v>
      </c>
    </row>
    <row r="747" spans="31:32" x14ac:dyDescent="0.25">
      <c r="AE747" s="107" t="s">
        <v>2454</v>
      </c>
      <c r="AF747" s="1">
        <v>0</v>
      </c>
    </row>
    <row r="748" spans="31:32" x14ac:dyDescent="0.25">
      <c r="AE748" s="107" t="s">
        <v>3733</v>
      </c>
      <c r="AF748" s="1">
        <v>0</v>
      </c>
    </row>
    <row r="749" spans="31:32" x14ac:dyDescent="0.25">
      <c r="AE749" s="107" t="s">
        <v>3491</v>
      </c>
      <c r="AF749" s="1">
        <v>0</v>
      </c>
    </row>
    <row r="750" spans="31:32" x14ac:dyDescent="0.25">
      <c r="AE750" s="107" t="s">
        <v>3741</v>
      </c>
      <c r="AF750" s="1">
        <v>0</v>
      </c>
    </row>
    <row r="751" spans="31:32" x14ac:dyDescent="0.25">
      <c r="AE751" s="107" t="s">
        <v>3411</v>
      </c>
      <c r="AF751" s="1">
        <v>0</v>
      </c>
    </row>
    <row r="752" spans="31:32" x14ac:dyDescent="0.25">
      <c r="AE752" s="107" t="s">
        <v>3771</v>
      </c>
      <c r="AF752" s="1">
        <v>0</v>
      </c>
    </row>
    <row r="753" spans="31:32" x14ac:dyDescent="0.25">
      <c r="AE753" s="107" t="s">
        <v>3519</v>
      </c>
      <c r="AF753" s="1">
        <v>0</v>
      </c>
    </row>
    <row r="754" spans="31:32" x14ac:dyDescent="0.25">
      <c r="AE754" s="107" t="s">
        <v>3872</v>
      </c>
      <c r="AF754" s="1">
        <v>0</v>
      </c>
    </row>
    <row r="755" spans="31:32" x14ac:dyDescent="0.25">
      <c r="AE755" s="107" t="s">
        <v>3521</v>
      </c>
      <c r="AF755" s="1">
        <v>0</v>
      </c>
    </row>
    <row r="756" spans="31:32" x14ac:dyDescent="0.25">
      <c r="AE756" s="107" t="s">
        <v>3970</v>
      </c>
      <c r="AF756" s="1">
        <v>0</v>
      </c>
    </row>
    <row r="757" spans="31:32" x14ac:dyDescent="0.25">
      <c r="AE757" s="107" t="s">
        <v>3479</v>
      </c>
      <c r="AF757" s="1">
        <v>0</v>
      </c>
    </row>
    <row r="758" spans="31:32" x14ac:dyDescent="0.25">
      <c r="AE758" s="107" t="s">
        <v>3809</v>
      </c>
      <c r="AF758" s="1">
        <v>0</v>
      </c>
    </row>
    <row r="759" spans="31:32" x14ac:dyDescent="0.25">
      <c r="AE759" s="107" t="s">
        <v>5075</v>
      </c>
      <c r="AF759" s="1">
        <v>0</v>
      </c>
    </row>
    <row r="760" spans="31:32" x14ac:dyDescent="0.25">
      <c r="AE760" s="107" t="s">
        <v>3898</v>
      </c>
      <c r="AF760" s="1">
        <v>0</v>
      </c>
    </row>
    <row r="761" spans="31:32" x14ac:dyDescent="0.25">
      <c r="AE761" s="107" t="s">
        <v>617</v>
      </c>
      <c r="AF761" s="1">
        <v>0</v>
      </c>
    </row>
    <row r="762" spans="31:32" x14ac:dyDescent="0.25">
      <c r="AE762" s="107" t="s">
        <v>3835</v>
      </c>
      <c r="AF762" s="1">
        <v>0</v>
      </c>
    </row>
    <row r="763" spans="31:32" x14ac:dyDescent="0.25">
      <c r="AE763" s="107" t="s">
        <v>3453</v>
      </c>
      <c r="AF763" s="1">
        <v>0</v>
      </c>
    </row>
    <row r="764" spans="31:32" x14ac:dyDescent="0.25">
      <c r="AE764" s="107" t="s">
        <v>3785</v>
      </c>
      <c r="AF764" s="1">
        <v>0</v>
      </c>
    </row>
    <row r="765" spans="31:32" x14ac:dyDescent="0.25">
      <c r="AE765" s="107" t="s">
        <v>3551</v>
      </c>
      <c r="AF765" s="1">
        <v>0</v>
      </c>
    </row>
    <row r="766" spans="31:32" x14ac:dyDescent="0.25">
      <c r="AE766" s="107" t="s">
        <v>3777</v>
      </c>
      <c r="AF766" s="1">
        <v>0</v>
      </c>
    </row>
    <row r="767" spans="31:32" x14ac:dyDescent="0.25">
      <c r="AE767" s="107" t="s">
        <v>3549</v>
      </c>
      <c r="AF767" s="1">
        <v>0</v>
      </c>
    </row>
    <row r="768" spans="31:32" x14ac:dyDescent="0.25">
      <c r="AE768" s="107" t="s">
        <v>4013</v>
      </c>
      <c r="AF768" s="1">
        <v>0</v>
      </c>
    </row>
    <row r="769" spans="31:32" x14ac:dyDescent="0.25">
      <c r="AE769" s="107" t="s">
        <v>3553</v>
      </c>
      <c r="AF769" s="1">
        <v>0</v>
      </c>
    </row>
    <row r="770" spans="31:32" x14ac:dyDescent="0.25">
      <c r="AE770" s="107" t="s">
        <v>3308</v>
      </c>
      <c r="AF770" s="1">
        <v>0</v>
      </c>
    </row>
    <row r="771" spans="31:32" x14ac:dyDescent="0.25">
      <c r="AE771" s="107" t="s">
        <v>3525</v>
      </c>
      <c r="AF771" s="1">
        <v>0</v>
      </c>
    </row>
    <row r="772" spans="31:32" x14ac:dyDescent="0.25">
      <c r="AE772" s="107" t="s">
        <v>4751</v>
      </c>
      <c r="AF772" s="1">
        <v>0</v>
      </c>
    </row>
    <row r="773" spans="31:32" x14ac:dyDescent="0.25">
      <c r="AE773" s="107" t="s">
        <v>3912</v>
      </c>
      <c r="AF773" s="1">
        <v>0</v>
      </c>
    </row>
    <row r="774" spans="31:32" x14ac:dyDescent="0.25">
      <c r="AE774" s="107" t="s">
        <v>3134</v>
      </c>
      <c r="AF774" s="1">
        <v>0</v>
      </c>
    </row>
    <row r="775" spans="31:32" x14ac:dyDescent="0.25">
      <c r="AE775" s="107" t="s">
        <v>2588</v>
      </c>
      <c r="AF775" s="1">
        <v>0</v>
      </c>
    </row>
    <row r="776" spans="31:32" x14ac:dyDescent="0.25">
      <c r="AE776" s="107" t="s">
        <v>3252</v>
      </c>
      <c r="AF776" s="1">
        <v>0</v>
      </c>
    </row>
    <row r="777" spans="31:32" x14ac:dyDescent="0.25">
      <c r="AE777" s="107" t="s">
        <v>2976</v>
      </c>
      <c r="AF777" s="1">
        <v>0</v>
      </c>
    </row>
    <row r="778" spans="31:32" x14ac:dyDescent="0.25">
      <c r="AE778" s="107" t="s">
        <v>3084</v>
      </c>
      <c r="AF778" s="1">
        <v>0</v>
      </c>
    </row>
    <row r="779" spans="31:32" x14ac:dyDescent="0.25">
      <c r="AE779" s="107" t="s">
        <v>752</v>
      </c>
      <c r="AF779" s="1">
        <v>0</v>
      </c>
    </row>
    <row r="780" spans="31:32" x14ac:dyDescent="0.25">
      <c r="AE780" s="107" t="s">
        <v>3116</v>
      </c>
      <c r="AF780" s="1">
        <v>0</v>
      </c>
    </row>
    <row r="781" spans="31:32" x14ac:dyDescent="0.25">
      <c r="AE781" s="107" t="s">
        <v>2646</v>
      </c>
      <c r="AF781" s="1">
        <v>0</v>
      </c>
    </row>
    <row r="782" spans="31:32" x14ac:dyDescent="0.25">
      <c r="AE782" s="107" t="s">
        <v>3086</v>
      </c>
      <c r="AF782" s="1">
        <v>0</v>
      </c>
    </row>
    <row r="783" spans="31:32" x14ac:dyDescent="0.25">
      <c r="AE783" s="107" t="s">
        <v>2580</v>
      </c>
      <c r="AF783" s="1">
        <v>0</v>
      </c>
    </row>
    <row r="784" spans="31:32" x14ac:dyDescent="0.25">
      <c r="AE784" s="107" t="s">
        <v>407</v>
      </c>
      <c r="AF784" s="1">
        <v>0</v>
      </c>
    </row>
    <row r="785" spans="31:32" x14ac:dyDescent="0.25">
      <c r="AE785" s="107" t="s">
        <v>2990</v>
      </c>
      <c r="AF785" s="1">
        <v>0</v>
      </c>
    </row>
    <row r="786" spans="31:32" x14ac:dyDescent="0.25">
      <c r="AE786" s="107" t="s">
        <v>3054</v>
      </c>
      <c r="AF786" s="1">
        <v>0</v>
      </c>
    </row>
    <row r="787" spans="31:32" x14ac:dyDescent="0.25">
      <c r="AE787" s="107" t="s">
        <v>2942</v>
      </c>
      <c r="AF787" s="1">
        <v>0</v>
      </c>
    </row>
    <row r="788" spans="31:32" x14ac:dyDescent="0.25">
      <c r="AE788" s="107" t="s">
        <v>3094</v>
      </c>
      <c r="AF788" s="1">
        <v>0</v>
      </c>
    </row>
    <row r="789" spans="31:32" x14ac:dyDescent="0.25">
      <c r="AE789" s="107" t="s">
        <v>2596</v>
      </c>
      <c r="AF789" s="1">
        <v>0</v>
      </c>
    </row>
    <row r="790" spans="31:32" x14ac:dyDescent="0.25">
      <c r="AE790" s="107" t="s">
        <v>4614</v>
      </c>
      <c r="AF790" s="1">
        <v>0</v>
      </c>
    </row>
    <row r="791" spans="31:32" x14ac:dyDescent="0.25">
      <c r="AE791" s="107" t="s">
        <v>2604</v>
      </c>
      <c r="AF791" s="1">
        <v>0</v>
      </c>
    </row>
    <row r="792" spans="31:32" x14ac:dyDescent="0.25">
      <c r="AE792" s="107" t="s">
        <v>3118</v>
      </c>
      <c r="AF792" s="1">
        <v>0</v>
      </c>
    </row>
    <row r="793" spans="31:32" x14ac:dyDescent="0.25">
      <c r="AE793" s="107" t="s">
        <v>2876</v>
      </c>
      <c r="AF793" s="1">
        <v>0</v>
      </c>
    </row>
    <row r="794" spans="31:32" x14ac:dyDescent="0.25">
      <c r="AE794" s="107" t="s">
        <v>3124</v>
      </c>
      <c r="AF794" s="1">
        <v>0</v>
      </c>
    </row>
    <row r="795" spans="31:32" x14ac:dyDescent="0.25">
      <c r="AE795" s="107" t="s">
        <v>2858</v>
      </c>
      <c r="AF795" s="1">
        <v>0</v>
      </c>
    </row>
    <row r="796" spans="31:32" x14ac:dyDescent="0.25">
      <c r="AE796" s="107" t="s">
        <v>3204</v>
      </c>
      <c r="AF796" s="1">
        <v>0</v>
      </c>
    </row>
    <row r="797" spans="31:32" x14ac:dyDescent="0.25">
      <c r="AE797" s="107" t="s">
        <v>2964</v>
      </c>
      <c r="AF797" s="1">
        <v>0</v>
      </c>
    </row>
    <row r="798" spans="31:32" x14ac:dyDescent="0.25">
      <c r="AE798" s="107" t="s">
        <v>3246</v>
      </c>
      <c r="AF798" s="1">
        <v>0</v>
      </c>
    </row>
    <row r="799" spans="31:32" x14ac:dyDescent="0.25">
      <c r="AE799" s="107" t="s">
        <v>2640</v>
      </c>
      <c r="AF799" s="1">
        <v>0</v>
      </c>
    </row>
    <row r="800" spans="31:32" x14ac:dyDescent="0.25">
      <c r="AE800" s="107" t="s">
        <v>3290</v>
      </c>
      <c r="AF800" s="1">
        <v>0</v>
      </c>
    </row>
    <row r="801" spans="31:32" x14ac:dyDescent="0.25">
      <c r="AE801" s="107" t="s">
        <v>2832</v>
      </c>
      <c r="AF801" s="1">
        <v>0</v>
      </c>
    </row>
    <row r="802" spans="31:32" x14ac:dyDescent="0.25">
      <c r="AE802" s="107" t="s">
        <v>3180</v>
      </c>
      <c r="AF802" s="1">
        <v>0</v>
      </c>
    </row>
    <row r="803" spans="31:32" x14ac:dyDescent="0.25">
      <c r="AE803" s="107" t="s">
        <v>2624</v>
      </c>
      <c r="AF803" s="1">
        <v>0</v>
      </c>
    </row>
    <row r="804" spans="31:32" x14ac:dyDescent="0.25">
      <c r="AE804" s="107" t="s">
        <v>3176</v>
      </c>
      <c r="AF804" s="1">
        <v>0</v>
      </c>
    </row>
    <row r="805" spans="31:32" x14ac:dyDescent="0.25">
      <c r="AE805" s="107" t="s">
        <v>4971</v>
      </c>
      <c r="AF805" s="1">
        <v>0</v>
      </c>
    </row>
    <row r="806" spans="31:32" x14ac:dyDescent="0.25">
      <c r="AE806" s="107" t="s">
        <v>3088</v>
      </c>
      <c r="AF806" s="1">
        <v>0</v>
      </c>
    </row>
    <row r="807" spans="31:32" x14ac:dyDescent="0.25">
      <c r="AE807" s="107" t="s">
        <v>2652</v>
      </c>
      <c r="AF807" s="1">
        <v>0</v>
      </c>
    </row>
    <row r="808" spans="31:32" x14ac:dyDescent="0.25">
      <c r="AE808" s="107" t="s">
        <v>3114</v>
      </c>
      <c r="AF808" s="1">
        <v>0</v>
      </c>
    </row>
    <row r="809" spans="31:32" x14ac:dyDescent="0.25">
      <c r="AE809" s="107" t="s">
        <v>2594</v>
      </c>
      <c r="AF809" s="1">
        <v>0</v>
      </c>
    </row>
    <row r="810" spans="31:32" x14ac:dyDescent="0.25">
      <c r="AE810" s="107" t="s">
        <v>3196</v>
      </c>
      <c r="AF810" s="1">
        <v>0</v>
      </c>
    </row>
    <row r="811" spans="31:32" x14ac:dyDescent="0.25">
      <c r="AE811" s="107" t="s">
        <v>2966</v>
      </c>
      <c r="AF811" s="1">
        <v>0</v>
      </c>
    </row>
    <row r="812" spans="31:32" x14ac:dyDescent="0.25">
      <c r="AE812" s="107" t="s">
        <v>3102</v>
      </c>
      <c r="AF812" s="1">
        <v>0</v>
      </c>
    </row>
    <row r="813" spans="31:32" x14ac:dyDescent="0.25">
      <c r="AE813" s="107" t="s">
        <v>2946</v>
      </c>
      <c r="AF813" s="1">
        <v>0</v>
      </c>
    </row>
    <row r="814" spans="31:32" x14ac:dyDescent="0.25">
      <c r="AE814" s="107" t="s">
        <v>3106</v>
      </c>
      <c r="AF814" s="1">
        <v>0</v>
      </c>
    </row>
    <row r="815" spans="31:32" x14ac:dyDescent="0.25">
      <c r="AE815" s="107" t="s">
        <v>2910</v>
      </c>
      <c r="AF815" s="1">
        <v>0</v>
      </c>
    </row>
    <row r="816" spans="31:32" x14ac:dyDescent="0.25">
      <c r="AE816" s="107" t="s">
        <v>3152</v>
      </c>
      <c r="AF816" s="1">
        <v>0</v>
      </c>
    </row>
    <row r="817" spans="31:32" x14ac:dyDescent="0.25">
      <c r="AE817" s="107" t="s">
        <v>1783</v>
      </c>
      <c r="AF817" s="1">
        <v>0</v>
      </c>
    </row>
    <row r="818" spans="31:32" x14ac:dyDescent="0.25">
      <c r="AE818" s="107" t="s">
        <v>3188</v>
      </c>
      <c r="AF818" s="1">
        <v>0</v>
      </c>
    </row>
    <row r="819" spans="31:32" x14ac:dyDescent="0.25">
      <c r="AE819" s="107" t="s">
        <v>1755</v>
      </c>
      <c r="AF819" s="1">
        <v>0</v>
      </c>
    </row>
    <row r="820" spans="31:32" x14ac:dyDescent="0.25">
      <c r="AE820" s="107" t="s">
        <v>3214</v>
      </c>
      <c r="AF820" s="1">
        <v>0</v>
      </c>
    </row>
    <row r="821" spans="31:32" x14ac:dyDescent="0.25">
      <c r="AE821" s="107" t="s">
        <v>1759</v>
      </c>
      <c r="AF821" s="1">
        <v>0</v>
      </c>
    </row>
    <row r="822" spans="31:32" x14ac:dyDescent="0.25">
      <c r="AE822" s="107" t="s">
        <v>3060</v>
      </c>
      <c r="AF822" s="1">
        <v>0</v>
      </c>
    </row>
    <row r="823" spans="31:32" x14ac:dyDescent="0.25">
      <c r="AE823" s="107" t="s">
        <v>2697</v>
      </c>
      <c r="AF823" s="1">
        <v>0</v>
      </c>
    </row>
    <row r="824" spans="31:32" x14ac:dyDescent="0.25">
      <c r="AE824" s="107" t="s">
        <v>3228</v>
      </c>
      <c r="AF824" s="1">
        <v>0</v>
      </c>
    </row>
    <row r="825" spans="31:32" x14ac:dyDescent="0.25">
      <c r="AE825" s="107" t="s">
        <v>2707</v>
      </c>
      <c r="AF825" s="1">
        <v>0</v>
      </c>
    </row>
    <row r="826" spans="31:32" x14ac:dyDescent="0.25">
      <c r="AE826" s="107" t="s">
        <v>589</v>
      </c>
      <c r="AF826" s="1">
        <v>0</v>
      </c>
    </row>
    <row r="827" spans="31:32" x14ac:dyDescent="0.25">
      <c r="AE827" s="107" t="s">
        <v>2713</v>
      </c>
      <c r="AF827" s="1">
        <v>0</v>
      </c>
    </row>
    <row r="828" spans="31:32" x14ac:dyDescent="0.25">
      <c r="AE828" s="107" t="s">
        <v>3264</v>
      </c>
      <c r="AF828" s="1">
        <v>0</v>
      </c>
    </row>
    <row r="829" spans="31:32" x14ac:dyDescent="0.25">
      <c r="AE829" s="107" t="s">
        <v>2709</v>
      </c>
      <c r="AF829" s="1">
        <v>0</v>
      </c>
    </row>
    <row r="830" spans="31:32" x14ac:dyDescent="0.25">
      <c r="AE830" s="107" t="s">
        <v>3286</v>
      </c>
      <c r="AF830" s="1">
        <v>0</v>
      </c>
    </row>
    <row r="831" spans="31:32" x14ac:dyDescent="0.25">
      <c r="AE831" s="107" t="s">
        <v>1931</v>
      </c>
      <c r="AF831" s="1">
        <v>0</v>
      </c>
    </row>
    <row r="832" spans="31:32" x14ac:dyDescent="0.25">
      <c r="AE832" s="107" t="s">
        <v>3298</v>
      </c>
      <c r="AF832" s="1">
        <v>0</v>
      </c>
    </row>
    <row r="833" spans="31:32" x14ac:dyDescent="0.25">
      <c r="AE833" s="107" t="s">
        <v>2711</v>
      </c>
      <c r="AF833" s="1">
        <v>0</v>
      </c>
    </row>
    <row r="834" spans="31:32" x14ac:dyDescent="0.25">
      <c r="AE834" s="107" t="s">
        <v>3138</v>
      </c>
      <c r="AF834" s="1">
        <v>0</v>
      </c>
    </row>
    <row r="835" spans="31:32" x14ac:dyDescent="0.25">
      <c r="AE835" s="107" t="s">
        <v>2717</v>
      </c>
      <c r="AF835" s="1">
        <v>0</v>
      </c>
    </row>
    <row r="836" spans="31:32" x14ac:dyDescent="0.25">
      <c r="AE836" s="107" t="s">
        <v>3066</v>
      </c>
      <c r="AF836" s="1">
        <v>0</v>
      </c>
    </row>
    <row r="837" spans="31:32" x14ac:dyDescent="0.25">
      <c r="AE837" s="107" t="s">
        <v>1987</v>
      </c>
      <c r="AF837" s="1">
        <v>0</v>
      </c>
    </row>
    <row r="838" spans="31:32" x14ac:dyDescent="0.25">
      <c r="AE838" s="107" t="s">
        <v>3178</v>
      </c>
      <c r="AF838" s="1">
        <v>0</v>
      </c>
    </row>
    <row r="839" spans="31:32" x14ac:dyDescent="0.25">
      <c r="AE839" s="107" t="s">
        <v>543</v>
      </c>
      <c r="AF839" s="1">
        <v>0</v>
      </c>
    </row>
    <row r="840" spans="31:32" x14ac:dyDescent="0.25">
      <c r="AE840" s="107" t="s">
        <v>3056</v>
      </c>
      <c r="AF840" s="1">
        <v>0</v>
      </c>
    </row>
    <row r="841" spans="31:32" x14ac:dyDescent="0.25">
      <c r="AE841" s="107" t="s">
        <v>4891</v>
      </c>
      <c r="AF841" s="1">
        <v>0</v>
      </c>
    </row>
    <row r="842" spans="31:32" x14ac:dyDescent="0.25">
      <c r="AE842" s="107" t="s">
        <v>5029</v>
      </c>
      <c r="AF842" s="1">
        <v>0</v>
      </c>
    </row>
    <row r="843" spans="31:32" x14ac:dyDescent="0.25">
      <c r="AE843" s="107" t="s">
        <v>2741</v>
      </c>
      <c r="AF843" s="1">
        <v>0</v>
      </c>
    </row>
    <row r="844" spans="31:32" x14ac:dyDescent="0.25">
      <c r="AE844" s="107" t="s">
        <v>3090</v>
      </c>
      <c r="AF844" s="1">
        <v>0</v>
      </c>
    </row>
    <row r="845" spans="31:32" x14ac:dyDescent="0.25">
      <c r="AE845" s="107" t="s">
        <v>2747</v>
      </c>
      <c r="AF845" s="1">
        <v>0</v>
      </c>
    </row>
    <row r="846" spans="31:32" x14ac:dyDescent="0.25">
      <c r="AE846" s="107" t="s">
        <v>3194</v>
      </c>
      <c r="AF846" s="1">
        <v>0</v>
      </c>
    </row>
    <row r="847" spans="31:32" x14ac:dyDescent="0.25">
      <c r="AE847" s="107" t="s">
        <v>2822</v>
      </c>
      <c r="AF847" s="1">
        <v>0</v>
      </c>
    </row>
    <row r="848" spans="31:32" x14ac:dyDescent="0.25">
      <c r="AE848" s="107" t="s">
        <v>2492</v>
      </c>
      <c r="AF848" s="1">
        <v>0</v>
      </c>
    </row>
    <row r="849" spans="31:32" x14ac:dyDescent="0.25">
      <c r="AE849" s="107" t="s">
        <v>2351</v>
      </c>
      <c r="AF849" s="1">
        <v>0</v>
      </c>
    </row>
    <row r="850" spans="31:32" x14ac:dyDescent="0.25">
      <c r="AE850" s="107" t="s">
        <v>4683</v>
      </c>
      <c r="AF850" s="1">
        <v>0</v>
      </c>
    </row>
    <row r="851" spans="31:32" x14ac:dyDescent="0.25">
      <c r="AE851" s="107" t="s">
        <v>2502</v>
      </c>
      <c r="AF851" s="1">
        <v>0</v>
      </c>
    </row>
    <row r="852" spans="31:32" x14ac:dyDescent="0.25">
      <c r="AE852" s="107" t="s">
        <v>3076</v>
      </c>
      <c r="AF852" s="1">
        <v>0</v>
      </c>
    </row>
    <row r="853" spans="31:32" x14ac:dyDescent="0.25">
      <c r="AE853" s="107" t="s">
        <v>2765</v>
      </c>
      <c r="AF853" s="1">
        <v>0</v>
      </c>
    </row>
    <row r="854" spans="31:32" x14ac:dyDescent="0.25">
      <c r="AE854" s="107" t="s">
        <v>3096</v>
      </c>
      <c r="AF854" s="1">
        <v>0</v>
      </c>
    </row>
    <row r="855" spans="31:32" x14ac:dyDescent="0.25">
      <c r="AE855" s="107" t="s">
        <v>2856</v>
      </c>
      <c r="AF855" s="1">
        <v>0</v>
      </c>
    </row>
    <row r="856" spans="31:32" x14ac:dyDescent="0.25">
      <c r="AE856" s="107" t="s">
        <v>3104</v>
      </c>
      <c r="AF856" s="1">
        <v>0</v>
      </c>
    </row>
    <row r="857" spans="31:32" x14ac:dyDescent="0.25">
      <c r="AE857" s="107" t="s">
        <v>2812</v>
      </c>
      <c r="AF857" s="1">
        <v>0</v>
      </c>
    </row>
    <row r="858" spans="31:32" x14ac:dyDescent="0.25">
      <c r="AE858" s="107" t="s">
        <v>3130</v>
      </c>
      <c r="AF858" s="1">
        <v>0</v>
      </c>
    </row>
    <row r="859" spans="31:32" x14ac:dyDescent="0.25">
      <c r="AE859" s="107" t="s">
        <v>2800</v>
      </c>
      <c r="AF859" s="1">
        <v>0</v>
      </c>
    </row>
    <row r="860" spans="31:32" x14ac:dyDescent="0.25">
      <c r="AE860" s="107" t="s">
        <v>3072</v>
      </c>
      <c r="AF860" s="1">
        <v>0</v>
      </c>
    </row>
    <row r="861" spans="31:32" x14ac:dyDescent="0.25">
      <c r="AE861" s="107" t="s">
        <v>3000</v>
      </c>
      <c r="AF861" s="1">
        <v>0</v>
      </c>
    </row>
    <row r="862" spans="31:32" x14ac:dyDescent="0.25">
      <c r="AE862" s="107" t="s">
        <v>3148</v>
      </c>
      <c r="AF862" s="1">
        <v>0</v>
      </c>
    </row>
    <row r="863" spans="31:32" x14ac:dyDescent="0.25">
      <c r="AE863" s="107" t="s">
        <v>2884</v>
      </c>
      <c r="AF863" s="1">
        <v>0</v>
      </c>
    </row>
    <row r="864" spans="31:32" x14ac:dyDescent="0.25">
      <c r="AE864" s="107" t="s">
        <v>3150</v>
      </c>
      <c r="AF864" s="1">
        <v>0</v>
      </c>
    </row>
    <row r="865" spans="31:32" x14ac:dyDescent="0.25">
      <c r="AE865" s="107" t="s">
        <v>4987</v>
      </c>
      <c r="AF865" s="1">
        <v>0</v>
      </c>
    </row>
    <row r="866" spans="31:32" x14ac:dyDescent="0.25">
      <c r="AE866" s="107" t="s">
        <v>3200</v>
      </c>
      <c r="AF866" s="1">
        <v>0</v>
      </c>
    </row>
    <row r="867" spans="31:32" x14ac:dyDescent="0.25">
      <c r="AE867" s="107" t="s">
        <v>2628</v>
      </c>
      <c r="AF867" s="1">
        <v>0</v>
      </c>
    </row>
    <row r="868" spans="31:32" x14ac:dyDescent="0.25">
      <c r="AE868" s="107" t="s">
        <v>1494</v>
      </c>
      <c r="AF868" s="1">
        <v>0</v>
      </c>
    </row>
    <row r="869" spans="31:32" x14ac:dyDescent="0.25">
      <c r="AE869" s="107" t="s">
        <v>3663</v>
      </c>
      <c r="AF869" s="1">
        <v>0</v>
      </c>
    </row>
    <row r="870" spans="31:32" x14ac:dyDescent="0.25">
      <c r="AE870" s="107" t="s">
        <v>3164</v>
      </c>
      <c r="AF870" s="1">
        <v>0</v>
      </c>
    </row>
    <row r="871" spans="31:32" x14ac:dyDescent="0.25">
      <c r="AE871" s="107" t="s">
        <v>3705</v>
      </c>
      <c r="AF871" s="1">
        <v>0</v>
      </c>
    </row>
    <row r="872" spans="31:32" x14ac:dyDescent="0.25">
      <c r="AE872" s="107" t="s">
        <v>3112</v>
      </c>
      <c r="AF872" s="1">
        <v>0</v>
      </c>
    </row>
    <row r="873" spans="31:32" x14ac:dyDescent="0.25">
      <c r="AE873" s="107" t="s">
        <v>2920</v>
      </c>
      <c r="AF873" s="1">
        <v>0</v>
      </c>
    </row>
    <row r="874" spans="31:32" x14ac:dyDescent="0.25">
      <c r="AE874" s="107" t="s">
        <v>3154</v>
      </c>
      <c r="AF874" s="1">
        <v>0</v>
      </c>
    </row>
    <row r="875" spans="31:32" x14ac:dyDescent="0.25">
      <c r="AE875" s="107" t="s">
        <v>3787</v>
      </c>
      <c r="AF875" s="1">
        <v>0</v>
      </c>
    </row>
    <row r="876" spans="31:32" x14ac:dyDescent="0.25">
      <c r="AE876" s="107" t="s">
        <v>3202</v>
      </c>
      <c r="AF876" s="1">
        <v>0</v>
      </c>
    </row>
    <row r="877" spans="31:32" x14ac:dyDescent="0.25">
      <c r="AE877" s="107" t="s">
        <v>2958</v>
      </c>
      <c r="AF877" s="1">
        <v>0</v>
      </c>
    </row>
    <row r="878" spans="31:32" x14ac:dyDescent="0.25">
      <c r="AE878" s="107" t="s">
        <v>3210</v>
      </c>
      <c r="AF878" s="1">
        <v>0</v>
      </c>
    </row>
    <row r="879" spans="31:32" x14ac:dyDescent="0.25">
      <c r="AE879" s="107" t="s">
        <v>2928</v>
      </c>
      <c r="AF879" s="1">
        <v>0</v>
      </c>
    </row>
    <row r="880" spans="31:32" x14ac:dyDescent="0.25">
      <c r="AE880" s="107" t="s">
        <v>3224</v>
      </c>
      <c r="AF880" s="1">
        <v>0</v>
      </c>
    </row>
    <row r="881" spans="31:32" x14ac:dyDescent="0.25">
      <c r="AE881" s="107" t="s">
        <v>2934</v>
      </c>
      <c r="AF881" s="1">
        <v>0</v>
      </c>
    </row>
    <row r="882" spans="31:32" x14ac:dyDescent="0.25">
      <c r="AE882" s="107" t="s">
        <v>3270</v>
      </c>
      <c r="AF882" s="1">
        <v>0</v>
      </c>
    </row>
    <row r="883" spans="31:32" x14ac:dyDescent="0.25">
      <c r="AE883" s="107" t="s">
        <v>2926</v>
      </c>
      <c r="AF883" s="1">
        <v>0</v>
      </c>
    </row>
    <row r="884" spans="31:32" x14ac:dyDescent="0.25">
      <c r="AE884" s="107" t="s">
        <v>3240</v>
      </c>
      <c r="AF884" s="1">
        <v>0</v>
      </c>
    </row>
    <row r="885" spans="31:32" x14ac:dyDescent="0.25">
      <c r="AE885" s="107" t="s">
        <v>2838</v>
      </c>
      <c r="AF885" s="1">
        <v>0</v>
      </c>
    </row>
    <row r="886" spans="31:32" x14ac:dyDescent="0.25">
      <c r="AE886" s="107" t="s">
        <v>3250</v>
      </c>
      <c r="AF886" s="1">
        <v>0</v>
      </c>
    </row>
    <row r="887" spans="31:32" x14ac:dyDescent="0.25">
      <c r="AE887" s="107" t="s">
        <v>3008</v>
      </c>
      <c r="AF887" s="1">
        <v>0</v>
      </c>
    </row>
    <row r="888" spans="31:32" x14ac:dyDescent="0.25">
      <c r="AE888" s="107" t="s">
        <v>3232</v>
      </c>
      <c r="AF888" s="1">
        <v>0</v>
      </c>
    </row>
    <row r="889" spans="31:32" x14ac:dyDescent="0.25">
      <c r="AE889" s="107" t="s">
        <v>4346</v>
      </c>
      <c r="AF889" s="1">
        <v>0</v>
      </c>
    </row>
    <row r="890" spans="31:32" x14ac:dyDescent="0.25">
      <c r="AE890" s="107" t="s">
        <v>3260</v>
      </c>
      <c r="AF890" s="1">
        <v>0</v>
      </c>
    </row>
    <row r="891" spans="31:32" x14ac:dyDescent="0.25">
      <c r="AE891" s="107" t="s">
        <v>4488</v>
      </c>
      <c r="AF891" s="1">
        <v>0</v>
      </c>
    </row>
    <row r="892" spans="31:32" x14ac:dyDescent="0.25">
      <c r="AE892" s="107" t="s">
        <v>3234</v>
      </c>
      <c r="AF892" s="1">
        <v>0</v>
      </c>
    </row>
    <row r="893" spans="31:32" x14ac:dyDescent="0.25">
      <c r="AE893" s="107" t="s">
        <v>5224</v>
      </c>
      <c r="AF893" s="1">
        <v>0</v>
      </c>
    </row>
    <row r="894" spans="31:32" x14ac:dyDescent="0.25">
      <c r="AE894" s="107" t="s">
        <v>3319</v>
      </c>
      <c r="AF894" s="1">
        <v>0</v>
      </c>
    </row>
    <row r="895" spans="31:32" x14ac:dyDescent="0.25">
      <c r="AE895" s="107" t="s">
        <v>2866</v>
      </c>
      <c r="AF895" s="1">
        <v>0</v>
      </c>
    </row>
    <row r="896" spans="31:32" x14ac:dyDescent="0.25">
      <c r="AE896" s="107" t="s">
        <v>3310</v>
      </c>
      <c r="AF896" s="1">
        <v>0</v>
      </c>
    </row>
    <row r="897" spans="31:32" x14ac:dyDescent="0.25">
      <c r="AE897" s="107" t="s">
        <v>4991</v>
      </c>
      <c r="AF897" s="1">
        <v>0</v>
      </c>
    </row>
    <row r="898" spans="31:32" x14ac:dyDescent="0.25">
      <c r="AE898" s="107" t="s">
        <v>3306</v>
      </c>
      <c r="AF898" s="1">
        <v>0</v>
      </c>
    </row>
    <row r="899" spans="31:32" x14ac:dyDescent="0.25">
      <c r="AE899" s="107" t="s">
        <v>2954</v>
      </c>
      <c r="AF899" s="1">
        <v>0</v>
      </c>
    </row>
    <row r="900" spans="31:32" x14ac:dyDescent="0.25">
      <c r="AE900" s="107" t="s">
        <v>3170</v>
      </c>
      <c r="AF900" s="1">
        <v>0</v>
      </c>
    </row>
    <row r="901" spans="31:32" x14ac:dyDescent="0.25">
      <c r="AE901" s="107" t="s">
        <v>2924</v>
      </c>
      <c r="AF901" s="1">
        <v>0</v>
      </c>
    </row>
    <row r="902" spans="31:32" x14ac:dyDescent="0.25">
      <c r="AE902" s="107" t="s">
        <v>3168</v>
      </c>
      <c r="AF902" s="1">
        <v>0</v>
      </c>
    </row>
    <row r="903" spans="31:32" x14ac:dyDescent="0.25">
      <c r="AE903" s="107" t="s">
        <v>2868</v>
      </c>
      <c r="AF903" s="1">
        <v>0</v>
      </c>
    </row>
    <row r="904" spans="31:32" x14ac:dyDescent="0.25">
      <c r="AE904" s="107" t="s">
        <v>5015</v>
      </c>
      <c r="AF904" s="1">
        <v>0</v>
      </c>
    </row>
    <row r="905" spans="31:32" x14ac:dyDescent="0.25">
      <c r="AE905" s="107" t="s">
        <v>2870</v>
      </c>
      <c r="AF905" s="1">
        <v>0</v>
      </c>
    </row>
    <row r="906" spans="31:32" x14ac:dyDescent="0.25">
      <c r="AE906" s="107" t="s">
        <v>3172</v>
      </c>
      <c r="AF906" s="1">
        <v>0</v>
      </c>
    </row>
    <row r="907" spans="31:32" x14ac:dyDescent="0.25">
      <c r="AE907" s="107" t="s">
        <v>2789</v>
      </c>
      <c r="AF907" s="1">
        <v>0</v>
      </c>
    </row>
    <row r="908" spans="31:32" x14ac:dyDescent="0.25">
      <c r="AE908" s="107" t="s">
        <v>5019</v>
      </c>
      <c r="AF908" s="1">
        <v>0</v>
      </c>
    </row>
    <row r="909" spans="31:32" x14ac:dyDescent="0.25">
      <c r="AE909" s="107" t="s">
        <v>2972</v>
      </c>
      <c r="AF909" s="1">
        <v>0</v>
      </c>
    </row>
    <row r="910" spans="31:32" x14ac:dyDescent="0.25">
      <c r="AE910" s="107" t="s">
        <v>3080</v>
      </c>
      <c r="AF910" s="1">
        <v>0</v>
      </c>
    </row>
    <row r="911" spans="31:32" x14ac:dyDescent="0.25">
      <c r="AE911" s="107" t="s">
        <v>1781</v>
      </c>
      <c r="AF911" s="1">
        <v>0</v>
      </c>
    </row>
    <row r="912" spans="31:32" x14ac:dyDescent="0.25">
      <c r="AE912" s="107" t="s">
        <v>3064</v>
      </c>
      <c r="AF912" s="1">
        <v>0</v>
      </c>
    </row>
    <row r="913" spans="31:32" x14ac:dyDescent="0.25">
      <c r="AE913" s="107" t="s">
        <v>2626</v>
      </c>
      <c r="AF913" s="1">
        <v>0</v>
      </c>
    </row>
    <row r="914" spans="31:32" x14ac:dyDescent="0.25">
      <c r="AE914" s="107" t="s">
        <v>3098</v>
      </c>
      <c r="AF914" s="1">
        <v>0</v>
      </c>
    </row>
    <row r="915" spans="31:32" x14ac:dyDescent="0.25">
      <c r="AE915" s="107" t="s">
        <v>4975</v>
      </c>
      <c r="AF915" s="1">
        <v>0</v>
      </c>
    </row>
    <row r="916" spans="31:32" x14ac:dyDescent="0.25">
      <c r="AE916" s="107" t="s">
        <v>3092</v>
      </c>
      <c r="AF916" s="1">
        <v>0</v>
      </c>
    </row>
    <row r="917" spans="31:32" x14ac:dyDescent="0.25">
      <c r="AE917" s="107" t="s">
        <v>2687</v>
      </c>
      <c r="AF917" s="1">
        <v>0</v>
      </c>
    </row>
    <row r="918" spans="31:32" x14ac:dyDescent="0.25">
      <c r="AE918" s="107" t="s">
        <v>5013</v>
      </c>
      <c r="AF918" s="1">
        <v>0</v>
      </c>
    </row>
    <row r="919" spans="31:32" x14ac:dyDescent="0.25">
      <c r="AE919" s="107" t="s">
        <v>2755</v>
      </c>
      <c r="AF919" s="1">
        <v>0</v>
      </c>
    </row>
    <row r="920" spans="31:32" x14ac:dyDescent="0.25">
      <c r="AE920" s="107" t="s">
        <v>3220</v>
      </c>
      <c r="AF920" s="1">
        <v>0</v>
      </c>
    </row>
    <row r="921" spans="31:32" x14ac:dyDescent="0.25">
      <c r="AE921" s="107" t="s">
        <v>4262</v>
      </c>
      <c r="AF921" s="1">
        <v>0</v>
      </c>
    </row>
    <row r="922" spans="31:32" x14ac:dyDescent="0.25">
      <c r="AE922" s="107" t="s">
        <v>3216</v>
      </c>
      <c r="AF922" s="1">
        <v>0</v>
      </c>
    </row>
    <row r="923" spans="31:32" x14ac:dyDescent="0.25">
      <c r="AE923" s="107" t="s">
        <v>2992</v>
      </c>
      <c r="AF923" s="1">
        <v>0</v>
      </c>
    </row>
    <row r="924" spans="31:32" x14ac:dyDescent="0.25">
      <c r="AE924" s="107" t="s">
        <v>3074</v>
      </c>
      <c r="AF924" s="1">
        <v>0</v>
      </c>
    </row>
    <row r="925" spans="31:32" x14ac:dyDescent="0.25">
      <c r="AE925" s="107" t="s">
        <v>2689</v>
      </c>
      <c r="AF925" s="1">
        <v>0</v>
      </c>
    </row>
    <row r="926" spans="31:32" x14ac:dyDescent="0.25">
      <c r="AE926" s="107" t="s">
        <v>3132</v>
      </c>
      <c r="AF926" s="1">
        <v>0</v>
      </c>
    </row>
    <row r="927" spans="31:32" x14ac:dyDescent="0.25">
      <c r="AE927" s="107" t="s">
        <v>2984</v>
      </c>
      <c r="AF927" s="1">
        <v>0</v>
      </c>
    </row>
    <row r="928" spans="31:32" x14ac:dyDescent="0.25">
      <c r="AE928" s="107" t="s">
        <v>3136</v>
      </c>
      <c r="AF928" s="1">
        <v>0</v>
      </c>
    </row>
    <row r="929" spans="31:32" x14ac:dyDescent="0.25">
      <c r="AE929" s="107" t="s">
        <v>3010</v>
      </c>
      <c r="AF929" s="1">
        <v>0</v>
      </c>
    </row>
    <row r="930" spans="31:32" x14ac:dyDescent="0.25">
      <c r="AE930" s="107" t="s">
        <v>3166</v>
      </c>
      <c r="AF930" s="1">
        <v>0</v>
      </c>
    </row>
    <row r="931" spans="31:32" x14ac:dyDescent="0.25">
      <c r="AE931" s="107" t="s">
        <v>4997</v>
      </c>
      <c r="AF931" s="1">
        <v>0</v>
      </c>
    </row>
    <row r="932" spans="31:32" x14ac:dyDescent="0.25">
      <c r="AE932" s="107" t="s">
        <v>3212</v>
      </c>
      <c r="AF932" s="1">
        <v>0</v>
      </c>
    </row>
    <row r="933" spans="31:32" x14ac:dyDescent="0.25">
      <c r="AE933" s="107" t="s">
        <v>2783</v>
      </c>
      <c r="AF933" s="1">
        <v>0</v>
      </c>
    </row>
    <row r="934" spans="31:32" x14ac:dyDescent="0.25">
      <c r="AE934" s="107" t="s">
        <v>3174</v>
      </c>
      <c r="AF934" s="1">
        <v>0</v>
      </c>
    </row>
    <row r="935" spans="31:32" x14ac:dyDescent="0.25">
      <c r="AE935" s="107" t="s">
        <v>2988</v>
      </c>
      <c r="AF935" s="1">
        <v>0</v>
      </c>
    </row>
    <row r="936" spans="31:32" x14ac:dyDescent="0.25">
      <c r="AE936" s="107" t="s">
        <v>4833</v>
      </c>
      <c r="AF936" s="1">
        <v>0</v>
      </c>
    </row>
    <row r="937" spans="31:32" x14ac:dyDescent="0.25">
      <c r="AE937" s="107" t="s">
        <v>2620</v>
      </c>
      <c r="AF937" s="1">
        <v>0</v>
      </c>
    </row>
    <row r="938" spans="31:32" x14ac:dyDescent="0.25">
      <c r="AE938" s="107" t="s">
        <v>3078</v>
      </c>
      <c r="AF938" s="1">
        <v>0</v>
      </c>
    </row>
    <row r="939" spans="31:32" x14ac:dyDescent="0.25">
      <c r="AE939" s="107" t="s">
        <v>3020</v>
      </c>
      <c r="AF939" s="1">
        <v>0</v>
      </c>
    </row>
    <row r="940" spans="31:32" x14ac:dyDescent="0.25">
      <c r="AE940" s="107" t="s">
        <v>3218</v>
      </c>
      <c r="AF940" s="1">
        <v>0</v>
      </c>
    </row>
    <row r="941" spans="31:32" x14ac:dyDescent="0.25">
      <c r="AE941" s="107" t="s">
        <v>1282</v>
      </c>
      <c r="AF941" s="1">
        <v>0</v>
      </c>
    </row>
    <row r="942" spans="31:32" x14ac:dyDescent="0.25">
      <c r="AE942" s="107" t="s">
        <v>3120</v>
      </c>
      <c r="AF942" s="1">
        <v>0</v>
      </c>
    </row>
    <row r="943" spans="31:32" x14ac:dyDescent="0.25">
      <c r="AE943" s="107" t="s">
        <v>2622</v>
      </c>
      <c r="AF943" s="1">
        <v>0</v>
      </c>
    </row>
    <row r="944" spans="31:32" x14ac:dyDescent="0.25">
      <c r="AE944" s="107" t="s">
        <v>3110</v>
      </c>
      <c r="AF944" s="1">
        <v>0</v>
      </c>
    </row>
    <row r="945" spans="31:32" x14ac:dyDescent="0.25">
      <c r="AE945" s="107" t="s">
        <v>2592</v>
      </c>
      <c r="AF945" s="1">
        <v>0</v>
      </c>
    </row>
    <row r="946" spans="31:32" x14ac:dyDescent="0.25">
      <c r="AE946" s="107" t="s">
        <v>972</v>
      </c>
      <c r="AF946" s="1">
        <v>0</v>
      </c>
    </row>
    <row r="947" spans="31:32" x14ac:dyDescent="0.25">
      <c r="AE947" s="107" t="s">
        <v>2638</v>
      </c>
      <c r="AF947" s="1">
        <v>0</v>
      </c>
    </row>
    <row r="948" spans="31:32" x14ac:dyDescent="0.25">
      <c r="AE948" s="107" t="s">
        <v>3156</v>
      </c>
      <c r="AF948" s="1">
        <v>0</v>
      </c>
    </row>
    <row r="949" spans="31:32" x14ac:dyDescent="0.25">
      <c r="AE949" s="107" t="s">
        <v>2618</v>
      </c>
      <c r="AF949" s="1">
        <v>0</v>
      </c>
    </row>
    <row r="950" spans="31:32" x14ac:dyDescent="0.25">
      <c r="AE950" s="107" t="s">
        <v>3140</v>
      </c>
      <c r="AF950" s="1">
        <v>0</v>
      </c>
    </row>
    <row r="951" spans="31:32" x14ac:dyDescent="0.25">
      <c r="AE951" s="107" t="s">
        <v>4793</v>
      </c>
      <c r="AF951" s="1">
        <v>0</v>
      </c>
    </row>
    <row r="952" spans="31:32" x14ac:dyDescent="0.25">
      <c r="AE952" s="107" t="s">
        <v>3142</v>
      </c>
      <c r="AF952" s="1">
        <v>0</v>
      </c>
    </row>
    <row r="953" spans="31:32" x14ac:dyDescent="0.25">
      <c r="AE953" s="107" t="s">
        <v>4215</v>
      </c>
      <c r="AF953" s="1">
        <v>0</v>
      </c>
    </row>
    <row r="954" spans="31:32" x14ac:dyDescent="0.25">
      <c r="AE954" s="107" t="s">
        <v>3062</v>
      </c>
      <c r="AF954" s="1">
        <v>0</v>
      </c>
    </row>
    <row r="955" spans="31:32" x14ac:dyDescent="0.25">
      <c r="AE955" s="107" t="s">
        <v>2978</v>
      </c>
      <c r="AF955" s="1">
        <v>0</v>
      </c>
    </row>
    <row r="956" spans="31:32" x14ac:dyDescent="0.25">
      <c r="AE956" s="107" t="s">
        <v>3122</v>
      </c>
      <c r="AF956" s="1">
        <v>0</v>
      </c>
    </row>
    <row r="957" spans="31:32" x14ac:dyDescent="0.25">
      <c r="AE957" s="107" t="s">
        <v>2691</v>
      </c>
      <c r="AF957" s="1">
        <v>0</v>
      </c>
    </row>
    <row r="958" spans="31:32" x14ac:dyDescent="0.25">
      <c r="AE958" s="107" t="s">
        <v>3186</v>
      </c>
      <c r="AF958" s="1">
        <v>0</v>
      </c>
    </row>
    <row r="959" spans="31:32" x14ac:dyDescent="0.25">
      <c r="AE959" s="107" t="s">
        <v>2450</v>
      </c>
      <c r="AF959" s="1">
        <v>0</v>
      </c>
    </row>
    <row r="960" spans="31:32" x14ac:dyDescent="0.25">
      <c r="AE960" s="107" t="s">
        <v>3144</v>
      </c>
      <c r="AF960" s="1">
        <v>0</v>
      </c>
    </row>
    <row r="961" spans="31:32" x14ac:dyDescent="0.25">
      <c r="AE961" s="107" t="s">
        <v>2982</v>
      </c>
      <c r="AF961" s="1">
        <v>0</v>
      </c>
    </row>
    <row r="962" spans="31:32" x14ac:dyDescent="0.25">
      <c r="AE962" s="107" t="s">
        <v>3146</v>
      </c>
      <c r="AF962" s="1">
        <v>0</v>
      </c>
    </row>
    <row r="963" spans="31:32" x14ac:dyDescent="0.25">
      <c r="AE963" s="107" t="s">
        <v>2930</v>
      </c>
      <c r="AF963" s="1">
        <v>0</v>
      </c>
    </row>
    <row r="964" spans="31:32" x14ac:dyDescent="0.25">
      <c r="AE964" s="107" t="s">
        <v>3190</v>
      </c>
      <c r="AF964" s="1">
        <v>0</v>
      </c>
    </row>
    <row r="965" spans="31:32" x14ac:dyDescent="0.25">
      <c r="AE965" s="107" t="s">
        <v>2830</v>
      </c>
      <c r="AF965" s="1">
        <v>0</v>
      </c>
    </row>
    <row r="966" spans="31:32" x14ac:dyDescent="0.25">
      <c r="AE966" s="107" t="s">
        <v>3068</v>
      </c>
      <c r="AF966" s="1">
        <v>0</v>
      </c>
    </row>
    <row r="967" spans="31:32" x14ac:dyDescent="0.25">
      <c r="AE967" s="107" t="s">
        <v>2898</v>
      </c>
      <c r="AF967" s="1">
        <v>0</v>
      </c>
    </row>
    <row r="968" spans="31:32" x14ac:dyDescent="0.25">
      <c r="AE968" s="107" t="s">
        <v>3192</v>
      </c>
      <c r="AF968" s="1">
        <v>0</v>
      </c>
    </row>
    <row r="969" spans="31:32" x14ac:dyDescent="0.25">
      <c r="AE969" s="107" t="s">
        <v>4973</v>
      </c>
      <c r="AF969" s="1">
        <v>0</v>
      </c>
    </row>
    <row r="970" spans="31:32" x14ac:dyDescent="0.25">
      <c r="AE970" s="107" t="s">
        <v>1424</v>
      </c>
      <c r="AF970" s="1">
        <v>0</v>
      </c>
    </row>
    <row r="971" spans="31:32" x14ac:dyDescent="0.25">
      <c r="AE971" s="107" t="s">
        <v>2699</v>
      </c>
      <c r="AF971" s="1">
        <v>0</v>
      </c>
    </row>
    <row r="972" spans="31:32" x14ac:dyDescent="0.25">
      <c r="AE972" s="107" t="s">
        <v>5023</v>
      </c>
      <c r="AF972" s="1">
        <v>0</v>
      </c>
    </row>
    <row r="973" spans="31:32" x14ac:dyDescent="0.25">
      <c r="AE973" s="107" t="s">
        <v>2836</v>
      </c>
      <c r="AF973" s="1">
        <v>0</v>
      </c>
    </row>
    <row r="974" spans="31:32" x14ac:dyDescent="0.25">
      <c r="AE974" s="107" t="s">
        <v>3198</v>
      </c>
      <c r="AF974" s="1">
        <v>0</v>
      </c>
    </row>
    <row r="975" spans="31:32" x14ac:dyDescent="0.25">
      <c r="AE975" s="107" t="s">
        <v>2749</v>
      </c>
      <c r="AF975" s="1">
        <v>0</v>
      </c>
    </row>
    <row r="976" spans="31:32" x14ac:dyDescent="0.25">
      <c r="AE976" s="107" t="s">
        <v>5017</v>
      </c>
      <c r="AF976" s="1">
        <v>0</v>
      </c>
    </row>
    <row r="977" spans="31:32" x14ac:dyDescent="0.25">
      <c r="AE977" s="107" t="s">
        <v>2572</v>
      </c>
      <c r="AF977" s="1">
        <v>0</v>
      </c>
    </row>
    <row r="978" spans="31:32" x14ac:dyDescent="0.25">
      <c r="AE978" s="107" t="s">
        <v>3162</v>
      </c>
      <c r="AF978" s="1">
        <v>0</v>
      </c>
    </row>
    <row r="979" spans="31:32" x14ac:dyDescent="0.25">
      <c r="AE979" s="107" t="s">
        <v>4979</v>
      </c>
      <c r="AF979" s="1">
        <v>0</v>
      </c>
    </row>
    <row r="980" spans="31:32" x14ac:dyDescent="0.25">
      <c r="AE980" s="107" t="s">
        <v>3916</v>
      </c>
      <c r="AF980" s="1">
        <v>0</v>
      </c>
    </row>
    <row r="981" spans="31:32" x14ac:dyDescent="0.25">
      <c r="AE981" s="107" t="s">
        <v>3038</v>
      </c>
      <c r="AF981" s="1">
        <v>0</v>
      </c>
    </row>
    <row r="982" spans="31:32" x14ac:dyDescent="0.25">
      <c r="AE982" s="107" t="s">
        <v>3206</v>
      </c>
      <c r="AF982" s="1">
        <v>0</v>
      </c>
    </row>
    <row r="983" spans="31:32" x14ac:dyDescent="0.25">
      <c r="AE983" s="107" t="s">
        <v>2986</v>
      </c>
      <c r="AF983" s="1">
        <v>0</v>
      </c>
    </row>
    <row r="984" spans="31:32" x14ac:dyDescent="0.25">
      <c r="AE984" s="107" t="s">
        <v>3208</v>
      </c>
      <c r="AF984" s="1">
        <v>0</v>
      </c>
    </row>
    <row r="985" spans="31:32" x14ac:dyDescent="0.25">
      <c r="AE985" s="107" t="s">
        <v>2544</v>
      </c>
      <c r="AF985" s="1">
        <v>0</v>
      </c>
    </row>
    <row r="986" spans="31:32" x14ac:dyDescent="0.25">
      <c r="AE986" s="107" t="s">
        <v>3126</v>
      </c>
      <c r="AF986" s="1">
        <v>0</v>
      </c>
    </row>
    <row r="987" spans="31:32" x14ac:dyDescent="0.25">
      <c r="AE987" s="107" t="s">
        <v>2802</v>
      </c>
      <c r="AF987" s="1">
        <v>0</v>
      </c>
    </row>
    <row r="988" spans="31:32" x14ac:dyDescent="0.25">
      <c r="AE988" s="107" t="s">
        <v>3222</v>
      </c>
      <c r="AF988" s="1">
        <v>0</v>
      </c>
    </row>
    <row r="989" spans="31:32" x14ac:dyDescent="0.25">
      <c r="AE989" s="107" t="s">
        <v>2994</v>
      </c>
      <c r="AF989" s="1">
        <v>0</v>
      </c>
    </row>
    <row r="990" spans="31:32" x14ac:dyDescent="0.25">
      <c r="AE990" s="107" t="s">
        <v>3182</v>
      </c>
      <c r="AF990" s="1">
        <v>0</v>
      </c>
    </row>
    <row r="991" spans="31:32" x14ac:dyDescent="0.25">
      <c r="AE991" s="107" t="s">
        <v>2703</v>
      </c>
      <c r="AF991" s="1">
        <v>0</v>
      </c>
    </row>
    <row r="992" spans="31:32" x14ac:dyDescent="0.25">
      <c r="AE992" s="107" t="s">
        <v>3226</v>
      </c>
      <c r="AF992" s="1">
        <v>0</v>
      </c>
    </row>
    <row r="993" spans="31:32" x14ac:dyDescent="0.25">
      <c r="AE993" s="107" t="s">
        <v>5170</v>
      </c>
      <c r="AF993" s="1">
        <v>0</v>
      </c>
    </row>
    <row r="994" spans="31:32" x14ac:dyDescent="0.25">
      <c r="AE994" s="107" t="s">
        <v>4113</v>
      </c>
      <c r="AF994" s="1">
        <v>0</v>
      </c>
    </row>
    <row r="995" spans="31:32" x14ac:dyDescent="0.25">
      <c r="AE995" s="107" t="s">
        <v>2980</v>
      </c>
      <c r="AF995" s="1">
        <v>0</v>
      </c>
    </row>
    <row r="996" spans="31:32" x14ac:dyDescent="0.25">
      <c r="AE996" s="107" t="s">
        <v>3268</v>
      </c>
      <c r="AF996" s="1">
        <v>0</v>
      </c>
    </row>
    <row r="997" spans="31:32" x14ac:dyDescent="0.25">
      <c r="AE997" s="107" t="s">
        <v>2940</v>
      </c>
      <c r="AF997" s="1">
        <v>0</v>
      </c>
    </row>
    <row r="998" spans="31:32" x14ac:dyDescent="0.25">
      <c r="AE998" s="107" t="s">
        <v>3266</v>
      </c>
      <c r="AF998" s="1">
        <v>0</v>
      </c>
    </row>
    <row r="999" spans="31:32" x14ac:dyDescent="0.25">
      <c r="AE999" s="107" t="s">
        <v>3033</v>
      </c>
      <c r="AF999" s="1">
        <v>0</v>
      </c>
    </row>
    <row r="1000" spans="31:32" x14ac:dyDescent="0.25">
      <c r="AE1000" s="107" t="s">
        <v>5033</v>
      </c>
      <c r="AF1000" s="1">
        <v>0</v>
      </c>
    </row>
    <row r="1001" spans="31:32" x14ac:dyDescent="0.25">
      <c r="AE1001" s="107" t="s">
        <v>3035</v>
      </c>
      <c r="AF1001" s="1">
        <v>0</v>
      </c>
    </row>
    <row r="1002" spans="31:32" x14ac:dyDescent="0.25">
      <c r="AE1002" s="107" t="s">
        <v>3242</v>
      </c>
      <c r="AF1002" s="1">
        <v>0</v>
      </c>
    </row>
    <row r="1003" spans="31:32" x14ac:dyDescent="0.25">
      <c r="AE1003" s="107" t="s">
        <v>3046</v>
      </c>
      <c r="AF1003" s="1">
        <v>0</v>
      </c>
    </row>
    <row r="1004" spans="31:32" x14ac:dyDescent="0.25">
      <c r="AE1004" s="107" t="s">
        <v>3258</v>
      </c>
      <c r="AF1004" s="1">
        <v>0</v>
      </c>
    </row>
    <row r="1005" spans="31:32" x14ac:dyDescent="0.25">
      <c r="AE1005" s="107" t="s">
        <v>3128</v>
      </c>
      <c r="AF1005" s="1">
        <v>0</v>
      </c>
    </row>
    <row r="1006" spans="31:32" x14ac:dyDescent="0.25">
      <c r="AE1006" s="107" t="s">
        <v>3230</v>
      </c>
      <c r="AF1006" s="1">
        <v>0</v>
      </c>
    </row>
    <row r="1007" spans="31:32" x14ac:dyDescent="0.25">
      <c r="AE1007" s="107" t="s">
        <v>3108</v>
      </c>
      <c r="AF1007" s="1">
        <v>0</v>
      </c>
    </row>
    <row r="1008" spans="31:32" x14ac:dyDescent="0.25">
      <c r="AE1008" s="107" t="s">
        <v>3248</v>
      </c>
      <c r="AF1008" s="1">
        <v>0</v>
      </c>
    </row>
    <row r="1009" spans="31:32" x14ac:dyDescent="0.25">
      <c r="AE1009" s="107" t="s">
        <v>3048</v>
      </c>
      <c r="AF1009" s="1">
        <v>0</v>
      </c>
    </row>
    <row r="1010" spans="31:32" x14ac:dyDescent="0.25">
      <c r="AE1010" s="107" t="s">
        <v>3331</v>
      </c>
      <c r="AF1010" s="1">
        <v>0</v>
      </c>
    </row>
    <row r="1011" spans="31:32" x14ac:dyDescent="0.25">
      <c r="AE1011" s="107" t="s">
        <v>5009</v>
      </c>
      <c r="AF1011" s="1">
        <v>0</v>
      </c>
    </row>
    <row r="1012" spans="31:32" x14ac:dyDescent="0.25">
      <c r="AE1012" s="107" t="s">
        <v>3274</v>
      </c>
      <c r="AF1012" s="1">
        <v>0</v>
      </c>
    </row>
    <row r="1013" spans="31:32" x14ac:dyDescent="0.25">
      <c r="AE1013" s="107" t="s">
        <v>3044</v>
      </c>
      <c r="AF1013" s="1">
        <v>0</v>
      </c>
    </row>
    <row r="1014" spans="31:32" x14ac:dyDescent="0.25">
      <c r="AE1014" s="107" t="s">
        <v>3284</v>
      </c>
      <c r="AF1014" s="1">
        <v>0</v>
      </c>
    </row>
    <row r="1015" spans="31:32" x14ac:dyDescent="0.25">
      <c r="AE1015" s="107" t="s">
        <v>3050</v>
      </c>
      <c r="AF1015" s="1">
        <v>0</v>
      </c>
    </row>
    <row r="1016" spans="31:32" x14ac:dyDescent="0.25">
      <c r="AE1016" s="107" t="s">
        <v>3280</v>
      </c>
      <c r="AF1016" s="1">
        <v>0</v>
      </c>
    </row>
    <row r="1017" spans="31:32" x14ac:dyDescent="0.25">
      <c r="AE1017" s="107" t="s">
        <v>5021</v>
      </c>
      <c r="AF1017" s="1">
        <v>0</v>
      </c>
    </row>
    <row r="1018" spans="31:32" x14ac:dyDescent="0.25">
      <c r="AE1018" s="107" t="s">
        <v>3244</v>
      </c>
      <c r="AF1018" s="1">
        <v>0</v>
      </c>
    </row>
    <row r="1019" spans="31:32" x14ac:dyDescent="0.25">
      <c r="AE1019" s="107" t="s">
        <v>3082</v>
      </c>
      <c r="AF1019" s="1">
        <v>0</v>
      </c>
    </row>
    <row r="1020" spans="31:32" x14ac:dyDescent="0.25">
      <c r="AE1020" s="107" t="s">
        <v>3333</v>
      </c>
      <c r="AF1020" s="1">
        <v>0</v>
      </c>
    </row>
    <row r="1021" spans="31:32" x14ac:dyDescent="0.25">
      <c r="AE1021" s="107" t="s">
        <v>3100</v>
      </c>
      <c r="AF1021" s="1">
        <v>0</v>
      </c>
    </row>
    <row r="1022" spans="31:32" x14ac:dyDescent="0.25">
      <c r="AE1022" s="107" t="s">
        <v>3302</v>
      </c>
      <c r="AF1022" s="1">
        <v>0</v>
      </c>
    </row>
    <row r="1023" spans="31:32" x14ac:dyDescent="0.25">
      <c r="AE1023" s="107" t="s">
        <v>3058</v>
      </c>
      <c r="AF1023" s="1">
        <v>0</v>
      </c>
    </row>
    <row r="1024" spans="31:32" x14ac:dyDescent="0.25">
      <c r="AE1024" s="107" t="s">
        <v>3256</v>
      </c>
      <c r="AF1024" s="1">
        <v>0</v>
      </c>
    </row>
    <row r="1025" spans="31:32" x14ac:dyDescent="0.25">
      <c r="AE1025" s="107" t="s">
        <v>3160</v>
      </c>
      <c r="AF1025" s="1">
        <v>0</v>
      </c>
    </row>
    <row r="1026" spans="31:32" x14ac:dyDescent="0.25">
      <c r="AE1026" s="107" t="s">
        <v>5037</v>
      </c>
      <c r="AF1026" s="1">
        <v>0</v>
      </c>
    </row>
    <row r="1027" spans="31:32" x14ac:dyDescent="0.25">
      <c r="AE1027" s="107" t="s">
        <v>3052</v>
      </c>
      <c r="AF1027" s="1">
        <v>0</v>
      </c>
    </row>
    <row r="1028" spans="31:32" x14ac:dyDescent="0.25">
      <c r="AE1028" s="107" t="s">
        <v>339</v>
      </c>
      <c r="AF1028" s="1">
        <v>0</v>
      </c>
    </row>
    <row r="1029" spans="31:32" x14ac:dyDescent="0.25">
      <c r="AE1029" s="107" t="s">
        <v>3158</v>
      </c>
      <c r="AF1029" s="1">
        <v>0</v>
      </c>
    </row>
    <row r="1030" spans="31:32" x14ac:dyDescent="0.25">
      <c r="AE1030" s="107" t="s">
        <v>230</v>
      </c>
      <c r="AF1030" s="1">
        <v>0</v>
      </c>
    </row>
    <row r="1031" spans="31:32" x14ac:dyDescent="0.25">
      <c r="AE1031" s="107" t="s">
        <v>5160</v>
      </c>
      <c r="AF1031" s="1">
        <v>0</v>
      </c>
    </row>
    <row r="1032" spans="31:32" x14ac:dyDescent="0.25">
      <c r="AE1032" s="107" t="s">
        <v>3042</v>
      </c>
      <c r="AF1032" s="1">
        <v>0</v>
      </c>
    </row>
    <row r="1033" spans="31:32" x14ac:dyDescent="0.25">
      <c r="AE1033" s="107" t="s">
        <v>2375</v>
      </c>
      <c r="AF1033" s="1">
        <v>0</v>
      </c>
    </row>
    <row r="1034" spans="31:32" x14ac:dyDescent="0.25">
      <c r="AE1034" s="107" t="s">
        <v>142</v>
      </c>
      <c r="AF1034" s="1">
        <v>0</v>
      </c>
    </row>
    <row r="1035" spans="31:32" x14ac:dyDescent="0.25">
      <c r="AE1035" s="107" t="s">
        <v>4947</v>
      </c>
      <c r="AF1035" s="1">
        <v>0</v>
      </c>
    </row>
    <row r="1036" spans="31:32" x14ac:dyDescent="0.25">
      <c r="AE1036" s="107" t="s">
        <v>3023</v>
      </c>
      <c r="AF1036" s="1">
        <v>0</v>
      </c>
    </row>
    <row r="1037" spans="31:32" x14ac:dyDescent="0.25">
      <c r="AE1037" s="107" t="s">
        <v>2379</v>
      </c>
      <c r="AF1037" s="1">
        <v>0</v>
      </c>
    </row>
    <row r="1038" spans="31:32" x14ac:dyDescent="0.25">
      <c r="AE1038" s="107" t="s">
        <v>2739</v>
      </c>
      <c r="AF1038" s="1">
        <v>0</v>
      </c>
    </row>
    <row r="1039" spans="31:32" x14ac:dyDescent="0.25">
      <c r="AE1039" s="107" t="s">
        <v>2478</v>
      </c>
      <c r="AF1039" s="1">
        <v>0</v>
      </c>
    </row>
    <row r="1040" spans="31:32" x14ac:dyDescent="0.25">
      <c r="AE1040" s="107" t="s">
        <v>2723</v>
      </c>
      <c r="AF1040" s="1">
        <v>0</v>
      </c>
    </row>
    <row r="1041" spans="31:32" x14ac:dyDescent="0.25">
      <c r="AE1041" s="107" t="s">
        <v>2480</v>
      </c>
      <c r="AF1041" s="1">
        <v>0</v>
      </c>
    </row>
    <row r="1042" spans="31:32" x14ac:dyDescent="0.25">
      <c r="AE1042" s="107" t="s">
        <v>2862</v>
      </c>
      <c r="AF1042" s="1">
        <v>0</v>
      </c>
    </row>
    <row r="1043" spans="31:32" x14ac:dyDescent="0.25">
      <c r="AE1043" s="107" t="s">
        <v>2482</v>
      </c>
      <c r="AF1043" s="1">
        <v>0</v>
      </c>
    </row>
    <row r="1044" spans="31:32" x14ac:dyDescent="0.25">
      <c r="AE1044" s="107" t="s">
        <v>2952</v>
      </c>
      <c r="AF1044" s="1">
        <v>0</v>
      </c>
    </row>
    <row r="1045" spans="31:32" x14ac:dyDescent="0.25">
      <c r="AE1045" s="107" t="s">
        <v>2371</v>
      </c>
      <c r="AF1045" s="1">
        <v>0</v>
      </c>
    </row>
    <row r="1046" spans="31:32" x14ac:dyDescent="0.25">
      <c r="AE1046" s="107" t="s">
        <v>2644</v>
      </c>
      <c r="AF1046" s="1">
        <v>0</v>
      </c>
    </row>
    <row r="1047" spans="31:32" x14ac:dyDescent="0.25">
      <c r="AE1047" s="107" t="s">
        <v>2496</v>
      </c>
      <c r="AF1047" s="1">
        <v>0</v>
      </c>
    </row>
    <row r="1048" spans="31:32" x14ac:dyDescent="0.25">
      <c r="AE1048" s="107" t="s">
        <v>2798</v>
      </c>
      <c r="AF1048" s="1">
        <v>0</v>
      </c>
    </row>
    <row r="1049" spans="31:32" x14ac:dyDescent="0.25">
      <c r="AE1049" s="107" t="s">
        <v>2486</v>
      </c>
      <c r="AF1049" s="1">
        <v>0</v>
      </c>
    </row>
    <row r="1050" spans="31:32" x14ac:dyDescent="0.25">
      <c r="AE1050" s="107" t="s">
        <v>2574</v>
      </c>
      <c r="AF1050" s="1">
        <v>0</v>
      </c>
    </row>
    <row r="1051" spans="31:32" x14ac:dyDescent="0.25">
      <c r="AE1051" s="107" t="s">
        <v>2438</v>
      </c>
      <c r="AF1051" s="1">
        <v>0</v>
      </c>
    </row>
    <row r="1052" spans="31:32" x14ac:dyDescent="0.25">
      <c r="AE1052" s="107" t="s">
        <v>2872</v>
      </c>
      <c r="AF1052" s="1">
        <v>0</v>
      </c>
    </row>
    <row r="1053" spans="31:32" x14ac:dyDescent="0.25">
      <c r="AE1053" s="107" t="s">
        <v>2522</v>
      </c>
      <c r="AF1053" s="1">
        <v>0</v>
      </c>
    </row>
    <row r="1054" spans="31:32" x14ac:dyDescent="0.25">
      <c r="AE1054" s="107" t="s">
        <v>2968</v>
      </c>
      <c r="AF1054" s="1">
        <v>0</v>
      </c>
    </row>
    <row r="1055" spans="31:32" x14ac:dyDescent="0.25">
      <c r="AE1055" s="107" t="s">
        <v>2413</v>
      </c>
      <c r="AF1055" s="1">
        <v>0</v>
      </c>
    </row>
    <row r="1056" spans="31:32" x14ac:dyDescent="0.25">
      <c r="AE1056" s="107" t="s">
        <v>2906</v>
      </c>
      <c r="AF1056" s="1">
        <v>0</v>
      </c>
    </row>
    <row r="1057" spans="31:32" x14ac:dyDescent="0.25">
      <c r="AE1057" s="107" t="s">
        <v>2415</v>
      </c>
      <c r="AF1057" s="1">
        <v>0</v>
      </c>
    </row>
    <row r="1058" spans="31:32" x14ac:dyDescent="0.25">
      <c r="AE1058" s="107" t="s">
        <v>3314</v>
      </c>
      <c r="AF1058" s="1">
        <v>0</v>
      </c>
    </row>
    <row r="1059" spans="31:32" x14ac:dyDescent="0.25">
      <c r="AE1059" s="107" t="s">
        <v>2365</v>
      </c>
      <c r="AF1059" s="1">
        <v>0</v>
      </c>
    </row>
    <row r="1060" spans="31:32" x14ac:dyDescent="0.25">
      <c r="AE1060" s="107" t="s">
        <v>2590</v>
      </c>
      <c r="AF1060" s="1">
        <v>0</v>
      </c>
    </row>
    <row r="1061" spans="31:32" x14ac:dyDescent="0.25">
      <c r="AE1061" s="107" t="s">
        <v>2417</v>
      </c>
      <c r="AF1061" s="1">
        <v>0</v>
      </c>
    </row>
    <row r="1062" spans="31:32" x14ac:dyDescent="0.25">
      <c r="AE1062" s="107" t="s">
        <v>2974</v>
      </c>
      <c r="AF1062" s="1">
        <v>0</v>
      </c>
    </row>
    <row r="1063" spans="31:32" x14ac:dyDescent="0.25">
      <c r="AE1063" s="107" t="s">
        <v>2419</v>
      </c>
      <c r="AF1063" s="1">
        <v>0</v>
      </c>
    </row>
    <row r="1064" spans="31:32" x14ac:dyDescent="0.25">
      <c r="AE1064" s="107" t="s">
        <v>2650</v>
      </c>
      <c r="AF1064" s="1">
        <v>0</v>
      </c>
    </row>
    <row r="1065" spans="31:32" x14ac:dyDescent="0.25">
      <c r="AE1065" s="107" t="s">
        <v>2411</v>
      </c>
      <c r="AF1065" s="1">
        <v>0</v>
      </c>
    </row>
    <row r="1066" spans="31:32" x14ac:dyDescent="0.25">
      <c r="AE1066" s="107" t="s">
        <v>2666</v>
      </c>
      <c r="AF1066" s="1">
        <v>0</v>
      </c>
    </row>
    <row r="1067" spans="31:32" x14ac:dyDescent="0.25">
      <c r="AE1067" s="107" t="s">
        <v>2361</v>
      </c>
      <c r="AF1067" s="1">
        <v>0</v>
      </c>
    </row>
    <row r="1068" spans="31:32" x14ac:dyDescent="0.25">
      <c r="AE1068" s="107" t="s">
        <v>2656</v>
      </c>
      <c r="AF1068" s="1">
        <v>0</v>
      </c>
    </row>
    <row r="1069" spans="31:32" x14ac:dyDescent="0.25">
      <c r="AE1069" s="107" t="s">
        <v>2421</v>
      </c>
      <c r="AF1069" s="1">
        <v>0</v>
      </c>
    </row>
    <row r="1070" spans="31:32" x14ac:dyDescent="0.25">
      <c r="AE1070" s="107" t="s">
        <v>2721</v>
      </c>
      <c r="AF1070" s="1">
        <v>0</v>
      </c>
    </row>
    <row r="1071" spans="31:32" x14ac:dyDescent="0.25">
      <c r="AE1071" s="107" t="s">
        <v>4945</v>
      </c>
      <c r="AF1071" s="1">
        <v>0</v>
      </c>
    </row>
    <row r="1072" spans="31:32" x14ac:dyDescent="0.25">
      <c r="AE1072" s="107" t="s">
        <v>2683</v>
      </c>
      <c r="AF1072" s="1">
        <v>0</v>
      </c>
    </row>
    <row r="1073" spans="31:32" x14ac:dyDescent="0.25">
      <c r="AE1073" s="107" t="s">
        <v>2494</v>
      </c>
      <c r="AF1073" s="1">
        <v>0</v>
      </c>
    </row>
    <row r="1074" spans="31:32" x14ac:dyDescent="0.25">
      <c r="AE1074" s="107" t="s">
        <v>4955</v>
      </c>
      <c r="AF1074" s="1">
        <v>0</v>
      </c>
    </row>
    <row r="1075" spans="31:32" x14ac:dyDescent="0.25">
      <c r="AE1075" s="107" t="s">
        <v>2423</v>
      </c>
      <c r="AF1075" s="1">
        <v>0</v>
      </c>
    </row>
    <row r="1076" spans="31:32" x14ac:dyDescent="0.25">
      <c r="AE1076" s="107" t="s">
        <v>2677</v>
      </c>
      <c r="AF1076" s="1">
        <v>0</v>
      </c>
    </row>
    <row r="1077" spans="31:32" x14ac:dyDescent="0.25">
      <c r="AE1077" s="107" t="s">
        <v>4949</v>
      </c>
      <c r="AF1077" s="1">
        <v>0</v>
      </c>
    </row>
    <row r="1078" spans="31:32" x14ac:dyDescent="0.25">
      <c r="AE1078" s="107" t="s">
        <v>2757</v>
      </c>
      <c r="AF1078" s="1">
        <v>0</v>
      </c>
    </row>
    <row r="1079" spans="31:32" x14ac:dyDescent="0.25">
      <c r="AE1079" s="107" t="s">
        <v>2536</v>
      </c>
      <c r="AF1079" s="1">
        <v>0</v>
      </c>
    </row>
    <row r="1080" spans="31:32" x14ac:dyDescent="0.25">
      <c r="AE1080" s="107" t="s">
        <v>2850</v>
      </c>
      <c r="AF1080" s="1">
        <v>0</v>
      </c>
    </row>
    <row r="1081" spans="31:32" x14ac:dyDescent="0.25">
      <c r="AE1081" s="107" t="s">
        <v>2458</v>
      </c>
      <c r="AF1081" s="1">
        <v>0</v>
      </c>
    </row>
    <row r="1082" spans="31:32" x14ac:dyDescent="0.25">
      <c r="AE1082" s="107" t="s">
        <v>3014</v>
      </c>
      <c r="AF1082" s="1">
        <v>0</v>
      </c>
    </row>
    <row r="1083" spans="31:32" x14ac:dyDescent="0.25">
      <c r="AE1083" s="107" t="s">
        <v>2464</v>
      </c>
      <c r="AF1083" s="1">
        <v>0</v>
      </c>
    </row>
    <row r="1084" spans="31:32" x14ac:dyDescent="0.25">
      <c r="AE1084" s="107" t="s">
        <v>2852</v>
      </c>
      <c r="AF1084" s="1">
        <v>0</v>
      </c>
    </row>
    <row r="1085" spans="31:32" x14ac:dyDescent="0.25">
      <c r="AE1085" s="107" t="s">
        <v>2405</v>
      </c>
      <c r="AF1085" s="1">
        <v>0</v>
      </c>
    </row>
    <row r="1086" spans="31:32" x14ac:dyDescent="0.25">
      <c r="AE1086" s="107" t="s">
        <v>2936</v>
      </c>
      <c r="AF1086" s="1">
        <v>0</v>
      </c>
    </row>
    <row r="1087" spans="31:32" x14ac:dyDescent="0.25">
      <c r="AE1087" s="107" t="s">
        <v>2355</v>
      </c>
      <c r="AF1087" s="1">
        <v>0</v>
      </c>
    </row>
    <row r="1088" spans="31:32" x14ac:dyDescent="0.25">
      <c r="AE1088" s="107" t="s">
        <v>2864</v>
      </c>
      <c r="AF1088" s="1">
        <v>0</v>
      </c>
    </row>
    <row r="1089" spans="31:32" x14ac:dyDescent="0.25">
      <c r="AE1089" s="107" t="s">
        <v>2528</v>
      </c>
      <c r="AF1089" s="1">
        <v>0</v>
      </c>
    </row>
    <row r="1090" spans="31:32" x14ac:dyDescent="0.25">
      <c r="AE1090" s="107" t="s">
        <v>5005</v>
      </c>
      <c r="AF1090" s="1">
        <v>0</v>
      </c>
    </row>
    <row r="1091" spans="31:32" x14ac:dyDescent="0.25">
      <c r="AE1091" s="107" t="s">
        <v>2391</v>
      </c>
      <c r="AF1091" s="1">
        <v>0</v>
      </c>
    </row>
    <row r="1092" spans="31:32" x14ac:dyDescent="0.25">
      <c r="AE1092" s="107" t="s">
        <v>3040</v>
      </c>
      <c r="AF1092" s="1">
        <v>0</v>
      </c>
    </row>
    <row r="1093" spans="31:32" x14ac:dyDescent="0.25">
      <c r="AE1093" s="107" t="s">
        <v>4302</v>
      </c>
      <c r="AF1093" s="1">
        <v>0</v>
      </c>
    </row>
    <row r="1094" spans="31:32" x14ac:dyDescent="0.25">
      <c r="AE1094" s="107" t="s">
        <v>3031</v>
      </c>
      <c r="AF1094" s="1">
        <v>0</v>
      </c>
    </row>
    <row r="1095" spans="31:32" x14ac:dyDescent="0.25">
      <c r="AE1095" s="107" t="s">
        <v>2488</v>
      </c>
      <c r="AF1095" s="1">
        <v>0</v>
      </c>
    </row>
    <row r="1096" spans="31:32" x14ac:dyDescent="0.25">
      <c r="AE1096" s="107" t="s">
        <v>2560</v>
      </c>
      <c r="AF1096" s="1">
        <v>0</v>
      </c>
    </row>
    <row r="1097" spans="31:32" x14ac:dyDescent="0.25">
      <c r="AE1097" s="107" t="s">
        <v>2460</v>
      </c>
      <c r="AF1097" s="1">
        <v>0</v>
      </c>
    </row>
    <row r="1098" spans="31:32" x14ac:dyDescent="0.25">
      <c r="AE1098" s="107" t="s">
        <v>2922</v>
      </c>
      <c r="AF1098" s="1">
        <v>0</v>
      </c>
    </row>
    <row r="1099" spans="31:32" x14ac:dyDescent="0.25">
      <c r="AE1099" s="107" t="s">
        <v>2397</v>
      </c>
      <c r="AF1099" s="1">
        <v>0</v>
      </c>
    </row>
    <row r="1100" spans="31:32" x14ac:dyDescent="0.25">
      <c r="AE1100" s="107" t="s">
        <v>2598</v>
      </c>
      <c r="AF1100" s="1">
        <v>0</v>
      </c>
    </row>
    <row r="1101" spans="31:32" x14ac:dyDescent="0.25">
      <c r="AE1101" s="107" t="s">
        <v>2401</v>
      </c>
      <c r="AF1101" s="1">
        <v>0</v>
      </c>
    </row>
    <row r="1102" spans="31:32" x14ac:dyDescent="0.25">
      <c r="AE1102" s="107" t="s">
        <v>2773</v>
      </c>
      <c r="AF1102" s="1">
        <v>0</v>
      </c>
    </row>
    <row r="1103" spans="31:32" x14ac:dyDescent="0.25">
      <c r="AE1103" s="107" t="s">
        <v>2490</v>
      </c>
      <c r="AF1103" s="1">
        <v>0</v>
      </c>
    </row>
    <row r="1104" spans="31:32" x14ac:dyDescent="0.25">
      <c r="AE1104" s="107" t="s">
        <v>2673</v>
      </c>
      <c r="AF1104" s="1">
        <v>0</v>
      </c>
    </row>
    <row r="1105" spans="31:32" x14ac:dyDescent="0.25">
      <c r="AE1105" s="107" t="s">
        <v>2468</v>
      </c>
      <c r="AF1105" s="1">
        <v>0</v>
      </c>
    </row>
    <row r="1106" spans="31:32" x14ac:dyDescent="0.25">
      <c r="AE1106" s="107" t="s">
        <v>2658</v>
      </c>
      <c r="AF1106" s="1">
        <v>0</v>
      </c>
    </row>
    <row r="1107" spans="31:32" x14ac:dyDescent="0.25">
      <c r="AE1107" s="107" t="s">
        <v>152</v>
      </c>
      <c r="AF1107" s="1">
        <v>0</v>
      </c>
    </row>
    <row r="1108" spans="31:32" x14ac:dyDescent="0.25">
      <c r="AE1108" s="107" t="s">
        <v>2660</v>
      </c>
      <c r="AF1108" s="1">
        <v>0</v>
      </c>
    </row>
    <row r="1109" spans="31:32" x14ac:dyDescent="0.25">
      <c r="AE1109" s="107" t="s">
        <v>2472</v>
      </c>
      <c r="AF1109" s="1">
        <v>0</v>
      </c>
    </row>
    <row r="1110" spans="31:32" x14ac:dyDescent="0.25">
      <c r="AE1110" s="107" t="s">
        <v>2630</v>
      </c>
      <c r="AF1110" s="1">
        <v>0</v>
      </c>
    </row>
    <row r="1111" spans="31:32" x14ac:dyDescent="0.25">
      <c r="AE1111" s="107" t="s">
        <v>2470</v>
      </c>
      <c r="AF1111" s="1">
        <v>0</v>
      </c>
    </row>
    <row r="1112" spans="31:32" x14ac:dyDescent="0.25">
      <c r="AE1112" s="107" t="s">
        <v>3016</v>
      </c>
      <c r="AF1112" s="1">
        <v>0</v>
      </c>
    </row>
    <row r="1113" spans="31:32" x14ac:dyDescent="0.25">
      <c r="AE1113" s="107" t="s">
        <v>2462</v>
      </c>
      <c r="AF1113" s="1">
        <v>0</v>
      </c>
    </row>
    <row r="1114" spans="31:32" x14ac:dyDescent="0.25">
      <c r="AE1114" s="107" t="s">
        <v>2763</v>
      </c>
      <c r="AF1114" s="1">
        <v>0</v>
      </c>
    </row>
    <row r="1115" spans="31:32" x14ac:dyDescent="0.25">
      <c r="AE1115" s="107" t="s">
        <v>2474</v>
      </c>
      <c r="AF1115" s="1">
        <v>0</v>
      </c>
    </row>
    <row r="1116" spans="31:32" x14ac:dyDescent="0.25">
      <c r="AE1116" s="107" t="s">
        <v>4993</v>
      </c>
      <c r="AF1116" s="1">
        <v>0</v>
      </c>
    </row>
    <row r="1117" spans="31:32" x14ac:dyDescent="0.25">
      <c r="AE1117" s="107" t="s">
        <v>2442</v>
      </c>
      <c r="AF1117" s="1">
        <v>0</v>
      </c>
    </row>
    <row r="1118" spans="31:32" x14ac:dyDescent="0.25">
      <c r="AE1118" s="107" t="s">
        <v>2745</v>
      </c>
      <c r="AF1118" s="1">
        <v>0</v>
      </c>
    </row>
    <row r="1119" spans="31:32" x14ac:dyDescent="0.25">
      <c r="AE1119" s="107" t="s">
        <v>2476</v>
      </c>
      <c r="AF1119" s="1">
        <v>0</v>
      </c>
    </row>
    <row r="1120" spans="31:32" x14ac:dyDescent="0.25">
      <c r="AE1120" s="107" t="s">
        <v>2614</v>
      </c>
      <c r="AF1120" s="1">
        <v>0</v>
      </c>
    </row>
    <row r="1121" spans="31:32" x14ac:dyDescent="0.25">
      <c r="AE1121" s="107" t="s">
        <v>4963</v>
      </c>
      <c r="AF1121" s="1">
        <v>0</v>
      </c>
    </row>
    <row r="1122" spans="31:32" x14ac:dyDescent="0.25">
      <c r="AE1122" s="107" t="s">
        <v>2932</v>
      </c>
      <c r="AF1122" s="1">
        <v>0</v>
      </c>
    </row>
    <row r="1123" spans="31:32" x14ac:dyDescent="0.25">
      <c r="AE1123" s="107" t="s">
        <v>2512</v>
      </c>
      <c r="AF1123" s="1">
        <v>0</v>
      </c>
    </row>
    <row r="1124" spans="31:32" x14ac:dyDescent="0.25">
      <c r="AE1124" s="107" t="s">
        <v>2844</v>
      </c>
      <c r="AF1124" s="1">
        <v>0</v>
      </c>
    </row>
    <row r="1125" spans="31:32" x14ac:dyDescent="0.25">
      <c r="AE1125" s="107" t="s">
        <v>2427</v>
      </c>
      <c r="AF1125" s="1">
        <v>0</v>
      </c>
    </row>
    <row r="1126" spans="31:32" x14ac:dyDescent="0.25">
      <c r="AE1126" s="107" t="s">
        <v>5003</v>
      </c>
      <c r="AF1126" s="1">
        <v>0</v>
      </c>
    </row>
    <row r="1127" spans="31:32" x14ac:dyDescent="0.25">
      <c r="AE1127" s="107" t="s">
        <v>2510</v>
      </c>
      <c r="AF1127" s="1">
        <v>0</v>
      </c>
    </row>
    <row r="1128" spans="31:32" x14ac:dyDescent="0.25">
      <c r="AE1128" s="107" t="s">
        <v>2693</v>
      </c>
      <c r="AF1128" s="1">
        <v>0</v>
      </c>
    </row>
    <row r="1129" spans="31:32" x14ac:dyDescent="0.25">
      <c r="AE1129" s="107" t="s">
        <v>2516</v>
      </c>
      <c r="AF1129" s="1">
        <v>0</v>
      </c>
    </row>
    <row r="1130" spans="31:32" x14ac:dyDescent="0.25">
      <c r="AE1130" s="107" t="s">
        <v>2731</v>
      </c>
      <c r="AF1130" s="1">
        <v>0</v>
      </c>
    </row>
    <row r="1131" spans="31:32" x14ac:dyDescent="0.25">
      <c r="AE1131" s="107" t="s">
        <v>2498</v>
      </c>
      <c r="AF1131" s="1">
        <v>0</v>
      </c>
    </row>
    <row r="1132" spans="31:32" x14ac:dyDescent="0.25">
      <c r="AE1132" s="107" t="s">
        <v>2808</v>
      </c>
      <c r="AF1132" s="1">
        <v>0</v>
      </c>
    </row>
    <row r="1133" spans="31:32" x14ac:dyDescent="0.25">
      <c r="AE1133" s="107" t="s">
        <v>4953</v>
      </c>
      <c r="AF1133" s="1">
        <v>0</v>
      </c>
    </row>
    <row r="1134" spans="31:32" x14ac:dyDescent="0.25">
      <c r="AE1134" s="107" t="s">
        <v>3236</v>
      </c>
      <c r="AF1134" s="1">
        <v>0</v>
      </c>
    </row>
    <row r="1135" spans="31:32" x14ac:dyDescent="0.25">
      <c r="AE1135" s="107" t="s">
        <v>2407</v>
      </c>
      <c r="AF1135" s="1">
        <v>0</v>
      </c>
    </row>
    <row r="1136" spans="31:32" x14ac:dyDescent="0.25">
      <c r="AE1136" s="107" t="s">
        <v>2779</v>
      </c>
      <c r="AF1136" s="1">
        <v>0</v>
      </c>
    </row>
    <row r="1137" spans="31:32" x14ac:dyDescent="0.25">
      <c r="AE1137" s="107" t="s">
        <v>2532</v>
      </c>
      <c r="AF1137" s="1">
        <v>0</v>
      </c>
    </row>
    <row r="1138" spans="31:32" x14ac:dyDescent="0.25">
      <c r="AE1138" s="107" t="s">
        <v>2956</v>
      </c>
      <c r="AF1138" s="1">
        <v>0</v>
      </c>
    </row>
    <row r="1139" spans="31:32" x14ac:dyDescent="0.25">
      <c r="AE1139" s="107" t="s">
        <v>2534</v>
      </c>
      <c r="AF1139" s="1">
        <v>0</v>
      </c>
    </row>
    <row r="1140" spans="31:32" x14ac:dyDescent="0.25">
      <c r="AE1140" s="107" t="s">
        <v>3296</v>
      </c>
      <c r="AF1140" s="1">
        <v>0</v>
      </c>
    </row>
    <row r="1141" spans="31:32" x14ac:dyDescent="0.25">
      <c r="AE1141" s="107" t="s">
        <v>2550</v>
      </c>
      <c r="AF1141" s="1">
        <v>0</v>
      </c>
    </row>
    <row r="1142" spans="31:32" x14ac:dyDescent="0.25">
      <c r="AE1142" s="107" t="s">
        <v>3304</v>
      </c>
      <c r="AF1142" s="1">
        <v>0</v>
      </c>
    </row>
    <row r="1143" spans="31:32" x14ac:dyDescent="0.25">
      <c r="AE1143" s="107" t="s">
        <v>2538</v>
      </c>
      <c r="AF1143" s="1">
        <v>0</v>
      </c>
    </row>
    <row r="1144" spans="31:32" x14ac:dyDescent="0.25">
      <c r="AE1144" s="107" t="s">
        <v>2860</v>
      </c>
      <c r="AF1144" s="1">
        <v>0</v>
      </c>
    </row>
    <row r="1145" spans="31:32" x14ac:dyDescent="0.25">
      <c r="AE1145" s="107" t="s">
        <v>2636</v>
      </c>
      <c r="AF1145" s="1">
        <v>0</v>
      </c>
    </row>
    <row r="1146" spans="31:32" x14ac:dyDescent="0.25">
      <c r="AE1146" s="107" t="s">
        <v>287</v>
      </c>
      <c r="AF1146" s="1">
        <v>0</v>
      </c>
    </row>
    <row r="1147" spans="31:32" x14ac:dyDescent="0.25">
      <c r="AE1147" s="107" t="s">
        <v>551</v>
      </c>
      <c r="AF1147" s="1">
        <v>0</v>
      </c>
    </row>
    <row r="1148" spans="31:32" x14ac:dyDescent="0.25">
      <c r="AE1148" s="107" t="s">
        <v>182</v>
      </c>
      <c r="AF1148" s="1">
        <v>0</v>
      </c>
    </row>
    <row r="1149" spans="31:32" x14ac:dyDescent="0.25">
      <c r="AE1149" s="107" t="s">
        <v>2759</v>
      </c>
      <c r="AF1149" s="1">
        <v>0</v>
      </c>
    </row>
    <row r="1150" spans="31:32" x14ac:dyDescent="0.25">
      <c r="AE1150" s="107" t="s">
        <v>2948</v>
      </c>
      <c r="AF1150" s="1">
        <v>0</v>
      </c>
    </row>
    <row r="1151" spans="31:32" x14ac:dyDescent="0.25">
      <c r="AE1151" s="107" t="s">
        <v>4282</v>
      </c>
      <c r="AF1151" s="1">
        <v>0</v>
      </c>
    </row>
    <row r="1152" spans="31:32" x14ac:dyDescent="0.25">
      <c r="AE1152" s="107" t="s">
        <v>2918</v>
      </c>
      <c r="AF1152" s="1">
        <v>0</v>
      </c>
    </row>
    <row r="1153" spans="31:32" x14ac:dyDescent="0.25">
      <c r="AE1153" s="107" t="s">
        <v>4981</v>
      </c>
      <c r="AF1153" s="1">
        <v>0</v>
      </c>
    </row>
    <row r="1154" spans="31:32" x14ac:dyDescent="0.25">
      <c r="AE1154" s="107" t="s">
        <v>4985</v>
      </c>
      <c r="AF1154" s="1">
        <v>0</v>
      </c>
    </row>
    <row r="1155" spans="31:32" x14ac:dyDescent="0.25">
      <c r="AE1155" s="107" t="s">
        <v>4969</v>
      </c>
      <c r="AF1155" s="1">
        <v>0</v>
      </c>
    </row>
    <row r="1156" spans="31:32" x14ac:dyDescent="0.25">
      <c r="AE1156" s="107" t="s">
        <v>4729</v>
      </c>
      <c r="AF1156" s="1">
        <v>0</v>
      </c>
    </row>
    <row r="1157" spans="31:32" x14ac:dyDescent="0.25">
      <c r="AE1157" s="107" t="s">
        <v>4965</v>
      </c>
      <c r="AF1157" s="1">
        <v>0</v>
      </c>
    </row>
    <row r="1158" spans="31:32" x14ac:dyDescent="0.25">
      <c r="AE1158" s="107" t="s">
        <v>3027</v>
      </c>
      <c r="AF1158" s="1">
        <v>0</v>
      </c>
    </row>
    <row r="1159" spans="31:32" x14ac:dyDescent="0.25">
      <c r="AE1159" s="107" t="s">
        <v>1613</v>
      </c>
      <c r="AF1159" s="1">
        <v>0</v>
      </c>
    </row>
    <row r="1160" spans="31:32" x14ac:dyDescent="0.25">
      <c r="AE1160" s="107" t="s">
        <v>4179</v>
      </c>
      <c r="AF1160" s="1">
        <v>0</v>
      </c>
    </row>
    <row r="1161" spans="31:32" x14ac:dyDescent="0.25">
      <c r="AE1161" s="107" t="s">
        <v>1681</v>
      </c>
      <c r="AF1161" s="1">
        <v>0</v>
      </c>
    </row>
    <row r="1162" spans="31:32" x14ac:dyDescent="0.25">
      <c r="AE1162" s="107" t="s">
        <v>2771</v>
      </c>
      <c r="AF1162" s="1">
        <v>0</v>
      </c>
    </row>
    <row r="1163" spans="31:32" x14ac:dyDescent="0.25">
      <c r="AE1163" s="107" t="s">
        <v>2888</v>
      </c>
      <c r="AF1163" s="1">
        <v>0</v>
      </c>
    </row>
    <row r="1164" spans="31:32" x14ac:dyDescent="0.25">
      <c r="AE1164" s="107" t="s">
        <v>2556</v>
      </c>
      <c r="AF1164" s="1">
        <v>0</v>
      </c>
    </row>
    <row r="1165" spans="31:32" x14ac:dyDescent="0.25">
      <c r="AE1165" s="107" t="s">
        <v>5166</v>
      </c>
      <c r="AF1165" s="1">
        <v>0</v>
      </c>
    </row>
    <row r="1166" spans="31:32" x14ac:dyDescent="0.25">
      <c r="AE1166" s="107" t="s">
        <v>2586</v>
      </c>
      <c r="AF1166" s="1">
        <v>0</v>
      </c>
    </row>
    <row r="1167" spans="31:32" x14ac:dyDescent="0.25">
      <c r="AE1167" s="107" t="s">
        <v>2612</v>
      </c>
      <c r="AF1167" s="1">
        <v>0</v>
      </c>
    </row>
    <row r="1168" spans="31:32" x14ac:dyDescent="0.25">
      <c r="AE1168" s="107" t="s">
        <v>2880</v>
      </c>
      <c r="AF1168" s="1">
        <v>0</v>
      </c>
    </row>
    <row r="1169" spans="31:32" x14ac:dyDescent="0.25">
      <c r="AE1169" s="107" t="s">
        <v>2540</v>
      </c>
      <c r="AF1169" s="1">
        <v>0</v>
      </c>
    </row>
    <row r="1170" spans="31:32" x14ac:dyDescent="0.25">
      <c r="AE1170" s="107" t="s">
        <v>2552</v>
      </c>
      <c r="AF1170" s="1">
        <v>0</v>
      </c>
    </row>
    <row r="1171" spans="31:32" x14ac:dyDescent="0.25">
      <c r="AE1171" s="107" t="s">
        <v>2542</v>
      </c>
      <c r="AF1171" s="1">
        <v>0</v>
      </c>
    </row>
    <row r="1172" spans="31:32" x14ac:dyDescent="0.25">
      <c r="AE1172" s="107" t="s">
        <v>2715</v>
      </c>
      <c r="AF1172" s="1">
        <v>0</v>
      </c>
    </row>
    <row r="1173" spans="31:32" x14ac:dyDescent="0.25">
      <c r="AE1173" s="107" t="s">
        <v>2695</v>
      </c>
      <c r="AF1173" s="1">
        <v>0</v>
      </c>
    </row>
    <row r="1174" spans="31:32" x14ac:dyDescent="0.25">
      <c r="AE1174" s="107" t="s">
        <v>2602</v>
      </c>
      <c r="AF1174" s="1">
        <v>0</v>
      </c>
    </row>
    <row r="1175" spans="31:32" x14ac:dyDescent="0.25">
      <c r="AE1175" s="107" t="s">
        <v>2600</v>
      </c>
      <c r="AF1175" s="1">
        <v>0</v>
      </c>
    </row>
    <row r="1176" spans="31:32" x14ac:dyDescent="0.25">
      <c r="AE1176" s="107" t="s">
        <v>2662</v>
      </c>
      <c r="AF1176" s="1">
        <v>0</v>
      </c>
    </row>
    <row r="1177" spans="31:32" x14ac:dyDescent="0.25">
      <c r="AE1177" s="107" t="s">
        <v>2848</v>
      </c>
      <c r="AF1177" s="1">
        <v>0</v>
      </c>
    </row>
    <row r="1178" spans="31:32" x14ac:dyDescent="0.25">
      <c r="AE1178" s="107" t="s">
        <v>2804</v>
      </c>
      <c r="AF1178" s="1">
        <v>0</v>
      </c>
    </row>
    <row r="1179" spans="31:32" x14ac:dyDescent="0.25">
      <c r="AE1179" s="107" t="s">
        <v>3018</v>
      </c>
      <c r="AF1179" s="1">
        <v>0</v>
      </c>
    </row>
    <row r="1180" spans="31:32" x14ac:dyDescent="0.25">
      <c r="AE1180" s="107" t="s">
        <v>2664</v>
      </c>
      <c r="AF1180" s="1">
        <v>0</v>
      </c>
    </row>
    <row r="1181" spans="31:32" x14ac:dyDescent="0.25">
      <c r="AE1181" s="107" t="s">
        <v>2842</v>
      </c>
      <c r="AF1181" s="1">
        <v>0</v>
      </c>
    </row>
    <row r="1182" spans="31:32" x14ac:dyDescent="0.25">
      <c r="AE1182" s="107" t="s">
        <v>2584</v>
      </c>
      <c r="AF1182" s="1">
        <v>0</v>
      </c>
    </row>
    <row r="1183" spans="31:32" x14ac:dyDescent="0.25">
      <c r="AE1183" s="107" t="s">
        <v>2820</v>
      </c>
      <c r="AF1183" s="1">
        <v>0</v>
      </c>
    </row>
    <row r="1184" spans="31:32" x14ac:dyDescent="0.25">
      <c r="AE1184" s="107" t="s">
        <v>2654</v>
      </c>
      <c r="AF1184" s="1">
        <v>0</v>
      </c>
    </row>
    <row r="1185" spans="31:32" x14ac:dyDescent="0.25">
      <c r="AE1185" s="107" t="s">
        <v>2769</v>
      </c>
      <c r="AF1185" s="1">
        <v>0</v>
      </c>
    </row>
    <row r="1186" spans="31:32" x14ac:dyDescent="0.25">
      <c r="AE1186" s="107" t="s">
        <v>4977</v>
      </c>
      <c r="AF1186" s="1">
        <v>0</v>
      </c>
    </row>
    <row r="1187" spans="31:32" x14ac:dyDescent="0.25">
      <c r="AE1187" s="107" t="s">
        <v>2642</v>
      </c>
      <c r="AF1187" s="1">
        <v>0</v>
      </c>
    </row>
    <row r="1188" spans="31:32" x14ac:dyDescent="0.25">
      <c r="AE1188" s="107" t="s">
        <v>2878</v>
      </c>
      <c r="AF1188" s="1">
        <v>0</v>
      </c>
    </row>
    <row r="1189" spans="31:32" x14ac:dyDescent="0.25">
      <c r="AE1189" s="107" t="s">
        <v>4995</v>
      </c>
      <c r="AF1189" s="1">
        <v>0</v>
      </c>
    </row>
    <row r="1190" spans="31:32" x14ac:dyDescent="0.25">
      <c r="AE1190" s="107" t="s">
        <v>2669</v>
      </c>
      <c r="AF1190" s="1">
        <v>0</v>
      </c>
    </row>
    <row r="1191" spans="31:32" x14ac:dyDescent="0.25">
      <c r="AE1191" s="107" t="s">
        <v>4989</v>
      </c>
      <c r="AF1191" s="1">
        <v>0</v>
      </c>
    </row>
    <row r="1192" spans="31:32" x14ac:dyDescent="0.25">
      <c r="AE1192" s="107" t="s">
        <v>2675</v>
      </c>
      <c r="AF1192" s="1">
        <v>0</v>
      </c>
    </row>
    <row r="1193" spans="31:32" x14ac:dyDescent="0.25">
      <c r="AE1193" s="107" t="s">
        <v>2753</v>
      </c>
      <c r="AF1193" s="1">
        <v>0</v>
      </c>
    </row>
    <row r="1194" spans="31:32" x14ac:dyDescent="0.25">
      <c r="AE1194" s="107" t="s">
        <v>3661</v>
      </c>
      <c r="AF1194" s="1">
        <v>0</v>
      </c>
    </row>
    <row r="1195" spans="31:32" x14ac:dyDescent="0.25">
      <c r="AE1195" s="107" t="s">
        <v>2854</v>
      </c>
      <c r="AF1195" s="1">
        <v>0</v>
      </c>
    </row>
    <row r="1196" spans="31:32" x14ac:dyDescent="0.25">
      <c r="AE1196" s="107" t="s">
        <v>5001</v>
      </c>
      <c r="AF1196" s="1">
        <v>0</v>
      </c>
    </row>
    <row r="1197" spans="31:32" x14ac:dyDescent="0.25">
      <c r="AE1197" s="107" t="s">
        <v>2767</v>
      </c>
      <c r="AF1197" s="1">
        <v>0</v>
      </c>
    </row>
    <row r="1198" spans="31:32" x14ac:dyDescent="0.25">
      <c r="AE1198" s="107" t="s">
        <v>2743</v>
      </c>
      <c r="AF1198" s="1">
        <v>0</v>
      </c>
    </row>
    <row r="1199" spans="31:32" x14ac:dyDescent="0.25">
      <c r="AE1199" s="107" t="s">
        <v>2608</v>
      </c>
      <c r="AF1199" s="1">
        <v>0</v>
      </c>
    </row>
    <row r="1200" spans="31:32" x14ac:dyDescent="0.25">
      <c r="AE1200" s="107" t="s">
        <v>2814</v>
      </c>
      <c r="AF1200" s="1">
        <v>0</v>
      </c>
    </row>
    <row r="1201" spans="31:32" x14ac:dyDescent="0.25">
      <c r="AE1201" s="107" t="s">
        <v>3029</v>
      </c>
      <c r="AF1201" s="1">
        <v>0</v>
      </c>
    </row>
    <row r="1202" spans="31:32" x14ac:dyDescent="0.25">
      <c r="AE1202" s="107" t="s">
        <v>2719</v>
      </c>
      <c r="AF1202" s="1">
        <v>0</v>
      </c>
    </row>
    <row r="1203" spans="31:32" x14ac:dyDescent="0.25">
      <c r="AE1203" s="107" t="s">
        <v>2281</v>
      </c>
      <c r="AF1203" s="1">
        <v>0</v>
      </c>
    </row>
    <row r="1204" spans="31:32" x14ac:dyDescent="0.25">
      <c r="AE1204" s="107" t="s">
        <v>2785</v>
      </c>
      <c r="AF1204" s="1">
        <v>0</v>
      </c>
    </row>
    <row r="1205" spans="31:32" x14ac:dyDescent="0.25">
      <c r="AE1205" s="107" t="s">
        <v>3025</v>
      </c>
      <c r="AF1205" s="1">
        <v>0</v>
      </c>
    </row>
    <row r="1206" spans="31:32" x14ac:dyDescent="0.25">
      <c r="AE1206" s="107" t="s">
        <v>2998</v>
      </c>
      <c r="AF1206" s="1">
        <v>0</v>
      </c>
    </row>
    <row r="1207" spans="31:32" x14ac:dyDescent="0.25">
      <c r="AE1207" s="107" t="s">
        <v>2793</v>
      </c>
      <c r="AF1207" s="1">
        <v>0</v>
      </c>
    </row>
    <row r="1208" spans="31:32" x14ac:dyDescent="0.25">
      <c r="AE1208" s="107" t="s">
        <v>2729</v>
      </c>
      <c r="AF1208" s="1">
        <v>0</v>
      </c>
    </row>
    <row r="1209" spans="31:32" x14ac:dyDescent="0.25">
      <c r="AE1209" s="107" t="s">
        <v>2566</v>
      </c>
      <c r="AF1209" s="1">
        <v>0</v>
      </c>
    </row>
    <row r="1210" spans="31:32" x14ac:dyDescent="0.25">
      <c r="AE1210" s="107" t="s">
        <v>2781</v>
      </c>
      <c r="AF1210" s="1">
        <v>0</v>
      </c>
    </row>
    <row r="1211" spans="31:32" x14ac:dyDescent="0.25">
      <c r="AE1211" s="107" t="s">
        <v>2810</v>
      </c>
      <c r="AF1211" s="1">
        <v>0</v>
      </c>
    </row>
    <row r="1212" spans="31:32" x14ac:dyDescent="0.25">
      <c r="AE1212" s="107" t="s">
        <v>2725</v>
      </c>
      <c r="AF1212" s="1">
        <v>0</v>
      </c>
    </row>
    <row r="1213" spans="31:32" x14ac:dyDescent="0.25">
      <c r="AE1213" s="107" t="s">
        <v>2834</v>
      </c>
      <c r="AF1213" s="1">
        <v>0</v>
      </c>
    </row>
    <row r="1214" spans="31:32" x14ac:dyDescent="0.25">
      <c r="AE1214" s="107" t="s">
        <v>2806</v>
      </c>
      <c r="AF1214" s="1">
        <v>0</v>
      </c>
    </row>
    <row r="1215" spans="31:32" x14ac:dyDescent="0.25">
      <c r="AE1215" s="107" t="s">
        <v>2824</v>
      </c>
      <c r="AF1215" s="1">
        <v>0</v>
      </c>
    </row>
    <row r="1216" spans="31:32" x14ac:dyDescent="0.25">
      <c r="AE1216" s="107" t="s">
        <v>2735</v>
      </c>
      <c r="AF1216" s="1">
        <v>0</v>
      </c>
    </row>
    <row r="1217" spans="31:32" x14ac:dyDescent="0.25">
      <c r="AE1217" s="107" t="s">
        <v>2826</v>
      </c>
      <c r="AF1217" s="1">
        <v>0</v>
      </c>
    </row>
    <row r="1218" spans="31:32" x14ac:dyDescent="0.25">
      <c r="AE1218" s="107" t="s">
        <v>2777</v>
      </c>
      <c r="AF1218" s="1">
        <v>0</v>
      </c>
    </row>
    <row r="1219" spans="31:32" x14ac:dyDescent="0.25">
      <c r="AE1219" s="107" t="s">
        <v>2606</v>
      </c>
      <c r="AF1219" s="1">
        <v>0</v>
      </c>
    </row>
    <row r="1220" spans="31:32" x14ac:dyDescent="0.25">
      <c r="AE1220" s="107" t="s">
        <v>2791</v>
      </c>
      <c r="AF1220" s="1">
        <v>0</v>
      </c>
    </row>
    <row r="1221" spans="31:32" x14ac:dyDescent="0.25">
      <c r="AE1221" s="107" t="s">
        <v>3002</v>
      </c>
      <c r="AF1221" s="1">
        <v>0</v>
      </c>
    </row>
    <row r="1222" spans="31:32" x14ac:dyDescent="0.25">
      <c r="AE1222" s="107" t="s">
        <v>2634</v>
      </c>
      <c r="AF1222" s="1">
        <v>0</v>
      </c>
    </row>
    <row r="1223" spans="31:32" x14ac:dyDescent="0.25">
      <c r="AE1223" s="107" t="s">
        <v>2546</v>
      </c>
      <c r="AF1223" s="1">
        <v>0</v>
      </c>
    </row>
    <row r="1224" spans="31:32" x14ac:dyDescent="0.25">
      <c r="AE1224" s="107" t="s">
        <v>2727</v>
      </c>
      <c r="AF1224" s="1">
        <v>0</v>
      </c>
    </row>
    <row r="1225" spans="31:32" x14ac:dyDescent="0.25">
      <c r="AE1225" s="107" t="s">
        <v>5007</v>
      </c>
      <c r="AF1225" s="1">
        <v>0</v>
      </c>
    </row>
    <row r="1226" spans="31:32" x14ac:dyDescent="0.25">
      <c r="AE1226" s="107" t="s">
        <v>2775</v>
      </c>
      <c r="AF1226" s="1">
        <v>0</v>
      </c>
    </row>
    <row r="1227" spans="31:32" x14ac:dyDescent="0.25">
      <c r="AE1227" s="107" t="s">
        <v>2558</v>
      </c>
      <c r="AF1227" s="1">
        <v>0</v>
      </c>
    </row>
    <row r="1228" spans="31:32" x14ac:dyDescent="0.25">
      <c r="AE1228" s="107" t="s">
        <v>2733</v>
      </c>
      <c r="AF1228" s="1">
        <v>0</v>
      </c>
    </row>
    <row r="1229" spans="31:32" x14ac:dyDescent="0.25">
      <c r="AE1229" s="107" t="s">
        <v>2685</v>
      </c>
      <c r="AF1229" s="1">
        <v>0</v>
      </c>
    </row>
    <row r="1230" spans="31:32" x14ac:dyDescent="0.25">
      <c r="AE1230" s="107" t="s">
        <v>2239</v>
      </c>
      <c r="AF1230" s="1">
        <v>0</v>
      </c>
    </row>
    <row r="1231" spans="31:32" x14ac:dyDescent="0.25">
      <c r="AE1231" s="107" t="s">
        <v>2751</v>
      </c>
      <c r="AF1231" s="1">
        <v>0</v>
      </c>
    </row>
    <row r="1232" spans="31:32" x14ac:dyDescent="0.25">
      <c r="AE1232" s="107" t="s">
        <v>2737</v>
      </c>
      <c r="AF1232" s="1">
        <v>0</v>
      </c>
    </row>
    <row r="1233" spans="31:32" x14ac:dyDescent="0.25">
      <c r="AE1233" s="107" t="s">
        <v>2816</v>
      </c>
      <c r="AF1233" s="1">
        <v>0</v>
      </c>
    </row>
    <row r="1234" spans="31:32" x14ac:dyDescent="0.25">
      <c r="AE1234" s="107" t="s">
        <v>2039</v>
      </c>
      <c r="AF1234" s="1">
        <v>0</v>
      </c>
    </row>
    <row r="1235" spans="31:32" x14ac:dyDescent="0.25">
      <c r="AE1235" s="107" t="s">
        <v>2610</v>
      </c>
      <c r="AF1235" s="1">
        <v>0</v>
      </c>
    </row>
    <row r="1236" spans="31:32" x14ac:dyDescent="0.25">
      <c r="AE1236" s="107" t="s">
        <v>2938</v>
      </c>
      <c r="AF1236" s="1">
        <v>0</v>
      </c>
    </row>
    <row r="1237" spans="31:32" x14ac:dyDescent="0.25">
      <c r="AE1237" s="107" t="s">
        <v>4983</v>
      </c>
      <c r="AF1237" s="1">
        <v>0</v>
      </c>
    </row>
    <row r="1238" spans="31:32" x14ac:dyDescent="0.25">
      <c r="AE1238" s="107" t="s">
        <v>2436</v>
      </c>
      <c r="AF1238" s="1">
        <v>0</v>
      </c>
    </row>
    <row r="1239" spans="31:32" x14ac:dyDescent="0.25">
      <c r="AE1239" s="107" t="s">
        <v>2681</v>
      </c>
      <c r="AF1239" s="1">
        <v>0</v>
      </c>
    </row>
    <row r="1240" spans="31:32" x14ac:dyDescent="0.25">
      <c r="AE1240" s="107" t="s">
        <v>4999</v>
      </c>
      <c r="AF1240" s="1">
        <v>0</v>
      </c>
    </row>
    <row r="1241" spans="31:32" x14ac:dyDescent="0.25">
      <c r="AE1241" s="107" t="s">
        <v>2996</v>
      </c>
      <c r="AF1241" s="1">
        <v>0</v>
      </c>
    </row>
    <row r="1242" spans="31:32" x14ac:dyDescent="0.25">
      <c r="AE1242" s="107" t="s">
        <v>5208</v>
      </c>
      <c r="AF1242" s="1">
        <v>0</v>
      </c>
    </row>
    <row r="1243" spans="31:32" x14ac:dyDescent="0.25">
      <c r="AE1243" s="107" t="s">
        <v>2970</v>
      </c>
      <c r="AF1243" s="1">
        <v>0</v>
      </c>
    </row>
    <row r="1244" spans="31:32" x14ac:dyDescent="0.25">
      <c r="AE1244" s="107" t="s">
        <v>2828</v>
      </c>
      <c r="AF1244" s="1">
        <v>0</v>
      </c>
    </row>
    <row r="1245" spans="31:32" x14ac:dyDescent="0.25">
      <c r="AE1245" s="107" t="s">
        <v>2882</v>
      </c>
      <c r="AF1245" s="1">
        <v>0</v>
      </c>
    </row>
    <row r="1246" spans="31:32" x14ac:dyDescent="0.25">
      <c r="AE1246" s="107" t="s">
        <v>3006</v>
      </c>
      <c r="AF1246" s="1">
        <v>0</v>
      </c>
    </row>
    <row r="1247" spans="31:32" x14ac:dyDescent="0.25">
      <c r="AE1247" s="107" t="s">
        <v>2890</v>
      </c>
      <c r="AF1247" s="1">
        <v>0</v>
      </c>
    </row>
    <row r="1248" spans="31:32" x14ac:dyDescent="0.25">
      <c r="AE1248" s="107" t="s">
        <v>2950</v>
      </c>
      <c r="AF1248" s="1">
        <v>0</v>
      </c>
    </row>
    <row r="1249" spans="31:32" x14ac:dyDescent="0.25">
      <c r="AE1249" s="107" t="s">
        <v>2578</v>
      </c>
      <c r="AF1249" s="1">
        <v>0</v>
      </c>
    </row>
    <row r="1250" spans="31:32" x14ac:dyDescent="0.25">
      <c r="AE1250" s="107" t="s">
        <v>5055</v>
      </c>
      <c r="AF1250" s="1">
        <v>0</v>
      </c>
    </row>
    <row r="1251" spans="31:32" x14ac:dyDescent="0.25">
      <c r="AE1251" s="107" t="s">
        <v>2900</v>
      </c>
      <c r="AF1251" s="1">
        <v>0</v>
      </c>
    </row>
    <row r="1252" spans="31:32" x14ac:dyDescent="0.25">
      <c r="AE1252" s="107" t="s">
        <v>2514</v>
      </c>
      <c r="AF1252" s="1">
        <v>0</v>
      </c>
    </row>
    <row r="1253" spans="31:32" x14ac:dyDescent="0.25">
      <c r="AE1253" s="107" t="s">
        <v>2894</v>
      </c>
      <c r="AF1253" s="1">
        <v>0</v>
      </c>
    </row>
    <row r="1254" spans="31:32" x14ac:dyDescent="0.25">
      <c r="AE1254" s="107" t="s">
        <v>3294</v>
      </c>
      <c r="AF1254" s="1">
        <v>0</v>
      </c>
    </row>
    <row r="1255" spans="31:32" x14ac:dyDescent="0.25">
      <c r="AE1255" s="107" t="s">
        <v>2648</v>
      </c>
      <c r="AF1255" s="1">
        <v>0</v>
      </c>
    </row>
    <row r="1256" spans="31:32" x14ac:dyDescent="0.25">
      <c r="AE1256" s="107" t="s">
        <v>2632</v>
      </c>
      <c r="AF1256" s="1">
        <v>0</v>
      </c>
    </row>
    <row r="1257" spans="31:32" x14ac:dyDescent="0.25">
      <c r="AE1257" s="107" t="s">
        <v>2570</v>
      </c>
      <c r="AF1257" s="1">
        <v>0</v>
      </c>
    </row>
    <row r="1258" spans="31:32" x14ac:dyDescent="0.25">
      <c r="AE1258" s="107" t="s">
        <v>2960</v>
      </c>
      <c r="AF1258" s="1">
        <v>0</v>
      </c>
    </row>
    <row r="1259" spans="31:32" x14ac:dyDescent="0.25">
      <c r="AE1259" s="107" t="s">
        <v>4967</v>
      </c>
      <c r="AF1259" s="1">
        <v>0</v>
      </c>
    </row>
    <row r="1260" spans="31:32" x14ac:dyDescent="0.25">
      <c r="AE1260" s="107" t="s">
        <v>5291</v>
      </c>
      <c r="AF1260" s="1">
        <v>0</v>
      </c>
    </row>
    <row r="1261" spans="31:32" x14ac:dyDescent="0.25">
      <c r="AE1261" s="107" t="s">
        <v>2701</v>
      </c>
      <c r="AF1261" s="1">
        <v>0</v>
      </c>
    </row>
    <row r="1262" spans="31:32" x14ac:dyDescent="0.25">
      <c r="AE1262" s="107" t="s">
        <v>2908</v>
      </c>
      <c r="AF1262" s="1">
        <v>0</v>
      </c>
    </row>
    <row r="1263" spans="31:32" x14ac:dyDescent="0.25">
      <c r="AE1263" s="107" t="s">
        <v>2548</v>
      </c>
      <c r="AF1263" s="1">
        <v>0</v>
      </c>
    </row>
    <row r="1264" spans="31:32" x14ac:dyDescent="0.25">
      <c r="AE1264" s="107" t="s">
        <v>2892</v>
      </c>
      <c r="AF1264" s="1">
        <v>0</v>
      </c>
    </row>
    <row r="1265" spans="31:32" x14ac:dyDescent="0.25">
      <c r="AE1265" s="107" t="s">
        <v>1364</v>
      </c>
      <c r="AF1265" s="1">
        <v>0</v>
      </c>
    </row>
    <row r="1266" spans="31:32" x14ac:dyDescent="0.25">
      <c r="AE1266" s="107" t="s">
        <v>2912</v>
      </c>
      <c r="AF1266" s="1">
        <v>0</v>
      </c>
    </row>
    <row r="1267" spans="31:32" x14ac:dyDescent="0.25">
      <c r="AE1267" s="107" t="s">
        <v>186</v>
      </c>
      <c r="AF1267" s="1">
        <v>0</v>
      </c>
    </row>
    <row r="1268" spans="31:32" x14ac:dyDescent="0.25">
      <c r="AE1268" s="107" t="s">
        <v>4805</v>
      </c>
      <c r="AF1268" s="1">
        <v>0</v>
      </c>
    </row>
    <row r="1269" spans="31:32" x14ac:dyDescent="0.25">
      <c r="AE1269" s="107" t="s">
        <v>2576</v>
      </c>
      <c r="AF1269" s="1">
        <v>0</v>
      </c>
    </row>
    <row r="1270" spans="31:32" x14ac:dyDescent="0.25">
      <c r="AE1270" s="107" t="s">
        <v>3603</v>
      </c>
      <c r="AF1270" s="1">
        <v>0</v>
      </c>
    </row>
    <row r="1271" spans="31:32" x14ac:dyDescent="0.25">
      <c r="AE1271" s="107" t="s">
        <v>2902</v>
      </c>
      <c r="AF1271" s="1">
        <v>0</v>
      </c>
    </row>
    <row r="1272" spans="31:32" x14ac:dyDescent="0.25">
      <c r="AE1272" s="107" t="s">
        <v>2846</v>
      </c>
      <c r="AF1272" s="1">
        <v>0</v>
      </c>
    </row>
    <row r="1273" spans="31:32" x14ac:dyDescent="0.25">
      <c r="AE1273" s="107" t="s">
        <v>4312</v>
      </c>
      <c r="AF1273" s="1">
        <v>0</v>
      </c>
    </row>
    <row r="1274" spans="31:32" x14ac:dyDescent="0.25">
      <c r="AE1274" s="107" t="s">
        <v>2840</v>
      </c>
      <c r="AF1274" s="1">
        <v>0</v>
      </c>
    </row>
    <row r="1275" spans="31:32" x14ac:dyDescent="0.25">
      <c r="AE1275" s="107" t="s">
        <v>2904</v>
      </c>
      <c r="AF1275" s="1">
        <v>0</v>
      </c>
    </row>
    <row r="1276" spans="31:32" x14ac:dyDescent="0.25">
      <c r="AE1276" s="107" t="s">
        <v>2616</v>
      </c>
      <c r="AF1276" s="1">
        <v>0</v>
      </c>
    </row>
    <row r="1277" spans="31:32" x14ac:dyDescent="0.25">
      <c r="AE1277" s="107" t="s">
        <v>2582</v>
      </c>
      <c r="AF1277" s="1">
        <v>0</v>
      </c>
    </row>
    <row r="1278" spans="31:32" x14ac:dyDescent="0.25">
      <c r="AE1278" s="107" t="s">
        <v>2916</v>
      </c>
      <c r="AF1278" s="1">
        <v>0</v>
      </c>
    </row>
    <row r="1279" spans="31:32" x14ac:dyDescent="0.25">
      <c r="AE1279" s="107" t="s">
        <v>2914</v>
      </c>
      <c r="AF1279" s="1">
        <v>0</v>
      </c>
    </row>
    <row r="1280" spans="31:32" x14ac:dyDescent="0.25">
      <c r="AE1280" s="107" t="s">
        <v>3004</v>
      </c>
      <c r="AF1280" s="1">
        <v>0</v>
      </c>
    </row>
    <row r="1281" spans="31:32" x14ac:dyDescent="0.25">
      <c r="AE1281" s="107" t="s">
        <v>2554</v>
      </c>
      <c r="AF1281" s="1">
        <v>0</v>
      </c>
    </row>
    <row r="1282" spans="31:32" x14ac:dyDescent="0.25">
      <c r="AE1282" s="107" t="s">
        <v>2818</v>
      </c>
      <c r="AF1282" s="1">
        <v>0</v>
      </c>
    </row>
    <row r="1283" spans="31:32" x14ac:dyDescent="0.25">
      <c r="AE1283" s="107" t="s">
        <v>2886</v>
      </c>
      <c r="AF1283" s="1">
        <v>0</v>
      </c>
    </row>
    <row r="1284" spans="31:32" x14ac:dyDescent="0.25">
      <c r="AE1284" s="107" t="s">
        <v>2562</v>
      </c>
      <c r="AF1284" s="1">
        <v>0</v>
      </c>
    </row>
    <row r="1285" spans="31:32" x14ac:dyDescent="0.25">
      <c r="AE1285" s="107" t="s">
        <v>2896</v>
      </c>
      <c r="AF1285" s="1">
        <v>0</v>
      </c>
    </row>
    <row r="1286" spans="31:32" x14ac:dyDescent="0.25">
      <c r="AE1286" s="107" t="s">
        <v>2377</v>
      </c>
      <c r="AF1286" s="1">
        <v>0</v>
      </c>
    </row>
    <row r="1287" spans="31:32" x14ac:dyDescent="0.25">
      <c r="AE1287" s="107" t="s">
        <v>2962</v>
      </c>
      <c r="AF1287" s="1">
        <v>0</v>
      </c>
    </row>
    <row r="1288" spans="31:32" x14ac:dyDescent="0.25">
      <c r="AE1288" s="107" t="s">
        <v>2369</v>
      </c>
      <c r="AF1288" s="1">
        <v>0</v>
      </c>
    </row>
    <row r="1289" spans="31:32" x14ac:dyDescent="0.25">
      <c r="AE1289" s="107" t="s">
        <v>2303</v>
      </c>
      <c r="AF1289" s="1">
        <v>0</v>
      </c>
    </row>
    <row r="1290" spans="31:32" x14ac:dyDescent="0.25">
      <c r="AE1290" s="107" t="s">
        <v>4925</v>
      </c>
      <c r="AF1290" s="1">
        <v>0</v>
      </c>
    </row>
    <row r="1291" spans="31:32" x14ac:dyDescent="0.25">
      <c r="AE1291" s="107" t="s">
        <v>1961</v>
      </c>
      <c r="AF1291" s="1">
        <v>0</v>
      </c>
    </row>
    <row r="1292" spans="31:32" x14ac:dyDescent="0.25">
      <c r="AE1292" s="107" t="s">
        <v>2432</v>
      </c>
      <c r="AF1292" s="1">
        <v>0</v>
      </c>
    </row>
    <row r="1293" spans="31:32" x14ac:dyDescent="0.25">
      <c r="AE1293" s="107" t="s">
        <v>1923</v>
      </c>
      <c r="AF1293" s="1">
        <v>0</v>
      </c>
    </row>
    <row r="1294" spans="31:32" x14ac:dyDescent="0.25">
      <c r="AE1294" s="107" t="s">
        <v>2203</v>
      </c>
      <c r="AF1294" s="1">
        <v>0</v>
      </c>
    </row>
    <row r="1295" spans="31:32" x14ac:dyDescent="0.25">
      <c r="AE1295" s="107" t="s">
        <v>1979</v>
      </c>
      <c r="AF1295" s="1">
        <v>0</v>
      </c>
    </row>
    <row r="1296" spans="31:32" x14ac:dyDescent="0.25">
      <c r="AE1296" s="107" t="s">
        <v>3070</v>
      </c>
      <c r="AF1296" s="1">
        <v>0</v>
      </c>
    </row>
    <row r="1297" spans="31:32" x14ac:dyDescent="0.25">
      <c r="AE1297" s="107" t="s">
        <v>1897</v>
      </c>
      <c r="AF1297" s="1">
        <v>0</v>
      </c>
    </row>
    <row r="1298" spans="31:32" x14ac:dyDescent="0.25">
      <c r="AE1298" s="107" t="s">
        <v>2387</v>
      </c>
      <c r="AF1298" s="1">
        <v>0</v>
      </c>
    </row>
    <row r="1299" spans="31:32" x14ac:dyDescent="0.25">
      <c r="AE1299" s="107" t="s">
        <v>1877</v>
      </c>
      <c r="AF1299" s="1">
        <v>0</v>
      </c>
    </row>
    <row r="1300" spans="31:32" x14ac:dyDescent="0.25">
      <c r="AE1300" s="107" t="s">
        <v>4957</v>
      </c>
      <c r="AF1300" s="1">
        <v>0</v>
      </c>
    </row>
    <row r="1301" spans="31:32" x14ac:dyDescent="0.25">
      <c r="AE1301" s="107" t="s">
        <v>1975</v>
      </c>
      <c r="AF1301" s="1">
        <v>0</v>
      </c>
    </row>
    <row r="1302" spans="31:32" x14ac:dyDescent="0.25">
      <c r="AE1302" s="107" t="s">
        <v>2125</v>
      </c>
      <c r="AF1302" s="1">
        <v>0</v>
      </c>
    </row>
    <row r="1303" spans="31:32" x14ac:dyDescent="0.25">
      <c r="AE1303" s="107" t="s">
        <v>4885</v>
      </c>
      <c r="AF1303" s="1">
        <v>0</v>
      </c>
    </row>
    <row r="1304" spans="31:32" x14ac:dyDescent="0.25">
      <c r="AE1304" s="107" t="s">
        <v>2191</v>
      </c>
      <c r="AF1304" s="1">
        <v>0</v>
      </c>
    </row>
    <row r="1305" spans="31:32" x14ac:dyDescent="0.25">
      <c r="AE1305" s="107" t="s">
        <v>1879</v>
      </c>
      <c r="AF1305" s="1">
        <v>0</v>
      </c>
    </row>
    <row r="1306" spans="31:32" x14ac:dyDescent="0.25">
      <c r="AE1306" s="107" t="s">
        <v>2197</v>
      </c>
      <c r="AF1306" s="1">
        <v>0</v>
      </c>
    </row>
    <row r="1307" spans="31:32" x14ac:dyDescent="0.25">
      <c r="AE1307" s="107" t="s">
        <v>1851</v>
      </c>
      <c r="AF1307" s="1">
        <v>0</v>
      </c>
    </row>
    <row r="1308" spans="31:32" x14ac:dyDescent="0.25">
      <c r="AE1308" s="107" t="s">
        <v>2223</v>
      </c>
      <c r="AF1308" s="1">
        <v>0</v>
      </c>
    </row>
    <row r="1309" spans="31:32" x14ac:dyDescent="0.25">
      <c r="AE1309" s="107" t="s">
        <v>1947</v>
      </c>
      <c r="AF1309" s="1">
        <v>0</v>
      </c>
    </row>
    <row r="1310" spans="31:32" x14ac:dyDescent="0.25">
      <c r="AE1310" s="107" t="s">
        <v>2321</v>
      </c>
      <c r="AF1310" s="1">
        <v>0</v>
      </c>
    </row>
    <row r="1311" spans="31:32" x14ac:dyDescent="0.25">
      <c r="AE1311" s="107" t="s">
        <v>1967</v>
      </c>
      <c r="AF1311" s="1">
        <v>0</v>
      </c>
    </row>
    <row r="1312" spans="31:32" x14ac:dyDescent="0.25">
      <c r="AE1312" s="107" t="s">
        <v>2353</v>
      </c>
      <c r="AF1312" s="1">
        <v>0</v>
      </c>
    </row>
    <row r="1313" spans="31:32" x14ac:dyDescent="0.25">
      <c r="AE1313" s="107" t="s">
        <v>1977</v>
      </c>
      <c r="AF1313" s="1">
        <v>0</v>
      </c>
    </row>
    <row r="1314" spans="31:32" x14ac:dyDescent="0.25">
      <c r="AE1314" s="107" t="s">
        <v>2359</v>
      </c>
      <c r="AF1314" s="1">
        <v>0</v>
      </c>
    </row>
    <row r="1315" spans="31:32" x14ac:dyDescent="0.25">
      <c r="AE1315" s="107" t="s">
        <v>1823</v>
      </c>
      <c r="AF1315" s="1">
        <v>0</v>
      </c>
    </row>
    <row r="1316" spans="31:32" x14ac:dyDescent="0.25">
      <c r="AE1316" s="107" t="s">
        <v>2345</v>
      </c>
      <c r="AF1316" s="1">
        <v>0</v>
      </c>
    </row>
    <row r="1317" spans="31:32" x14ac:dyDescent="0.25">
      <c r="AE1317" s="107" t="s">
        <v>1989</v>
      </c>
      <c r="AF1317" s="1">
        <v>0</v>
      </c>
    </row>
    <row r="1318" spans="31:32" x14ac:dyDescent="0.25">
      <c r="AE1318" s="107" t="s">
        <v>2323</v>
      </c>
      <c r="AF1318" s="1">
        <v>0</v>
      </c>
    </row>
    <row r="1319" spans="31:32" x14ac:dyDescent="0.25">
      <c r="AE1319" s="107" t="s">
        <v>1995</v>
      </c>
      <c r="AF1319" s="1">
        <v>0</v>
      </c>
    </row>
    <row r="1320" spans="31:32" x14ac:dyDescent="0.25">
      <c r="AE1320" s="107" t="s">
        <v>2285</v>
      </c>
      <c r="AF1320" s="1">
        <v>0</v>
      </c>
    </row>
    <row r="1321" spans="31:32" x14ac:dyDescent="0.25">
      <c r="AE1321" s="107" t="s">
        <v>1991</v>
      </c>
      <c r="AF1321" s="1">
        <v>0</v>
      </c>
    </row>
    <row r="1322" spans="31:32" x14ac:dyDescent="0.25">
      <c r="AE1322" s="107" t="s">
        <v>2231</v>
      </c>
      <c r="AF1322" s="1">
        <v>0</v>
      </c>
    </row>
    <row r="1323" spans="31:32" x14ac:dyDescent="0.25">
      <c r="AE1323" s="107" t="s">
        <v>2007</v>
      </c>
      <c r="AF1323" s="1">
        <v>0</v>
      </c>
    </row>
    <row r="1324" spans="31:32" x14ac:dyDescent="0.25">
      <c r="AE1324" s="107" t="s">
        <v>2115</v>
      </c>
      <c r="AF1324" s="1">
        <v>0</v>
      </c>
    </row>
    <row r="1325" spans="31:32" x14ac:dyDescent="0.25">
      <c r="AE1325" s="107" t="s">
        <v>2009</v>
      </c>
      <c r="AF1325" s="1">
        <v>0</v>
      </c>
    </row>
    <row r="1326" spans="31:32" x14ac:dyDescent="0.25">
      <c r="AE1326" s="107" t="s">
        <v>2149</v>
      </c>
      <c r="AF1326" s="1">
        <v>0</v>
      </c>
    </row>
    <row r="1327" spans="31:32" x14ac:dyDescent="0.25">
      <c r="AE1327" s="107" t="s">
        <v>2019</v>
      </c>
      <c r="AF1327" s="1">
        <v>0</v>
      </c>
    </row>
    <row r="1328" spans="31:32" x14ac:dyDescent="0.25">
      <c r="AE1328" s="107" t="s">
        <v>2205</v>
      </c>
      <c r="AF1328" s="1">
        <v>0</v>
      </c>
    </row>
    <row r="1329" spans="31:32" x14ac:dyDescent="0.25">
      <c r="AE1329" s="107" t="s">
        <v>2015</v>
      </c>
      <c r="AF1329" s="1">
        <v>0</v>
      </c>
    </row>
    <row r="1330" spans="31:32" x14ac:dyDescent="0.25">
      <c r="AE1330" s="107" t="s">
        <v>2263</v>
      </c>
      <c r="AF1330" s="1">
        <v>0</v>
      </c>
    </row>
    <row r="1331" spans="31:32" x14ac:dyDescent="0.25">
      <c r="AE1331" s="107" t="s">
        <v>2021</v>
      </c>
      <c r="AF1331" s="1">
        <v>0</v>
      </c>
    </row>
    <row r="1332" spans="31:32" x14ac:dyDescent="0.25">
      <c r="AE1332" s="107" t="s">
        <v>2249</v>
      </c>
      <c r="AF1332" s="1">
        <v>0</v>
      </c>
    </row>
    <row r="1333" spans="31:32" x14ac:dyDescent="0.25">
      <c r="AE1333" s="107" t="s">
        <v>1997</v>
      </c>
      <c r="AF1333" s="1">
        <v>0</v>
      </c>
    </row>
    <row r="1334" spans="31:32" x14ac:dyDescent="0.25">
      <c r="AE1334" s="107" t="s">
        <v>2251</v>
      </c>
      <c r="AF1334" s="1">
        <v>0</v>
      </c>
    </row>
    <row r="1335" spans="31:32" x14ac:dyDescent="0.25">
      <c r="AE1335" s="107" t="s">
        <v>4849</v>
      </c>
      <c r="AF1335" s="1">
        <v>0</v>
      </c>
    </row>
    <row r="1336" spans="31:32" x14ac:dyDescent="0.25">
      <c r="AE1336" s="107" t="s">
        <v>4933</v>
      </c>
      <c r="AF1336" s="1">
        <v>0</v>
      </c>
    </row>
    <row r="1337" spans="31:32" x14ac:dyDescent="0.25">
      <c r="AE1337" s="107" t="s">
        <v>2011</v>
      </c>
      <c r="AF1337" s="1">
        <v>0</v>
      </c>
    </row>
    <row r="1338" spans="31:32" x14ac:dyDescent="0.25">
      <c r="AE1338" s="107" t="s">
        <v>2446</v>
      </c>
      <c r="AF1338" s="1">
        <v>0</v>
      </c>
    </row>
    <row r="1339" spans="31:32" x14ac:dyDescent="0.25">
      <c r="AE1339" s="107" t="s">
        <v>4901</v>
      </c>
      <c r="AF1339" s="1">
        <v>0</v>
      </c>
    </row>
    <row r="1340" spans="31:32" x14ac:dyDescent="0.25">
      <c r="AE1340" s="107" t="s">
        <v>2425</v>
      </c>
      <c r="AF1340" s="1">
        <v>0</v>
      </c>
    </row>
    <row r="1341" spans="31:32" x14ac:dyDescent="0.25">
      <c r="AE1341" s="107" t="s">
        <v>1999</v>
      </c>
      <c r="AF1341" s="1">
        <v>0</v>
      </c>
    </row>
    <row r="1342" spans="31:32" x14ac:dyDescent="0.25">
      <c r="AE1342" s="107" t="s">
        <v>2381</v>
      </c>
      <c r="AF1342" s="1">
        <v>0</v>
      </c>
    </row>
    <row r="1343" spans="31:32" x14ac:dyDescent="0.25">
      <c r="AE1343" s="107" t="s">
        <v>2023</v>
      </c>
      <c r="AF1343" s="1">
        <v>0</v>
      </c>
    </row>
    <row r="1344" spans="31:32" x14ac:dyDescent="0.25">
      <c r="AE1344" s="107" t="s">
        <v>2339</v>
      </c>
      <c r="AF1344" s="1">
        <v>0</v>
      </c>
    </row>
    <row r="1345" spans="31:32" x14ac:dyDescent="0.25">
      <c r="AE1345" s="107" t="s">
        <v>2003</v>
      </c>
      <c r="AF1345" s="1">
        <v>0</v>
      </c>
    </row>
    <row r="1346" spans="31:32" x14ac:dyDescent="0.25">
      <c r="AE1346" s="107" t="s">
        <v>2484</v>
      </c>
      <c r="AF1346" s="1">
        <v>0</v>
      </c>
    </row>
    <row r="1347" spans="31:32" x14ac:dyDescent="0.25">
      <c r="AE1347" s="107" t="s">
        <v>2025</v>
      </c>
      <c r="AF1347" s="1">
        <v>0</v>
      </c>
    </row>
    <row r="1348" spans="31:32" x14ac:dyDescent="0.25">
      <c r="AE1348" s="107" t="s">
        <v>2373</v>
      </c>
      <c r="AF1348" s="1">
        <v>0</v>
      </c>
    </row>
    <row r="1349" spans="31:32" x14ac:dyDescent="0.25">
      <c r="AE1349" s="107" t="s">
        <v>2017</v>
      </c>
      <c r="AF1349" s="1">
        <v>0</v>
      </c>
    </row>
    <row r="1350" spans="31:32" x14ac:dyDescent="0.25">
      <c r="AE1350" s="107" t="s">
        <v>2175</v>
      </c>
      <c r="AF1350" s="1">
        <v>0</v>
      </c>
    </row>
    <row r="1351" spans="31:32" x14ac:dyDescent="0.25">
      <c r="AE1351" s="107" t="s">
        <v>4897</v>
      </c>
      <c r="AF1351" s="1">
        <v>0</v>
      </c>
    </row>
    <row r="1352" spans="31:32" x14ac:dyDescent="0.25">
      <c r="AE1352" s="107" t="s">
        <v>2185</v>
      </c>
      <c r="AF1352" s="1">
        <v>0</v>
      </c>
    </row>
    <row r="1353" spans="31:32" x14ac:dyDescent="0.25">
      <c r="AE1353" s="107" t="s">
        <v>1993</v>
      </c>
      <c r="AF1353" s="1">
        <v>0</v>
      </c>
    </row>
    <row r="1354" spans="31:32" x14ac:dyDescent="0.25">
      <c r="AE1354" s="107" t="s">
        <v>2165</v>
      </c>
      <c r="AF1354" s="1">
        <v>0</v>
      </c>
    </row>
    <row r="1355" spans="31:32" x14ac:dyDescent="0.25">
      <c r="AE1355" s="107" t="s">
        <v>2029</v>
      </c>
      <c r="AF1355" s="1">
        <v>0</v>
      </c>
    </row>
    <row r="1356" spans="31:32" x14ac:dyDescent="0.25">
      <c r="AE1356" s="107" t="s">
        <v>2157</v>
      </c>
      <c r="AF1356" s="1">
        <v>0</v>
      </c>
    </row>
    <row r="1357" spans="31:32" x14ac:dyDescent="0.25">
      <c r="AE1357" s="107" t="s">
        <v>2047</v>
      </c>
      <c r="AF1357" s="1">
        <v>0</v>
      </c>
    </row>
    <row r="1358" spans="31:32" x14ac:dyDescent="0.25">
      <c r="AE1358" s="107" t="s">
        <v>2225</v>
      </c>
      <c r="AF1358" s="1">
        <v>0</v>
      </c>
    </row>
    <row r="1359" spans="31:32" x14ac:dyDescent="0.25">
      <c r="AE1359" s="107" t="s">
        <v>4899</v>
      </c>
      <c r="AF1359" s="1">
        <v>0</v>
      </c>
    </row>
    <row r="1360" spans="31:32" x14ac:dyDescent="0.25">
      <c r="AE1360" s="107" t="s">
        <v>2013</v>
      </c>
      <c r="AF1360" s="1">
        <v>0</v>
      </c>
    </row>
    <row r="1361" spans="31:32" x14ac:dyDescent="0.25">
      <c r="AE1361" s="107" t="s">
        <v>2027</v>
      </c>
      <c r="AF1361" s="1">
        <v>0</v>
      </c>
    </row>
    <row r="1362" spans="31:32" x14ac:dyDescent="0.25">
      <c r="AE1362" s="107" t="s">
        <v>2245</v>
      </c>
      <c r="AF1362" s="1">
        <v>0</v>
      </c>
    </row>
    <row r="1363" spans="31:32" x14ac:dyDescent="0.25">
      <c r="AE1363" s="107" t="s">
        <v>2031</v>
      </c>
      <c r="AF1363" s="1">
        <v>0</v>
      </c>
    </row>
    <row r="1364" spans="31:32" x14ac:dyDescent="0.25">
      <c r="AE1364" s="107" t="s">
        <v>2211</v>
      </c>
      <c r="AF1364" s="1">
        <v>0</v>
      </c>
    </row>
    <row r="1365" spans="31:32" x14ac:dyDescent="0.25">
      <c r="AE1365" s="107" t="s">
        <v>2043</v>
      </c>
      <c r="AF1365" s="1">
        <v>0</v>
      </c>
    </row>
    <row r="1366" spans="31:32" x14ac:dyDescent="0.25">
      <c r="AE1366" s="107" t="s">
        <v>4278</v>
      </c>
      <c r="AF1366" s="1">
        <v>0</v>
      </c>
    </row>
    <row r="1367" spans="31:32" x14ac:dyDescent="0.25">
      <c r="AE1367" s="107" t="s">
        <v>2033</v>
      </c>
      <c r="AF1367" s="1">
        <v>0</v>
      </c>
    </row>
    <row r="1368" spans="31:32" x14ac:dyDescent="0.25">
      <c r="AE1368" s="107" t="s">
        <v>4915</v>
      </c>
      <c r="AF1368" s="1">
        <v>0</v>
      </c>
    </row>
    <row r="1369" spans="31:32" x14ac:dyDescent="0.25">
      <c r="AE1369" s="107" t="s">
        <v>4895</v>
      </c>
      <c r="AF1369" s="1">
        <v>0</v>
      </c>
    </row>
    <row r="1370" spans="31:32" x14ac:dyDescent="0.25">
      <c r="AE1370" s="107" t="s">
        <v>2253</v>
      </c>
      <c r="AF1370" s="1">
        <v>0</v>
      </c>
    </row>
    <row r="1371" spans="31:32" x14ac:dyDescent="0.25">
      <c r="AE1371" s="107" t="s">
        <v>1985</v>
      </c>
      <c r="AF1371" s="1">
        <v>0</v>
      </c>
    </row>
    <row r="1372" spans="31:32" x14ac:dyDescent="0.25">
      <c r="AE1372" s="107" t="s">
        <v>2193</v>
      </c>
      <c r="AF1372" s="1">
        <v>0</v>
      </c>
    </row>
    <row r="1373" spans="31:32" x14ac:dyDescent="0.25">
      <c r="AE1373" s="107" t="s">
        <v>1983</v>
      </c>
      <c r="AF1373" s="1">
        <v>0</v>
      </c>
    </row>
    <row r="1374" spans="31:32" x14ac:dyDescent="0.25">
      <c r="AE1374" s="107" t="s">
        <v>2259</v>
      </c>
      <c r="AF1374" s="1">
        <v>0</v>
      </c>
    </row>
    <row r="1375" spans="31:32" x14ac:dyDescent="0.25">
      <c r="AE1375" s="107" t="s">
        <v>1548</v>
      </c>
      <c r="AF1375" s="1">
        <v>0</v>
      </c>
    </row>
    <row r="1376" spans="31:32" x14ac:dyDescent="0.25">
      <c r="AE1376" s="107" t="s">
        <v>2261</v>
      </c>
      <c r="AF1376" s="1">
        <v>0</v>
      </c>
    </row>
    <row r="1377" spans="31:32" x14ac:dyDescent="0.25">
      <c r="AE1377" s="107" t="s">
        <v>2035</v>
      </c>
      <c r="AF1377" s="1">
        <v>0</v>
      </c>
    </row>
    <row r="1378" spans="31:32" x14ac:dyDescent="0.25">
      <c r="AE1378" s="107" t="s">
        <v>2221</v>
      </c>
      <c r="AF1378" s="1">
        <v>0</v>
      </c>
    </row>
    <row r="1379" spans="31:32" x14ac:dyDescent="0.25">
      <c r="AE1379" s="107" t="s">
        <v>2037</v>
      </c>
      <c r="AF1379" s="1">
        <v>0</v>
      </c>
    </row>
    <row r="1380" spans="31:32" x14ac:dyDescent="0.25">
      <c r="AE1380" s="107" t="s">
        <v>2267</v>
      </c>
      <c r="AF1380" s="1">
        <v>0</v>
      </c>
    </row>
    <row r="1381" spans="31:32" x14ac:dyDescent="0.25">
      <c r="AE1381" s="107" t="s">
        <v>2049</v>
      </c>
      <c r="AF1381" s="1">
        <v>0</v>
      </c>
    </row>
    <row r="1382" spans="31:32" x14ac:dyDescent="0.25">
      <c r="AE1382" s="107" t="s">
        <v>2305</v>
      </c>
      <c r="AF1382" s="1">
        <v>0</v>
      </c>
    </row>
    <row r="1383" spans="31:32" x14ac:dyDescent="0.25">
      <c r="AE1383" s="107" t="s">
        <v>2041</v>
      </c>
      <c r="AF1383" s="1">
        <v>0</v>
      </c>
    </row>
    <row r="1384" spans="31:32" x14ac:dyDescent="0.25">
      <c r="AE1384" s="107" t="s">
        <v>2273</v>
      </c>
      <c r="AF1384" s="1">
        <v>0</v>
      </c>
    </row>
    <row r="1385" spans="31:32" x14ac:dyDescent="0.25">
      <c r="AE1385" s="107" t="s">
        <v>2045</v>
      </c>
      <c r="AF1385" s="1">
        <v>0</v>
      </c>
    </row>
    <row r="1386" spans="31:32" x14ac:dyDescent="0.25">
      <c r="AE1386" s="107" t="s">
        <v>2317</v>
      </c>
      <c r="AF1386" s="1">
        <v>0</v>
      </c>
    </row>
    <row r="1387" spans="31:32" x14ac:dyDescent="0.25">
      <c r="AE1387" s="107" t="s">
        <v>2051</v>
      </c>
      <c r="AF1387" s="1">
        <v>0</v>
      </c>
    </row>
    <row r="1388" spans="31:32" x14ac:dyDescent="0.25">
      <c r="AE1388" s="107" t="s">
        <v>4927</v>
      </c>
      <c r="AF1388" s="1">
        <v>0</v>
      </c>
    </row>
    <row r="1389" spans="31:32" x14ac:dyDescent="0.25">
      <c r="AE1389" s="107" t="s">
        <v>2053</v>
      </c>
      <c r="AF1389" s="1">
        <v>0</v>
      </c>
    </row>
    <row r="1390" spans="31:32" x14ac:dyDescent="0.25">
      <c r="AE1390" s="107" t="s">
        <v>2357</v>
      </c>
      <c r="AF1390" s="1">
        <v>0</v>
      </c>
    </row>
    <row r="1391" spans="31:32" x14ac:dyDescent="0.25">
      <c r="AE1391" s="107" t="s">
        <v>2091</v>
      </c>
      <c r="AF1391" s="1">
        <v>0</v>
      </c>
    </row>
    <row r="1392" spans="31:32" x14ac:dyDescent="0.25">
      <c r="AE1392" s="107" t="s">
        <v>2331</v>
      </c>
      <c r="AF1392" s="1">
        <v>0</v>
      </c>
    </row>
    <row r="1393" spans="31:32" x14ac:dyDescent="0.25">
      <c r="AE1393" s="107" t="s">
        <v>2055</v>
      </c>
      <c r="AF1393" s="1">
        <v>0</v>
      </c>
    </row>
    <row r="1394" spans="31:32" x14ac:dyDescent="0.25">
      <c r="AE1394" s="107" t="s">
        <v>2524</v>
      </c>
      <c r="AF1394" s="1">
        <v>0</v>
      </c>
    </row>
    <row r="1395" spans="31:32" x14ac:dyDescent="0.25">
      <c r="AE1395" s="107" t="s">
        <v>2057</v>
      </c>
      <c r="AF1395" s="1">
        <v>0</v>
      </c>
    </row>
    <row r="1396" spans="31:32" x14ac:dyDescent="0.25">
      <c r="AE1396" s="107" t="s">
        <v>2448</v>
      </c>
      <c r="AF1396" s="1">
        <v>0</v>
      </c>
    </row>
    <row r="1397" spans="31:32" x14ac:dyDescent="0.25">
      <c r="AE1397" s="107" t="s">
        <v>2105</v>
      </c>
      <c r="AF1397" s="1">
        <v>0</v>
      </c>
    </row>
    <row r="1398" spans="31:32" x14ac:dyDescent="0.25">
      <c r="AE1398" s="107" t="s">
        <v>2385</v>
      </c>
      <c r="AF1398" s="1">
        <v>0</v>
      </c>
    </row>
    <row r="1399" spans="31:32" x14ac:dyDescent="0.25">
      <c r="AE1399" s="107" t="s">
        <v>4903</v>
      </c>
      <c r="AF1399" s="1">
        <v>0</v>
      </c>
    </row>
    <row r="1400" spans="31:32" x14ac:dyDescent="0.25">
      <c r="AE1400" s="107" t="s">
        <v>2337</v>
      </c>
      <c r="AF1400" s="1">
        <v>0</v>
      </c>
    </row>
    <row r="1401" spans="31:32" x14ac:dyDescent="0.25">
      <c r="AE1401" s="107" t="s">
        <v>4909</v>
      </c>
      <c r="AF1401" s="1">
        <v>0</v>
      </c>
    </row>
    <row r="1402" spans="31:32" x14ac:dyDescent="0.25">
      <c r="AE1402" s="107" t="s">
        <v>2363</v>
      </c>
      <c r="AF1402" s="1">
        <v>0</v>
      </c>
    </row>
    <row r="1403" spans="31:32" x14ac:dyDescent="0.25">
      <c r="AE1403" s="107" t="s">
        <v>2093</v>
      </c>
      <c r="AF1403" s="1">
        <v>0</v>
      </c>
    </row>
    <row r="1404" spans="31:32" x14ac:dyDescent="0.25">
      <c r="AE1404" s="107" t="s">
        <v>2343</v>
      </c>
      <c r="AF1404" s="1">
        <v>0</v>
      </c>
    </row>
    <row r="1405" spans="31:32" x14ac:dyDescent="0.25">
      <c r="AE1405" s="107" t="s">
        <v>2099</v>
      </c>
      <c r="AF1405" s="1">
        <v>0</v>
      </c>
    </row>
    <row r="1406" spans="31:32" x14ac:dyDescent="0.25">
      <c r="AE1406" s="107" t="s">
        <v>2787</v>
      </c>
      <c r="AF1406" s="1">
        <v>0</v>
      </c>
    </row>
    <row r="1407" spans="31:32" x14ac:dyDescent="0.25">
      <c r="AE1407" s="107" t="s">
        <v>2059</v>
      </c>
      <c r="AF1407" s="1">
        <v>0</v>
      </c>
    </row>
    <row r="1408" spans="31:32" x14ac:dyDescent="0.25">
      <c r="AE1408" s="107" t="s">
        <v>2526</v>
      </c>
      <c r="AF1408" s="1">
        <v>0</v>
      </c>
    </row>
    <row r="1409" spans="31:32" x14ac:dyDescent="0.25">
      <c r="AE1409" s="107" t="s">
        <v>2071</v>
      </c>
      <c r="AF1409" s="1">
        <v>0</v>
      </c>
    </row>
    <row r="1410" spans="31:32" x14ac:dyDescent="0.25">
      <c r="AE1410" s="107" t="s">
        <v>3469</v>
      </c>
      <c r="AF1410" s="1">
        <v>0</v>
      </c>
    </row>
    <row r="1411" spans="31:32" x14ac:dyDescent="0.25">
      <c r="AE1411" s="107" t="s">
        <v>2075</v>
      </c>
      <c r="AF1411" s="1">
        <v>0</v>
      </c>
    </row>
    <row r="1412" spans="31:32" x14ac:dyDescent="0.25">
      <c r="AE1412" s="107" t="s">
        <v>2520</v>
      </c>
      <c r="AF1412" s="1">
        <v>0</v>
      </c>
    </row>
    <row r="1413" spans="31:32" x14ac:dyDescent="0.25">
      <c r="AE1413" s="107" t="s">
        <v>2101</v>
      </c>
      <c r="AF1413" s="1">
        <v>0</v>
      </c>
    </row>
    <row r="1414" spans="31:32" x14ac:dyDescent="0.25">
      <c r="AE1414" s="107" t="s">
        <v>2403</v>
      </c>
      <c r="AF1414" s="1">
        <v>0</v>
      </c>
    </row>
    <row r="1415" spans="31:32" x14ac:dyDescent="0.25">
      <c r="AE1415" s="107" t="s">
        <v>2065</v>
      </c>
      <c r="AF1415" s="1">
        <v>0</v>
      </c>
    </row>
    <row r="1416" spans="31:32" x14ac:dyDescent="0.25">
      <c r="AE1416" s="107" t="s">
        <v>2291</v>
      </c>
      <c r="AF1416" s="1">
        <v>0</v>
      </c>
    </row>
    <row r="1417" spans="31:32" x14ac:dyDescent="0.25">
      <c r="AE1417" s="107" t="s">
        <v>2073</v>
      </c>
      <c r="AF1417" s="1">
        <v>0</v>
      </c>
    </row>
    <row r="1418" spans="31:32" x14ac:dyDescent="0.25">
      <c r="AE1418" s="107" t="s">
        <v>2177</v>
      </c>
      <c r="AF1418" s="1">
        <v>0</v>
      </c>
    </row>
    <row r="1419" spans="31:32" x14ac:dyDescent="0.25">
      <c r="AE1419" s="107" t="s">
        <v>2077</v>
      </c>
      <c r="AF1419" s="1">
        <v>0</v>
      </c>
    </row>
    <row r="1420" spans="31:32" x14ac:dyDescent="0.25">
      <c r="AE1420" s="107" t="s">
        <v>2187</v>
      </c>
      <c r="AF1420" s="1">
        <v>0</v>
      </c>
    </row>
    <row r="1421" spans="31:32" x14ac:dyDescent="0.25">
      <c r="AE1421" s="107" t="s">
        <v>2063</v>
      </c>
      <c r="AF1421" s="1">
        <v>0</v>
      </c>
    </row>
    <row r="1422" spans="31:32" x14ac:dyDescent="0.25">
      <c r="AE1422" s="107" t="s">
        <v>2189</v>
      </c>
      <c r="AF1422" s="1">
        <v>0</v>
      </c>
    </row>
    <row r="1423" spans="31:32" x14ac:dyDescent="0.25">
      <c r="AE1423" s="107" t="s">
        <v>2079</v>
      </c>
      <c r="AF1423" s="1">
        <v>0</v>
      </c>
    </row>
    <row r="1424" spans="31:32" x14ac:dyDescent="0.25">
      <c r="AE1424" s="107" t="s">
        <v>2195</v>
      </c>
      <c r="AF1424" s="1">
        <v>0</v>
      </c>
    </row>
    <row r="1425" spans="31:32" x14ac:dyDescent="0.25">
      <c r="AE1425" s="107" t="s">
        <v>2081</v>
      </c>
      <c r="AF1425" s="1">
        <v>0</v>
      </c>
    </row>
    <row r="1426" spans="31:32" x14ac:dyDescent="0.25">
      <c r="AE1426" s="107" t="s">
        <v>2199</v>
      </c>
      <c r="AF1426" s="1">
        <v>0</v>
      </c>
    </row>
    <row r="1427" spans="31:32" x14ac:dyDescent="0.25">
      <c r="AE1427" s="107" t="s">
        <v>2087</v>
      </c>
      <c r="AF1427" s="1">
        <v>0</v>
      </c>
    </row>
    <row r="1428" spans="31:32" x14ac:dyDescent="0.25">
      <c r="AE1428" s="107" t="s">
        <v>4921</v>
      </c>
      <c r="AF1428" s="1">
        <v>0</v>
      </c>
    </row>
    <row r="1429" spans="31:32" x14ac:dyDescent="0.25">
      <c r="AE1429" s="107" t="s">
        <v>2061</v>
      </c>
      <c r="AF1429" s="1">
        <v>0</v>
      </c>
    </row>
    <row r="1430" spans="31:32" x14ac:dyDescent="0.25">
      <c r="AE1430" s="107" t="s">
        <v>4923</v>
      </c>
      <c r="AF1430" s="1">
        <v>0</v>
      </c>
    </row>
    <row r="1431" spans="31:32" x14ac:dyDescent="0.25">
      <c r="AE1431" s="107" t="s">
        <v>2083</v>
      </c>
      <c r="AF1431" s="1">
        <v>0</v>
      </c>
    </row>
    <row r="1432" spans="31:32" x14ac:dyDescent="0.25">
      <c r="AE1432" s="107" t="s">
        <v>4913</v>
      </c>
      <c r="AF1432" s="1">
        <v>0</v>
      </c>
    </row>
    <row r="1433" spans="31:32" x14ac:dyDescent="0.25">
      <c r="AE1433" s="107" t="s">
        <v>4905</v>
      </c>
      <c r="AF1433" s="1">
        <v>0</v>
      </c>
    </row>
    <row r="1434" spans="31:32" x14ac:dyDescent="0.25">
      <c r="AE1434" s="107" t="s">
        <v>2153</v>
      </c>
      <c r="AF1434" s="1">
        <v>0</v>
      </c>
    </row>
    <row r="1435" spans="31:32" x14ac:dyDescent="0.25">
      <c r="AE1435" s="107" t="s">
        <v>2069</v>
      </c>
      <c r="AF1435" s="1">
        <v>0</v>
      </c>
    </row>
    <row r="1436" spans="31:32" x14ac:dyDescent="0.25">
      <c r="AE1436" s="107" t="s">
        <v>2143</v>
      </c>
      <c r="AF1436" s="1">
        <v>0</v>
      </c>
    </row>
    <row r="1437" spans="31:32" x14ac:dyDescent="0.25">
      <c r="AE1437" s="107" t="s">
        <v>2103</v>
      </c>
      <c r="AF1437" s="1">
        <v>0</v>
      </c>
    </row>
    <row r="1438" spans="31:32" x14ac:dyDescent="0.25">
      <c r="AE1438" s="107" t="s">
        <v>2217</v>
      </c>
      <c r="AF1438" s="1">
        <v>0</v>
      </c>
    </row>
    <row r="1439" spans="31:32" x14ac:dyDescent="0.25">
      <c r="AE1439" s="107" t="s">
        <v>2107</v>
      </c>
      <c r="AF1439" s="1">
        <v>0</v>
      </c>
    </row>
    <row r="1440" spans="31:32" x14ac:dyDescent="0.25">
      <c r="AE1440" s="107" t="s">
        <v>2179</v>
      </c>
      <c r="AF1440" s="1">
        <v>0</v>
      </c>
    </row>
    <row r="1441" spans="31:32" x14ac:dyDescent="0.25">
      <c r="AE1441" s="107" t="s">
        <v>2085</v>
      </c>
      <c r="AF1441" s="1">
        <v>0</v>
      </c>
    </row>
    <row r="1442" spans="31:32" x14ac:dyDescent="0.25">
      <c r="AE1442" s="107" t="s">
        <v>2201</v>
      </c>
      <c r="AF1442" s="1">
        <v>0</v>
      </c>
    </row>
    <row r="1443" spans="31:32" x14ac:dyDescent="0.25">
      <c r="AE1443" s="107" t="s">
        <v>4907</v>
      </c>
      <c r="AF1443" s="1">
        <v>0</v>
      </c>
    </row>
    <row r="1444" spans="31:32" x14ac:dyDescent="0.25">
      <c r="AE1444" s="107" t="s">
        <v>2287</v>
      </c>
      <c r="AF1444" s="1">
        <v>0</v>
      </c>
    </row>
    <row r="1445" spans="31:32" x14ac:dyDescent="0.25">
      <c r="AE1445" s="107" t="s">
        <v>2097</v>
      </c>
      <c r="AF1445" s="1">
        <v>0</v>
      </c>
    </row>
    <row r="1446" spans="31:32" x14ac:dyDescent="0.25">
      <c r="AE1446" s="107" t="s">
        <v>4276</v>
      </c>
      <c r="AF1446" s="1">
        <v>0</v>
      </c>
    </row>
    <row r="1447" spans="31:32" x14ac:dyDescent="0.25">
      <c r="AE1447" s="107" t="s">
        <v>2095</v>
      </c>
      <c r="AF1447" s="1">
        <v>0</v>
      </c>
    </row>
    <row r="1448" spans="31:32" x14ac:dyDescent="0.25">
      <c r="AE1448" s="107" t="s">
        <v>2181</v>
      </c>
      <c r="AF1448" s="1">
        <v>0</v>
      </c>
    </row>
    <row r="1449" spans="31:32" x14ac:dyDescent="0.25">
      <c r="AE1449" s="107" t="s">
        <v>5061</v>
      </c>
      <c r="AF1449" s="1">
        <v>0</v>
      </c>
    </row>
    <row r="1450" spans="31:32" x14ac:dyDescent="0.25">
      <c r="AE1450" s="107" t="s">
        <v>2155</v>
      </c>
      <c r="AF1450" s="1">
        <v>0</v>
      </c>
    </row>
    <row r="1451" spans="31:32" x14ac:dyDescent="0.25">
      <c r="AE1451" s="107" t="s">
        <v>2089</v>
      </c>
      <c r="AF1451" s="1">
        <v>0</v>
      </c>
    </row>
    <row r="1452" spans="31:32" x14ac:dyDescent="0.25">
      <c r="AE1452" s="107" t="s">
        <v>2289</v>
      </c>
      <c r="AF1452" s="1">
        <v>0</v>
      </c>
    </row>
    <row r="1453" spans="31:32" x14ac:dyDescent="0.25">
      <c r="AE1453" s="107" t="s">
        <v>2067</v>
      </c>
      <c r="AF1453" s="1">
        <v>0</v>
      </c>
    </row>
    <row r="1454" spans="31:32" x14ac:dyDescent="0.25">
      <c r="AE1454" s="107" t="s">
        <v>2311</v>
      </c>
      <c r="AF1454" s="1">
        <v>0</v>
      </c>
    </row>
    <row r="1455" spans="31:32" x14ac:dyDescent="0.25">
      <c r="AE1455" s="107" t="s">
        <v>2111</v>
      </c>
      <c r="AF1455" s="1">
        <v>0</v>
      </c>
    </row>
    <row r="1456" spans="31:32" x14ac:dyDescent="0.25">
      <c r="AE1456" s="107" t="s">
        <v>2277</v>
      </c>
      <c r="AF1456" s="1">
        <v>0</v>
      </c>
    </row>
    <row r="1457" spans="31:32" x14ac:dyDescent="0.25">
      <c r="AE1457" s="107" t="s">
        <v>4911</v>
      </c>
      <c r="AF1457" s="1">
        <v>0</v>
      </c>
    </row>
    <row r="1458" spans="31:32" x14ac:dyDescent="0.25">
      <c r="AE1458" s="107" t="s">
        <v>2151</v>
      </c>
      <c r="AF1458" s="1">
        <v>0</v>
      </c>
    </row>
    <row r="1459" spans="31:32" x14ac:dyDescent="0.25">
      <c r="AE1459" s="107" t="s">
        <v>2113</v>
      </c>
      <c r="AF1459" s="1">
        <v>0</v>
      </c>
    </row>
    <row r="1460" spans="31:32" x14ac:dyDescent="0.25">
      <c r="AE1460" s="107" t="s">
        <v>2159</v>
      </c>
      <c r="AF1460" s="1">
        <v>0</v>
      </c>
    </row>
    <row r="1461" spans="31:32" x14ac:dyDescent="0.25">
      <c r="AE1461" s="107" t="s">
        <v>2163</v>
      </c>
      <c r="AF1461" s="1">
        <v>0</v>
      </c>
    </row>
    <row r="1462" spans="31:32" x14ac:dyDescent="0.25">
      <c r="AE1462" s="107" t="s">
        <v>2257</v>
      </c>
      <c r="AF1462" s="1">
        <v>0</v>
      </c>
    </row>
    <row r="1463" spans="31:32" x14ac:dyDescent="0.25">
      <c r="AE1463" s="107" t="s">
        <v>2183</v>
      </c>
      <c r="AF1463" s="1">
        <v>0</v>
      </c>
    </row>
    <row r="1464" spans="31:32" x14ac:dyDescent="0.25">
      <c r="AE1464" s="107" t="s">
        <v>2215</v>
      </c>
      <c r="AF1464" s="1">
        <v>0</v>
      </c>
    </row>
    <row r="1465" spans="31:32" x14ac:dyDescent="0.25">
      <c r="AE1465" s="107" t="s">
        <v>2119</v>
      </c>
      <c r="AF1465" s="1">
        <v>0</v>
      </c>
    </row>
    <row r="1466" spans="31:32" x14ac:dyDescent="0.25">
      <c r="AE1466" s="107" t="s">
        <v>2167</v>
      </c>
      <c r="AF1466" s="1">
        <v>0</v>
      </c>
    </row>
    <row r="1467" spans="31:32" x14ac:dyDescent="0.25">
      <c r="AE1467" s="107" t="s">
        <v>2235</v>
      </c>
      <c r="AF1467" s="1">
        <v>0</v>
      </c>
    </row>
    <row r="1468" spans="31:32" x14ac:dyDescent="0.25">
      <c r="AE1468" s="107" t="s">
        <v>2265</v>
      </c>
      <c r="AF1468" s="1">
        <v>0</v>
      </c>
    </row>
    <row r="1469" spans="31:32" x14ac:dyDescent="0.25">
      <c r="AE1469" s="107" t="s">
        <v>2209</v>
      </c>
      <c r="AF1469" s="1">
        <v>0</v>
      </c>
    </row>
    <row r="1470" spans="31:32" x14ac:dyDescent="0.25">
      <c r="AE1470" s="107" t="s">
        <v>2219</v>
      </c>
      <c r="AF1470" s="1">
        <v>0</v>
      </c>
    </row>
    <row r="1471" spans="31:32" x14ac:dyDescent="0.25">
      <c r="AE1471" s="107" t="s">
        <v>2121</v>
      </c>
      <c r="AF1471" s="1">
        <v>0</v>
      </c>
    </row>
    <row r="1472" spans="31:32" x14ac:dyDescent="0.25">
      <c r="AE1472" s="107" t="s">
        <v>2135</v>
      </c>
      <c r="AF1472" s="1">
        <v>0</v>
      </c>
    </row>
    <row r="1473" spans="31:32" x14ac:dyDescent="0.25">
      <c r="AE1473" s="107" t="s">
        <v>2145</v>
      </c>
      <c r="AF1473" s="1">
        <v>0</v>
      </c>
    </row>
    <row r="1474" spans="31:32" x14ac:dyDescent="0.25">
      <c r="AE1474" s="107" t="s">
        <v>395</v>
      </c>
      <c r="AF1474" s="1">
        <v>0</v>
      </c>
    </row>
    <row r="1475" spans="31:32" x14ac:dyDescent="0.25">
      <c r="AE1475" s="107" t="s">
        <v>2233</v>
      </c>
      <c r="AF1475" s="1">
        <v>0</v>
      </c>
    </row>
    <row r="1476" spans="31:32" x14ac:dyDescent="0.25">
      <c r="AE1476" s="107" t="s">
        <v>2301</v>
      </c>
      <c r="AF1476" s="1">
        <v>0</v>
      </c>
    </row>
    <row r="1477" spans="31:32" x14ac:dyDescent="0.25">
      <c r="AE1477" s="107" t="s">
        <v>2117</v>
      </c>
      <c r="AF1477" s="1">
        <v>0</v>
      </c>
    </row>
    <row r="1478" spans="31:32" x14ac:dyDescent="0.25">
      <c r="AE1478" s="107" t="s">
        <v>2299</v>
      </c>
      <c r="AF1478" s="1">
        <v>0</v>
      </c>
    </row>
    <row r="1479" spans="31:32" x14ac:dyDescent="0.25">
      <c r="AE1479" s="107" t="s">
        <v>2141</v>
      </c>
      <c r="AF1479" s="1">
        <v>0</v>
      </c>
    </row>
    <row r="1480" spans="31:32" x14ac:dyDescent="0.25">
      <c r="AE1480" s="107" t="s">
        <v>2307</v>
      </c>
      <c r="AF1480" s="1">
        <v>0</v>
      </c>
    </row>
    <row r="1481" spans="31:32" x14ac:dyDescent="0.25">
      <c r="AE1481" s="107" t="s">
        <v>3447</v>
      </c>
      <c r="AF1481" s="1">
        <v>0</v>
      </c>
    </row>
    <row r="1482" spans="31:32" x14ac:dyDescent="0.25">
      <c r="AE1482" s="107" t="s">
        <v>3459</v>
      </c>
      <c r="AF1482" s="1">
        <v>0</v>
      </c>
    </row>
    <row r="1483" spans="31:32" x14ac:dyDescent="0.25">
      <c r="AE1483" s="107" t="s">
        <v>2227</v>
      </c>
      <c r="AF1483" s="1">
        <v>0</v>
      </c>
    </row>
    <row r="1484" spans="31:32" x14ac:dyDescent="0.25">
      <c r="AE1484" s="107" t="s">
        <v>2309</v>
      </c>
      <c r="AF1484" s="1">
        <v>0</v>
      </c>
    </row>
    <row r="1485" spans="31:32" x14ac:dyDescent="0.25">
      <c r="AE1485" s="107" t="s">
        <v>2213</v>
      </c>
      <c r="AF1485" s="1">
        <v>0</v>
      </c>
    </row>
    <row r="1486" spans="31:32" x14ac:dyDescent="0.25">
      <c r="AE1486" s="107" t="s">
        <v>2139</v>
      </c>
      <c r="AF1486" s="1">
        <v>0</v>
      </c>
    </row>
    <row r="1487" spans="31:32" x14ac:dyDescent="0.25">
      <c r="AE1487" s="107" t="s">
        <v>2229</v>
      </c>
      <c r="AF1487" s="1">
        <v>0</v>
      </c>
    </row>
    <row r="1488" spans="31:32" x14ac:dyDescent="0.25">
      <c r="AE1488" s="107" t="s">
        <v>2297</v>
      </c>
      <c r="AF1488" s="1">
        <v>0</v>
      </c>
    </row>
    <row r="1489" spans="31:32" x14ac:dyDescent="0.25">
      <c r="AE1489" s="107" t="s">
        <v>2269</v>
      </c>
      <c r="AF1489" s="1">
        <v>0</v>
      </c>
    </row>
    <row r="1490" spans="31:32" x14ac:dyDescent="0.25">
      <c r="AE1490" s="107" t="s">
        <v>2319</v>
      </c>
      <c r="AF1490" s="1">
        <v>0</v>
      </c>
    </row>
    <row r="1491" spans="31:32" x14ac:dyDescent="0.25">
      <c r="AE1491" s="107" t="s">
        <v>2123</v>
      </c>
      <c r="AF1491" s="1">
        <v>0</v>
      </c>
    </row>
    <row r="1492" spans="31:32" x14ac:dyDescent="0.25">
      <c r="AE1492" s="107" t="s">
        <v>2325</v>
      </c>
      <c r="AF1492" s="1">
        <v>0</v>
      </c>
    </row>
    <row r="1493" spans="31:32" x14ac:dyDescent="0.25">
      <c r="AE1493" s="107" t="s">
        <v>2137</v>
      </c>
      <c r="AF1493" s="1">
        <v>0</v>
      </c>
    </row>
    <row r="1494" spans="31:32" x14ac:dyDescent="0.25">
      <c r="AE1494" s="107" t="s">
        <v>2329</v>
      </c>
      <c r="AF1494" s="1">
        <v>0</v>
      </c>
    </row>
    <row r="1495" spans="31:32" x14ac:dyDescent="0.25">
      <c r="AE1495" s="107" t="s">
        <v>2241</v>
      </c>
      <c r="AF1495" s="1">
        <v>0</v>
      </c>
    </row>
    <row r="1496" spans="31:32" x14ac:dyDescent="0.25">
      <c r="AE1496" s="107" t="s">
        <v>2506</v>
      </c>
      <c r="AF1496" s="1">
        <v>0</v>
      </c>
    </row>
    <row r="1497" spans="31:32" x14ac:dyDescent="0.25">
      <c r="AE1497" s="107" t="s">
        <v>2127</v>
      </c>
      <c r="AF1497" s="1">
        <v>0</v>
      </c>
    </row>
    <row r="1498" spans="31:32" x14ac:dyDescent="0.25">
      <c r="AE1498" s="107" t="s">
        <v>2395</v>
      </c>
      <c r="AF1498" s="1">
        <v>0</v>
      </c>
    </row>
    <row r="1499" spans="31:32" x14ac:dyDescent="0.25">
      <c r="AE1499" s="107" t="s">
        <v>4917</v>
      </c>
      <c r="AF1499" s="1">
        <v>0</v>
      </c>
    </row>
    <row r="1500" spans="31:32" x14ac:dyDescent="0.25">
      <c r="AE1500" s="107" t="s">
        <v>4937</v>
      </c>
      <c r="AF1500" s="1">
        <v>0</v>
      </c>
    </row>
    <row r="1501" spans="31:32" x14ac:dyDescent="0.25">
      <c r="AE1501" s="107" t="s">
        <v>2207</v>
      </c>
      <c r="AF1501" s="1">
        <v>0</v>
      </c>
    </row>
    <row r="1502" spans="31:32" x14ac:dyDescent="0.25">
      <c r="AE1502" s="107" t="s">
        <v>2383</v>
      </c>
      <c r="AF1502" s="1">
        <v>0</v>
      </c>
    </row>
    <row r="1503" spans="31:32" x14ac:dyDescent="0.25">
      <c r="AE1503" s="107" t="s">
        <v>2315</v>
      </c>
      <c r="AF1503" s="1">
        <v>0</v>
      </c>
    </row>
    <row r="1504" spans="31:32" x14ac:dyDescent="0.25">
      <c r="AE1504" s="107" t="s">
        <v>2389</v>
      </c>
      <c r="AF1504" s="1">
        <v>0</v>
      </c>
    </row>
    <row r="1505" spans="31:32" x14ac:dyDescent="0.25">
      <c r="AE1505" s="107" t="s">
        <v>2255</v>
      </c>
      <c r="AF1505" s="1">
        <v>0</v>
      </c>
    </row>
    <row r="1506" spans="31:32" x14ac:dyDescent="0.25">
      <c r="AE1506" s="107" t="s">
        <v>2173</v>
      </c>
      <c r="AF1506" s="1">
        <v>0</v>
      </c>
    </row>
    <row r="1507" spans="31:32" x14ac:dyDescent="0.25">
      <c r="AE1507" s="107" t="s">
        <v>2129</v>
      </c>
      <c r="AF1507" s="1">
        <v>0</v>
      </c>
    </row>
    <row r="1508" spans="31:32" x14ac:dyDescent="0.25">
      <c r="AE1508" s="107" t="s">
        <v>2430</v>
      </c>
      <c r="AF1508" s="1">
        <v>0</v>
      </c>
    </row>
    <row r="1509" spans="31:32" x14ac:dyDescent="0.25">
      <c r="AE1509" s="107" t="s">
        <v>4919</v>
      </c>
      <c r="AF1509" s="1">
        <v>0</v>
      </c>
    </row>
    <row r="1510" spans="31:32" x14ac:dyDescent="0.25">
      <c r="AE1510" s="107" t="s">
        <v>2530</v>
      </c>
      <c r="AF1510" s="1">
        <v>0</v>
      </c>
    </row>
    <row r="1511" spans="31:32" x14ac:dyDescent="0.25">
      <c r="AE1511" s="107" t="s">
        <v>2131</v>
      </c>
      <c r="AF1511" s="1">
        <v>0</v>
      </c>
    </row>
    <row r="1512" spans="31:32" x14ac:dyDescent="0.25">
      <c r="AE1512" s="107" t="s">
        <v>2452</v>
      </c>
      <c r="AF1512" s="1">
        <v>0</v>
      </c>
    </row>
    <row r="1513" spans="31:32" x14ac:dyDescent="0.25">
      <c r="AE1513" s="107" t="s">
        <v>2313</v>
      </c>
      <c r="AF1513" s="1">
        <v>0</v>
      </c>
    </row>
    <row r="1514" spans="31:32" x14ac:dyDescent="0.25">
      <c r="AE1514" s="107" t="s">
        <v>2335</v>
      </c>
      <c r="AF1514" s="1">
        <v>0</v>
      </c>
    </row>
    <row r="1515" spans="31:32" x14ac:dyDescent="0.25">
      <c r="AE1515" s="107" t="s">
        <v>2271</v>
      </c>
      <c r="AF1515" s="1">
        <v>0</v>
      </c>
    </row>
    <row r="1516" spans="31:32" x14ac:dyDescent="0.25">
      <c r="AE1516" s="107" t="s">
        <v>2341</v>
      </c>
      <c r="AF1516" s="1">
        <v>0</v>
      </c>
    </row>
    <row r="1517" spans="31:32" x14ac:dyDescent="0.25">
      <c r="AE1517" s="107" t="s">
        <v>3443</v>
      </c>
      <c r="AF1517" s="1">
        <v>0</v>
      </c>
    </row>
    <row r="1518" spans="31:32" x14ac:dyDescent="0.25">
      <c r="AE1518" s="107" t="s">
        <v>2456</v>
      </c>
      <c r="AF1518" s="1">
        <v>0</v>
      </c>
    </row>
    <row r="1519" spans="31:32" x14ac:dyDescent="0.25">
      <c r="AE1519" s="107" t="s">
        <v>4931</v>
      </c>
      <c r="AF1519" s="1">
        <v>0</v>
      </c>
    </row>
    <row r="1520" spans="31:32" x14ac:dyDescent="0.25">
      <c r="AE1520" s="107" t="s">
        <v>2327</v>
      </c>
      <c r="AF1520" s="1">
        <v>0</v>
      </c>
    </row>
    <row r="1521" spans="31:32" x14ac:dyDescent="0.25">
      <c r="AE1521" s="107" t="s">
        <v>2237</v>
      </c>
      <c r="AF1521" s="1">
        <v>0</v>
      </c>
    </row>
    <row r="1522" spans="31:32" x14ac:dyDescent="0.25">
      <c r="AE1522" s="107" t="s">
        <v>2393</v>
      </c>
      <c r="AF1522" s="1">
        <v>0</v>
      </c>
    </row>
    <row r="1523" spans="31:32" x14ac:dyDescent="0.25">
      <c r="AE1523" s="107" t="s">
        <v>2275</v>
      </c>
      <c r="AF1523" s="1">
        <v>0</v>
      </c>
    </row>
    <row r="1524" spans="31:32" x14ac:dyDescent="0.25">
      <c r="AE1524" s="107" t="s">
        <v>4943</v>
      </c>
      <c r="AF1524" s="1">
        <v>0</v>
      </c>
    </row>
    <row r="1525" spans="31:32" x14ac:dyDescent="0.25">
      <c r="AE1525" s="107" t="s">
        <v>2247</v>
      </c>
      <c r="AF1525" s="1">
        <v>0</v>
      </c>
    </row>
    <row r="1526" spans="31:32" x14ac:dyDescent="0.25">
      <c r="AE1526" s="107" t="s">
        <v>2508</v>
      </c>
      <c r="AF1526" s="1">
        <v>0</v>
      </c>
    </row>
    <row r="1527" spans="31:32" x14ac:dyDescent="0.25">
      <c r="AE1527" s="107" t="s">
        <v>4687</v>
      </c>
      <c r="AF1527" s="1">
        <v>0</v>
      </c>
    </row>
    <row r="1528" spans="31:32" x14ac:dyDescent="0.25">
      <c r="AE1528" s="107" t="s">
        <v>4961</v>
      </c>
      <c r="AF1528" s="1">
        <v>0</v>
      </c>
    </row>
    <row r="1529" spans="31:32" x14ac:dyDescent="0.25">
      <c r="AE1529" s="107" t="s">
        <v>4929</v>
      </c>
      <c r="AF1529" s="1">
        <v>0</v>
      </c>
    </row>
    <row r="1530" spans="31:32" x14ac:dyDescent="0.25">
      <c r="AE1530" s="107" t="s">
        <v>2518</v>
      </c>
      <c r="AF1530" s="1">
        <v>0</v>
      </c>
    </row>
    <row r="1531" spans="31:32" x14ac:dyDescent="0.25">
      <c r="AE1531" s="107" t="s">
        <v>2279</v>
      </c>
      <c r="AF1531" s="1">
        <v>0</v>
      </c>
    </row>
    <row r="1532" spans="31:32" x14ac:dyDescent="0.25">
      <c r="AE1532" s="107" t="s">
        <v>2504</v>
      </c>
      <c r="AF1532" s="1">
        <v>0</v>
      </c>
    </row>
    <row r="1533" spans="31:32" x14ac:dyDescent="0.25">
      <c r="AE1533" s="107" t="s">
        <v>2295</v>
      </c>
      <c r="AF1533" s="1">
        <v>0</v>
      </c>
    </row>
    <row r="1534" spans="31:32" x14ac:dyDescent="0.25">
      <c r="AE1534" s="107" t="s">
        <v>2333</v>
      </c>
      <c r="AF1534" s="1">
        <v>0</v>
      </c>
    </row>
    <row r="1535" spans="31:32" x14ac:dyDescent="0.25">
      <c r="AE1535" s="107" t="s">
        <v>2169</v>
      </c>
      <c r="AF1535" s="1">
        <v>0</v>
      </c>
    </row>
    <row r="1536" spans="31:32" x14ac:dyDescent="0.25">
      <c r="AE1536" s="107" t="s">
        <v>2367</v>
      </c>
      <c r="AF1536" s="1">
        <v>0</v>
      </c>
    </row>
    <row r="1537" spans="31:32" x14ac:dyDescent="0.25">
      <c r="AE1537" s="107" t="s">
        <v>2243</v>
      </c>
      <c r="AF1537" s="1">
        <v>0</v>
      </c>
    </row>
    <row r="1538" spans="31:32" x14ac:dyDescent="0.25">
      <c r="AE1538" s="107" t="s">
        <v>4941</v>
      </c>
      <c r="AF1538" s="1">
        <v>0</v>
      </c>
    </row>
    <row r="1539" spans="31:32" x14ac:dyDescent="0.25">
      <c r="AE1539" s="107" t="s">
        <v>2283</v>
      </c>
      <c r="AF1539" s="1">
        <v>0</v>
      </c>
    </row>
    <row r="1540" spans="31:32" x14ac:dyDescent="0.25">
      <c r="AE1540" s="107" t="s">
        <v>2399</v>
      </c>
      <c r="AF1540" s="1">
        <v>0</v>
      </c>
    </row>
    <row r="1541" spans="31:32" x14ac:dyDescent="0.25">
      <c r="AE1541" s="107" t="s">
        <v>2171</v>
      </c>
      <c r="AF1541" s="1">
        <v>0</v>
      </c>
    </row>
    <row r="1542" spans="31:32" x14ac:dyDescent="0.25">
      <c r="AE1542" s="107" t="s">
        <v>2500</v>
      </c>
      <c r="AF1542" s="1">
        <v>0</v>
      </c>
    </row>
    <row r="1543" spans="31:32" x14ac:dyDescent="0.25">
      <c r="AE1543" s="107" t="s">
        <v>2293</v>
      </c>
      <c r="AF1543" s="1">
        <v>0</v>
      </c>
    </row>
    <row r="1544" spans="31:32" x14ac:dyDescent="0.25">
      <c r="AE1544" s="107" t="s">
        <v>1959</v>
      </c>
      <c r="AF1544" s="1">
        <v>0</v>
      </c>
    </row>
    <row r="1545" spans="31:32" x14ac:dyDescent="0.25">
      <c r="AE1545" s="107" t="s">
        <v>2133</v>
      </c>
      <c r="AF1545" s="1">
        <v>0</v>
      </c>
    </row>
    <row r="1546" spans="31:32" x14ac:dyDescent="0.25">
      <c r="AE1546" s="107" t="s">
        <v>1943</v>
      </c>
      <c r="AF1546" s="1">
        <v>0</v>
      </c>
    </row>
    <row r="1547" spans="31:32" x14ac:dyDescent="0.25">
      <c r="AE1547" s="107" t="s">
        <v>1918</v>
      </c>
      <c r="AF1547" s="1">
        <v>0</v>
      </c>
    </row>
    <row r="1548" spans="31:32" x14ac:dyDescent="0.25">
      <c r="AE1548" s="107" t="s">
        <v>1749</v>
      </c>
      <c r="AF1548" s="1">
        <v>0</v>
      </c>
    </row>
    <row r="1549" spans="31:32" x14ac:dyDescent="0.25">
      <c r="AE1549" s="107" t="s">
        <v>1468</v>
      </c>
      <c r="AF1549" s="1">
        <v>0</v>
      </c>
    </row>
    <row r="1550" spans="31:32" x14ac:dyDescent="0.25">
      <c r="AE1550" s="107" t="s">
        <v>1841</v>
      </c>
      <c r="AF1550" s="1">
        <v>0</v>
      </c>
    </row>
    <row r="1551" spans="31:32" x14ac:dyDescent="0.25">
      <c r="AE1551" s="107" t="s">
        <v>1482</v>
      </c>
      <c r="AF1551" s="1">
        <v>0</v>
      </c>
    </row>
    <row r="1552" spans="31:32" x14ac:dyDescent="0.25">
      <c r="AE1552" s="107" t="s">
        <v>1645</v>
      </c>
      <c r="AF1552" s="1">
        <v>0</v>
      </c>
    </row>
    <row r="1553" spans="31:32" x14ac:dyDescent="0.25">
      <c r="AE1553" s="107" t="s">
        <v>4819</v>
      </c>
      <c r="AF1553" s="1">
        <v>0</v>
      </c>
    </row>
    <row r="1554" spans="31:32" x14ac:dyDescent="0.25">
      <c r="AE1554" s="107" t="s">
        <v>4865</v>
      </c>
      <c r="AF1554" s="1">
        <v>0</v>
      </c>
    </row>
    <row r="1555" spans="31:32" x14ac:dyDescent="0.25">
      <c r="AE1555" s="107" t="s">
        <v>1492</v>
      </c>
      <c r="AF1555" s="1">
        <v>0</v>
      </c>
    </row>
    <row r="1556" spans="31:32" x14ac:dyDescent="0.25">
      <c r="AE1556" s="107" t="s">
        <v>1839</v>
      </c>
      <c r="AF1556" s="1">
        <v>0</v>
      </c>
    </row>
    <row r="1557" spans="31:32" x14ac:dyDescent="0.25">
      <c r="AE1557" s="107" t="s">
        <v>5290</v>
      </c>
      <c r="AF1557" s="1">
        <v>0</v>
      </c>
    </row>
    <row r="1558" spans="31:32" x14ac:dyDescent="0.25">
      <c r="AE1558" s="107" t="s">
        <v>1857</v>
      </c>
      <c r="AF1558" s="1">
        <v>0</v>
      </c>
    </row>
    <row r="1559" spans="31:32" x14ac:dyDescent="0.25">
      <c r="AE1559" s="107" t="s">
        <v>1392</v>
      </c>
      <c r="AF1559" s="1">
        <v>0</v>
      </c>
    </row>
    <row r="1560" spans="31:32" x14ac:dyDescent="0.25">
      <c r="AE1560" s="107" t="s">
        <v>1813</v>
      </c>
      <c r="AF1560" s="1">
        <v>0</v>
      </c>
    </row>
    <row r="1561" spans="31:32" x14ac:dyDescent="0.25">
      <c r="AE1561" s="107" t="s">
        <v>1374</v>
      </c>
      <c r="AF1561" s="1">
        <v>0</v>
      </c>
    </row>
    <row r="1562" spans="31:32" x14ac:dyDescent="0.25">
      <c r="AE1562" s="107" t="s">
        <v>4855</v>
      </c>
      <c r="AF1562" s="1">
        <v>0</v>
      </c>
    </row>
    <row r="1563" spans="31:32" x14ac:dyDescent="0.25">
      <c r="AE1563" s="107" t="s">
        <v>1498</v>
      </c>
      <c r="AF1563" s="1">
        <v>0</v>
      </c>
    </row>
    <row r="1564" spans="31:32" x14ac:dyDescent="0.25">
      <c r="AE1564" s="107" t="s">
        <v>1769</v>
      </c>
      <c r="AF1564" s="1">
        <v>0</v>
      </c>
    </row>
    <row r="1565" spans="31:32" x14ac:dyDescent="0.25">
      <c r="AE1565" s="107" t="s">
        <v>1388</v>
      </c>
      <c r="AF1565" s="1">
        <v>0</v>
      </c>
    </row>
    <row r="1566" spans="31:32" x14ac:dyDescent="0.25">
      <c r="AE1566" s="107" t="s">
        <v>1821</v>
      </c>
      <c r="AF1566" s="1">
        <v>0</v>
      </c>
    </row>
    <row r="1567" spans="31:32" x14ac:dyDescent="0.25">
      <c r="AE1567" s="107" t="s">
        <v>1500</v>
      </c>
      <c r="AF1567" s="1">
        <v>0</v>
      </c>
    </row>
    <row r="1568" spans="31:32" x14ac:dyDescent="0.25">
      <c r="AE1568" s="107" t="s">
        <v>1963</v>
      </c>
      <c r="AF1568" s="1">
        <v>0</v>
      </c>
    </row>
    <row r="1569" spans="31:32" x14ac:dyDescent="0.25">
      <c r="AE1569" s="107" t="s">
        <v>1396</v>
      </c>
      <c r="AF1569" s="1">
        <v>0</v>
      </c>
    </row>
    <row r="1570" spans="31:32" x14ac:dyDescent="0.25">
      <c r="AE1570" s="107" t="s">
        <v>1863</v>
      </c>
      <c r="AF1570" s="1">
        <v>0</v>
      </c>
    </row>
    <row r="1571" spans="31:32" x14ac:dyDescent="0.25">
      <c r="AE1571" s="107" t="s">
        <v>1506</v>
      </c>
      <c r="AF1571" s="1">
        <v>0</v>
      </c>
    </row>
    <row r="1572" spans="31:32" x14ac:dyDescent="0.25">
      <c r="AE1572" s="107" t="s">
        <v>1916</v>
      </c>
      <c r="AF1572" s="1">
        <v>0</v>
      </c>
    </row>
    <row r="1573" spans="31:32" x14ac:dyDescent="0.25">
      <c r="AE1573" s="107" t="s">
        <v>1504</v>
      </c>
      <c r="AF1573" s="1">
        <v>0</v>
      </c>
    </row>
    <row r="1574" spans="31:32" x14ac:dyDescent="0.25">
      <c r="AE1574" s="107" t="s">
        <v>3866</v>
      </c>
      <c r="AF1574" s="1">
        <v>0</v>
      </c>
    </row>
    <row r="1575" spans="31:32" x14ac:dyDescent="0.25">
      <c r="AE1575" s="107" t="s">
        <v>1496</v>
      </c>
      <c r="AF1575" s="1">
        <v>0</v>
      </c>
    </row>
    <row r="1576" spans="31:32" x14ac:dyDescent="0.25">
      <c r="AE1576" s="107" t="s">
        <v>1665</v>
      </c>
      <c r="AF1576" s="1">
        <v>0</v>
      </c>
    </row>
    <row r="1577" spans="31:32" x14ac:dyDescent="0.25">
      <c r="AE1577" s="107" t="s">
        <v>1502</v>
      </c>
      <c r="AF1577" s="1">
        <v>0</v>
      </c>
    </row>
    <row r="1578" spans="31:32" x14ac:dyDescent="0.25">
      <c r="AE1578" s="107" t="s">
        <v>1745</v>
      </c>
      <c r="AF1578" s="1">
        <v>0</v>
      </c>
    </row>
    <row r="1579" spans="31:32" x14ac:dyDescent="0.25">
      <c r="AE1579" s="107" t="s">
        <v>1508</v>
      </c>
      <c r="AF1579" s="1">
        <v>0</v>
      </c>
    </row>
    <row r="1580" spans="31:32" x14ac:dyDescent="0.25">
      <c r="AE1580" s="107" t="s">
        <v>1705</v>
      </c>
      <c r="AF1580" s="1">
        <v>0</v>
      </c>
    </row>
    <row r="1581" spans="31:32" x14ac:dyDescent="0.25">
      <c r="AE1581" s="107" t="s">
        <v>1516</v>
      </c>
      <c r="AF1581" s="1">
        <v>0</v>
      </c>
    </row>
    <row r="1582" spans="31:32" x14ac:dyDescent="0.25">
      <c r="AE1582" s="107" t="s">
        <v>1701</v>
      </c>
      <c r="AF1582" s="1">
        <v>0</v>
      </c>
    </row>
    <row r="1583" spans="31:32" x14ac:dyDescent="0.25">
      <c r="AE1583" s="107" t="s">
        <v>1510</v>
      </c>
      <c r="AF1583" s="1">
        <v>0</v>
      </c>
    </row>
    <row r="1584" spans="31:32" x14ac:dyDescent="0.25">
      <c r="AE1584" s="107" t="s">
        <v>1733</v>
      </c>
      <c r="AF1584" s="1">
        <v>0</v>
      </c>
    </row>
    <row r="1585" spans="31:32" x14ac:dyDescent="0.25">
      <c r="AE1585" s="107" t="s">
        <v>1528</v>
      </c>
      <c r="AF1585" s="1">
        <v>0</v>
      </c>
    </row>
    <row r="1586" spans="31:32" x14ac:dyDescent="0.25">
      <c r="AE1586" s="107" t="s">
        <v>4861</v>
      </c>
      <c r="AF1586" s="1">
        <v>0</v>
      </c>
    </row>
    <row r="1587" spans="31:32" x14ac:dyDescent="0.25">
      <c r="AE1587" s="107" t="s">
        <v>1514</v>
      </c>
      <c r="AF1587" s="1">
        <v>0</v>
      </c>
    </row>
    <row r="1588" spans="31:32" x14ac:dyDescent="0.25">
      <c r="AE1588" s="107" t="s">
        <v>4863</v>
      </c>
      <c r="AF1588" s="1">
        <v>0</v>
      </c>
    </row>
    <row r="1589" spans="31:32" x14ac:dyDescent="0.25">
      <c r="AE1589" s="107" t="s">
        <v>1512</v>
      </c>
      <c r="AF1589" s="1">
        <v>0</v>
      </c>
    </row>
    <row r="1590" spans="31:32" x14ac:dyDescent="0.25">
      <c r="AE1590" s="107" t="s">
        <v>4260</v>
      </c>
      <c r="AF1590" s="1">
        <v>0</v>
      </c>
    </row>
    <row r="1591" spans="31:32" x14ac:dyDescent="0.25">
      <c r="AE1591" s="107" t="s">
        <v>1526</v>
      </c>
      <c r="AF1591" s="1">
        <v>0</v>
      </c>
    </row>
    <row r="1592" spans="31:32" x14ac:dyDescent="0.25">
      <c r="AE1592" s="107" t="s">
        <v>1955</v>
      </c>
      <c r="AF1592" s="1">
        <v>0</v>
      </c>
    </row>
    <row r="1593" spans="31:32" x14ac:dyDescent="0.25">
      <c r="AE1593" s="107" t="s">
        <v>1550</v>
      </c>
      <c r="AF1593" s="1">
        <v>0</v>
      </c>
    </row>
    <row r="1594" spans="31:32" x14ac:dyDescent="0.25">
      <c r="AE1594" s="107" t="s">
        <v>1941</v>
      </c>
      <c r="AF1594" s="1">
        <v>0</v>
      </c>
    </row>
    <row r="1595" spans="31:32" x14ac:dyDescent="0.25">
      <c r="AE1595" s="107" t="s">
        <v>1559</v>
      </c>
      <c r="AF1595" s="1">
        <v>0</v>
      </c>
    </row>
    <row r="1596" spans="31:32" x14ac:dyDescent="0.25">
      <c r="AE1596" s="107" t="s">
        <v>1871</v>
      </c>
      <c r="AF1596" s="1">
        <v>0</v>
      </c>
    </row>
    <row r="1597" spans="31:32" x14ac:dyDescent="0.25">
      <c r="AE1597" s="107" t="s">
        <v>1532</v>
      </c>
      <c r="AF1597" s="1">
        <v>0</v>
      </c>
    </row>
    <row r="1598" spans="31:32" x14ac:dyDescent="0.25">
      <c r="AE1598" s="107" t="s">
        <v>1971</v>
      </c>
      <c r="AF1598" s="1">
        <v>0</v>
      </c>
    </row>
    <row r="1599" spans="31:32" x14ac:dyDescent="0.25">
      <c r="AE1599" s="107" t="s">
        <v>1554</v>
      </c>
      <c r="AF1599" s="1">
        <v>0</v>
      </c>
    </row>
    <row r="1600" spans="31:32" x14ac:dyDescent="0.25">
      <c r="AE1600" s="107" t="s">
        <v>1895</v>
      </c>
      <c r="AF1600" s="1">
        <v>0</v>
      </c>
    </row>
    <row r="1601" spans="31:32" x14ac:dyDescent="0.25">
      <c r="AE1601" s="107" t="s">
        <v>1601</v>
      </c>
      <c r="AF1601" s="1">
        <v>0</v>
      </c>
    </row>
    <row r="1602" spans="31:32" x14ac:dyDescent="0.25">
      <c r="AE1602" s="107" t="s">
        <v>1965</v>
      </c>
      <c r="AF1602" s="1">
        <v>0</v>
      </c>
    </row>
    <row r="1603" spans="31:32" x14ac:dyDescent="0.25">
      <c r="AE1603" s="107" t="s">
        <v>1530</v>
      </c>
      <c r="AF1603" s="1">
        <v>0</v>
      </c>
    </row>
    <row r="1604" spans="31:32" x14ac:dyDescent="0.25">
      <c r="AE1604" s="107" t="s">
        <v>1935</v>
      </c>
      <c r="AF1604" s="1">
        <v>0</v>
      </c>
    </row>
    <row r="1605" spans="31:32" x14ac:dyDescent="0.25">
      <c r="AE1605" s="107" t="s">
        <v>1540</v>
      </c>
      <c r="AF1605" s="1">
        <v>0</v>
      </c>
    </row>
    <row r="1606" spans="31:32" x14ac:dyDescent="0.25">
      <c r="AE1606" s="107" t="s">
        <v>1875</v>
      </c>
      <c r="AF1606" s="1">
        <v>0</v>
      </c>
    </row>
    <row r="1607" spans="31:32" x14ac:dyDescent="0.25">
      <c r="AE1607" s="107" t="s">
        <v>1546</v>
      </c>
      <c r="AF1607" s="1">
        <v>0</v>
      </c>
    </row>
    <row r="1608" spans="31:32" x14ac:dyDescent="0.25">
      <c r="AE1608" s="107" t="s">
        <v>1683</v>
      </c>
      <c r="AF1608" s="1">
        <v>0</v>
      </c>
    </row>
    <row r="1609" spans="31:32" x14ac:dyDescent="0.25">
      <c r="AE1609" s="107" t="s">
        <v>1565</v>
      </c>
      <c r="AF1609" s="1">
        <v>0</v>
      </c>
    </row>
    <row r="1610" spans="31:32" x14ac:dyDescent="0.25">
      <c r="AE1610" s="107" t="s">
        <v>1817</v>
      </c>
      <c r="AF1610" s="1">
        <v>0</v>
      </c>
    </row>
    <row r="1611" spans="31:32" x14ac:dyDescent="0.25">
      <c r="AE1611" s="107" t="s">
        <v>4823</v>
      </c>
      <c r="AF1611" s="1">
        <v>0</v>
      </c>
    </row>
    <row r="1612" spans="31:32" x14ac:dyDescent="0.25">
      <c r="AE1612" s="107" t="s">
        <v>1641</v>
      </c>
      <c r="AF1612" s="1">
        <v>0</v>
      </c>
    </row>
    <row r="1613" spans="31:32" x14ac:dyDescent="0.25">
      <c r="AE1613" s="107" t="s">
        <v>1587</v>
      </c>
      <c r="AF1613" s="1">
        <v>0</v>
      </c>
    </row>
    <row r="1614" spans="31:32" x14ac:dyDescent="0.25">
      <c r="AE1614" s="107" t="s">
        <v>4851</v>
      </c>
      <c r="AF1614" s="1">
        <v>0</v>
      </c>
    </row>
    <row r="1615" spans="31:32" x14ac:dyDescent="0.25">
      <c r="AE1615" s="107" t="s">
        <v>1597</v>
      </c>
      <c r="AF1615" s="1">
        <v>0</v>
      </c>
    </row>
    <row r="1616" spans="31:32" x14ac:dyDescent="0.25">
      <c r="AE1616" s="107" t="s">
        <v>1757</v>
      </c>
      <c r="AF1616" s="1">
        <v>0</v>
      </c>
    </row>
    <row r="1617" spans="31:32" x14ac:dyDescent="0.25">
      <c r="AE1617" s="107" t="s">
        <v>1561</v>
      </c>
      <c r="AF1617" s="1">
        <v>0</v>
      </c>
    </row>
    <row r="1618" spans="31:32" x14ac:dyDescent="0.25">
      <c r="AE1618" s="107" t="s">
        <v>3417</v>
      </c>
      <c r="AF1618" s="1">
        <v>0</v>
      </c>
    </row>
    <row r="1619" spans="31:32" x14ac:dyDescent="0.25">
      <c r="AE1619" s="107" t="s">
        <v>1552</v>
      </c>
      <c r="AF1619" s="1">
        <v>0</v>
      </c>
    </row>
    <row r="1620" spans="31:32" x14ac:dyDescent="0.25">
      <c r="AE1620" s="107" t="s">
        <v>1739</v>
      </c>
      <c r="AF1620" s="1">
        <v>0</v>
      </c>
    </row>
    <row r="1621" spans="31:32" x14ac:dyDescent="0.25">
      <c r="AE1621" s="107" t="s">
        <v>4825</v>
      </c>
      <c r="AF1621" s="1">
        <v>0</v>
      </c>
    </row>
    <row r="1622" spans="31:32" x14ac:dyDescent="0.25">
      <c r="AE1622" s="107" t="s">
        <v>1743</v>
      </c>
      <c r="AF1622" s="1">
        <v>0</v>
      </c>
    </row>
    <row r="1623" spans="31:32" x14ac:dyDescent="0.25">
      <c r="AE1623" s="107" t="s">
        <v>1563</v>
      </c>
      <c r="AF1623" s="1">
        <v>0</v>
      </c>
    </row>
    <row r="1624" spans="31:32" x14ac:dyDescent="0.25">
      <c r="AE1624" s="107" t="s">
        <v>1675</v>
      </c>
      <c r="AF1624" s="1">
        <v>0</v>
      </c>
    </row>
    <row r="1625" spans="31:32" x14ac:dyDescent="0.25">
      <c r="AE1625" s="107" t="s">
        <v>1556</v>
      </c>
      <c r="AF1625" s="1">
        <v>0</v>
      </c>
    </row>
    <row r="1626" spans="31:32" x14ac:dyDescent="0.25">
      <c r="AE1626" s="107" t="s">
        <v>1791</v>
      </c>
      <c r="AF1626" s="1">
        <v>0</v>
      </c>
    </row>
    <row r="1627" spans="31:32" x14ac:dyDescent="0.25">
      <c r="AE1627" s="107" t="s">
        <v>4288</v>
      </c>
      <c r="AF1627" s="1">
        <v>0</v>
      </c>
    </row>
    <row r="1628" spans="31:32" x14ac:dyDescent="0.25">
      <c r="AE1628" s="107" t="s">
        <v>1795</v>
      </c>
      <c r="AF1628" s="1">
        <v>0</v>
      </c>
    </row>
    <row r="1629" spans="31:32" x14ac:dyDescent="0.25">
      <c r="AE1629" s="107" t="s">
        <v>1534</v>
      </c>
      <c r="AF1629" s="1">
        <v>0</v>
      </c>
    </row>
    <row r="1630" spans="31:32" x14ac:dyDescent="0.25">
      <c r="AE1630" s="107" t="s">
        <v>1803</v>
      </c>
      <c r="AF1630" s="1">
        <v>0</v>
      </c>
    </row>
    <row r="1631" spans="31:32" x14ac:dyDescent="0.25">
      <c r="AE1631" s="107" t="s">
        <v>4827</v>
      </c>
      <c r="AF1631" s="1">
        <v>0</v>
      </c>
    </row>
    <row r="1632" spans="31:32" x14ac:dyDescent="0.25">
      <c r="AE1632" s="107" t="s">
        <v>1809</v>
      </c>
      <c r="AF1632" s="1">
        <v>0</v>
      </c>
    </row>
    <row r="1633" spans="31:32" x14ac:dyDescent="0.25">
      <c r="AE1633" s="107" t="s">
        <v>1583</v>
      </c>
      <c r="AF1633" s="1">
        <v>0</v>
      </c>
    </row>
    <row r="1634" spans="31:32" x14ac:dyDescent="0.25">
      <c r="AE1634" s="107" t="s">
        <v>1819</v>
      </c>
      <c r="AF1634" s="1">
        <v>0</v>
      </c>
    </row>
    <row r="1635" spans="31:32" x14ac:dyDescent="0.25">
      <c r="AE1635" s="107" t="s">
        <v>1579</v>
      </c>
      <c r="AF1635" s="1">
        <v>0</v>
      </c>
    </row>
    <row r="1636" spans="31:32" x14ac:dyDescent="0.25">
      <c r="AE1636" s="107" t="s">
        <v>1883</v>
      </c>
      <c r="AF1636" s="1">
        <v>0</v>
      </c>
    </row>
    <row r="1637" spans="31:32" x14ac:dyDescent="0.25">
      <c r="AE1637" s="107" t="s">
        <v>1581</v>
      </c>
      <c r="AF1637" s="1">
        <v>0</v>
      </c>
    </row>
    <row r="1638" spans="31:32" x14ac:dyDescent="0.25">
      <c r="AE1638" s="107" t="s">
        <v>1901</v>
      </c>
      <c r="AF1638" s="1">
        <v>0</v>
      </c>
    </row>
    <row r="1639" spans="31:32" x14ac:dyDescent="0.25">
      <c r="AE1639" s="107" t="s">
        <v>1589</v>
      </c>
      <c r="AF1639" s="1">
        <v>0</v>
      </c>
    </row>
    <row r="1640" spans="31:32" x14ac:dyDescent="0.25">
      <c r="AE1640" s="107" t="s">
        <v>1945</v>
      </c>
      <c r="AF1640" s="1">
        <v>0</v>
      </c>
    </row>
    <row r="1641" spans="31:32" x14ac:dyDescent="0.25">
      <c r="AE1641" s="107" t="s">
        <v>1585</v>
      </c>
      <c r="AF1641" s="1">
        <v>0</v>
      </c>
    </row>
    <row r="1642" spans="31:32" x14ac:dyDescent="0.25">
      <c r="AE1642" s="107" t="s">
        <v>1953</v>
      </c>
      <c r="AF1642" s="1">
        <v>0</v>
      </c>
    </row>
    <row r="1643" spans="31:32" x14ac:dyDescent="0.25">
      <c r="AE1643" s="107" t="s">
        <v>1536</v>
      </c>
      <c r="AF1643" s="1">
        <v>0</v>
      </c>
    </row>
    <row r="1644" spans="31:32" x14ac:dyDescent="0.25">
      <c r="AE1644" s="107" t="s">
        <v>1837</v>
      </c>
      <c r="AF1644" s="1">
        <v>0</v>
      </c>
    </row>
    <row r="1645" spans="31:32" x14ac:dyDescent="0.25">
      <c r="AE1645" s="107" t="s">
        <v>1591</v>
      </c>
      <c r="AF1645" s="1">
        <v>0</v>
      </c>
    </row>
    <row r="1646" spans="31:32" x14ac:dyDescent="0.25">
      <c r="AE1646" s="107" t="s">
        <v>1873</v>
      </c>
      <c r="AF1646" s="1">
        <v>0</v>
      </c>
    </row>
    <row r="1647" spans="31:32" x14ac:dyDescent="0.25">
      <c r="AE1647" s="107" t="s">
        <v>1538</v>
      </c>
      <c r="AF1647" s="1">
        <v>0</v>
      </c>
    </row>
    <row r="1648" spans="31:32" x14ac:dyDescent="0.25">
      <c r="AE1648" s="107" t="s">
        <v>1969</v>
      </c>
      <c r="AF1648" s="1">
        <v>0</v>
      </c>
    </row>
    <row r="1649" spans="31:32" x14ac:dyDescent="0.25">
      <c r="AE1649" s="107" t="s">
        <v>4324</v>
      </c>
      <c r="AF1649" s="1">
        <v>0</v>
      </c>
    </row>
    <row r="1650" spans="31:32" x14ac:dyDescent="0.25">
      <c r="AE1650" s="107" t="s">
        <v>1908</v>
      </c>
      <c r="AF1650" s="1">
        <v>0</v>
      </c>
    </row>
    <row r="1651" spans="31:32" x14ac:dyDescent="0.25">
      <c r="AE1651" s="107" t="s">
        <v>1567</v>
      </c>
      <c r="AF1651" s="1">
        <v>0</v>
      </c>
    </row>
    <row r="1652" spans="31:32" x14ac:dyDescent="0.25">
      <c r="AE1652" s="107" t="s">
        <v>1899</v>
      </c>
      <c r="AF1652" s="1">
        <v>0</v>
      </c>
    </row>
    <row r="1653" spans="31:32" x14ac:dyDescent="0.25">
      <c r="AE1653" s="107" t="s">
        <v>1569</v>
      </c>
      <c r="AF1653" s="1">
        <v>0</v>
      </c>
    </row>
    <row r="1654" spans="31:32" x14ac:dyDescent="0.25">
      <c r="AE1654" s="107" t="s">
        <v>1914</v>
      </c>
      <c r="AF1654" s="1">
        <v>0</v>
      </c>
    </row>
    <row r="1655" spans="31:32" x14ac:dyDescent="0.25">
      <c r="AE1655" s="107" t="s">
        <v>1595</v>
      </c>
      <c r="AF1655" s="1">
        <v>0</v>
      </c>
    </row>
    <row r="1656" spans="31:32" x14ac:dyDescent="0.25">
      <c r="AE1656" s="107" t="s">
        <v>1869</v>
      </c>
      <c r="AF1656" s="1">
        <v>0</v>
      </c>
    </row>
    <row r="1657" spans="31:32" x14ac:dyDescent="0.25">
      <c r="AE1657" s="107" t="s">
        <v>1577</v>
      </c>
      <c r="AF1657" s="1">
        <v>0</v>
      </c>
    </row>
    <row r="1658" spans="31:32" x14ac:dyDescent="0.25">
      <c r="AE1658" s="107" t="s">
        <v>1885</v>
      </c>
      <c r="AF1658" s="1">
        <v>0</v>
      </c>
    </row>
    <row r="1659" spans="31:32" x14ac:dyDescent="0.25">
      <c r="AE1659" s="107" t="s">
        <v>4831</v>
      </c>
      <c r="AF1659" s="1">
        <v>0</v>
      </c>
    </row>
    <row r="1660" spans="31:32" x14ac:dyDescent="0.25">
      <c r="AE1660" s="107" t="s">
        <v>1889</v>
      </c>
      <c r="AF1660" s="1">
        <v>0</v>
      </c>
    </row>
    <row r="1661" spans="31:32" x14ac:dyDescent="0.25">
      <c r="AE1661" s="107" t="s">
        <v>1573</v>
      </c>
      <c r="AF1661" s="1">
        <v>0</v>
      </c>
    </row>
    <row r="1662" spans="31:32" x14ac:dyDescent="0.25">
      <c r="AE1662" s="107" t="s">
        <v>2705</v>
      </c>
      <c r="AF1662" s="1">
        <v>0</v>
      </c>
    </row>
    <row r="1663" spans="31:32" x14ac:dyDescent="0.25">
      <c r="AE1663" s="107" t="s">
        <v>1593</v>
      </c>
      <c r="AF1663" s="1">
        <v>0</v>
      </c>
    </row>
    <row r="1664" spans="31:32" x14ac:dyDescent="0.25">
      <c r="AE1664" s="107" t="s">
        <v>1847</v>
      </c>
      <c r="AF1664" s="1">
        <v>0</v>
      </c>
    </row>
    <row r="1665" spans="31:32" x14ac:dyDescent="0.25">
      <c r="AE1665" s="107" t="s">
        <v>1599</v>
      </c>
      <c r="AF1665" s="1">
        <v>0</v>
      </c>
    </row>
    <row r="1666" spans="31:32" x14ac:dyDescent="0.25">
      <c r="AE1666" s="107" t="s">
        <v>3012</v>
      </c>
      <c r="AF1666" s="1">
        <v>0</v>
      </c>
    </row>
    <row r="1667" spans="31:32" x14ac:dyDescent="0.25">
      <c r="AE1667" s="107" t="s">
        <v>4829</v>
      </c>
      <c r="AF1667" s="1">
        <v>0</v>
      </c>
    </row>
    <row r="1668" spans="31:32" x14ac:dyDescent="0.25">
      <c r="AE1668" s="107" t="s">
        <v>1881</v>
      </c>
      <c r="AF1668" s="1">
        <v>0</v>
      </c>
    </row>
    <row r="1669" spans="31:32" x14ac:dyDescent="0.25">
      <c r="AE1669" s="107" t="s">
        <v>1575</v>
      </c>
      <c r="AF1669" s="1">
        <v>0</v>
      </c>
    </row>
    <row r="1670" spans="31:32" x14ac:dyDescent="0.25">
      <c r="AE1670" s="107" t="s">
        <v>1929</v>
      </c>
      <c r="AF1670" s="1">
        <v>0</v>
      </c>
    </row>
    <row r="1671" spans="31:32" x14ac:dyDescent="0.25">
      <c r="AE1671" s="107" t="s">
        <v>1544</v>
      </c>
      <c r="AF1671" s="1">
        <v>0</v>
      </c>
    </row>
    <row r="1672" spans="31:32" x14ac:dyDescent="0.25">
      <c r="AE1672" s="107" t="s">
        <v>4879</v>
      </c>
      <c r="AF1672" s="1">
        <v>0</v>
      </c>
    </row>
    <row r="1673" spans="31:32" x14ac:dyDescent="0.25">
      <c r="AE1673" s="107" t="s">
        <v>1571</v>
      </c>
      <c r="AF1673" s="1">
        <v>0</v>
      </c>
    </row>
    <row r="1674" spans="31:32" x14ac:dyDescent="0.25">
      <c r="AE1674" s="107" t="s">
        <v>4875</v>
      </c>
      <c r="AF1674" s="1">
        <v>0</v>
      </c>
    </row>
    <row r="1675" spans="31:32" x14ac:dyDescent="0.25">
      <c r="AE1675" s="107" t="s">
        <v>2409</v>
      </c>
      <c r="AF1675" s="1">
        <v>0</v>
      </c>
    </row>
    <row r="1676" spans="31:32" x14ac:dyDescent="0.25">
      <c r="AE1676" s="107" t="s">
        <v>1637</v>
      </c>
      <c r="AF1676" s="1">
        <v>0</v>
      </c>
    </row>
    <row r="1677" spans="31:32" x14ac:dyDescent="0.25">
      <c r="AE1677" s="107" t="s">
        <v>1629</v>
      </c>
      <c r="AF1677" s="1">
        <v>0</v>
      </c>
    </row>
    <row r="1678" spans="31:32" x14ac:dyDescent="0.25">
      <c r="AE1678" s="107" t="s">
        <v>1669</v>
      </c>
      <c r="AF1678" s="1">
        <v>0</v>
      </c>
    </row>
    <row r="1679" spans="31:32" x14ac:dyDescent="0.25">
      <c r="AE1679" s="107" t="s">
        <v>1723</v>
      </c>
      <c r="AF1679" s="1">
        <v>0</v>
      </c>
    </row>
    <row r="1680" spans="31:32" x14ac:dyDescent="0.25">
      <c r="AE1680" s="107" t="s">
        <v>1753</v>
      </c>
      <c r="AF1680" s="1">
        <v>0</v>
      </c>
    </row>
    <row r="1681" spans="31:32" x14ac:dyDescent="0.25">
      <c r="AE1681" s="107" t="s">
        <v>1815</v>
      </c>
      <c r="AF1681" s="1">
        <v>0</v>
      </c>
    </row>
    <row r="1682" spans="31:32" x14ac:dyDescent="0.25">
      <c r="AE1682" s="107" t="s">
        <v>4853</v>
      </c>
      <c r="AF1682" s="1">
        <v>0</v>
      </c>
    </row>
    <row r="1683" spans="31:32" x14ac:dyDescent="0.25">
      <c r="AE1683" s="107" t="s">
        <v>1609</v>
      </c>
      <c r="AF1683" s="1">
        <v>0</v>
      </c>
    </row>
    <row r="1684" spans="31:32" x14ac:dyDescent="0.25">
      <c r="AE1684" s="107" t="s">
        <v>1673</v>
      </c>
      <c r="AF1684" s="1">
        <v>0</v>
      </c>
    </row>
    <row r="1685" spans="31:32" x14ac:dyDescent="0.25">
      <c r="AE1685" s="107" t="s">
        <v>1729</v>
      </c>
      <c r="AF1685" s="1">
        <v>0</v>
      </c>
    </row>
    <row r="1686" spans="31:32" x14ac:dyDescent="0.25">
      <c r="AE1686" s="107" t="s">
        <v>1771</v>
      </c>
      <c r="AF1686" s="1">
        <v>0</v>
      </c>
    </row>
    <row r="1687" spans="31:32" x14ac:dyDescent="0.25">
      <c r="AE1687" s="107" t="s">
        <v>1611</v>
      </c>
      <c r="AF1687" s="1">
        <v>0</v>
      </c>
    </row>
    <row r="1688" spans="31:32" x14ac:dyDescent="0.25">
      <c r="AE1688" s="107" t="s">
        <v>1773</v>
      </c>
      <c r="AF1688" s="1">
        <v>0</v>
      </c>
    </row>
    <row r="1689" spans="31:32" x14ac:dyDescent="0.25">
      <c r="AE1689" s="107" t="s">
        <v>1605</v>
      </c>
      <c r="AF1689" s="1">
        <v>0</v>
      </c>
    </row>
    <row r="1690" spans="31:32" x14ac:dyDescent="0.25">
      <c r="AE1690" s="107" t="s">
        <v>4859</v>
      </c>
      <c r="AF1690" s="1">
        <v>0</v>
      </c>
    </row>
    <row r="1691" spans="31:32" x14ac:dyDescent="0.25">
      <c r="AE1691" s="107" t="s">
        <v>1763</v>
      </c>
      <c r="AF1691" s="1">
        <v>0</v>
      </c>
    </row>
    <row r="1692" spans="31:32" x14ac:dyDescent="0.25">
      <c r="AE1692" s="107" t="s">
        <v>4843</v>
      </c>
      <c r="AF1692" s="1">
        <v>0</v>
      </c>
    </row>
    <row r="1693" spans="31:32" x14ac:dyDescent="0.25">
      <c r="AE1693" s="107" t="s">
        <v>1737</v>
      </c>
      <c r="AF1693" s="1">
        <v>0</v>
      </c>
    </row>
    <row r="1694" spans="31:32" x14ac:dyDescent="0.25">
      <c r="AE1694" s="107" t="s">
        <v>1663</v>
      </c>
      <c r="AF1694" s="1">
        <v>0</v>
      </c>
    </row>
    <row r="1695" spans="31:32" x14ac:dyDescent="0.25">
      <c r="AE1695" s="107" t="s">
        <v>1607</v>
      </c>
      <c r="AF1695" s="1">
        <v>0</v>
      </c>
    </row>
    <row r="1696" spans="31:32" x14ac:dyDescent="0.25">
      <c r="AE1696" s="107" t="s">
        <v>1731</v>
      </c>
      <c r="AF1696" s="1">
        <v>0</v>
      </c>
    </row>
    <row r="1697" spans="31:32" x14ac:dyDescent="0.25">
      <c r="AE1697" s="107" t="s">
        <v>1787</v>
      </c>
      <c r="AF1697" s="1">
        <v>0</v>
      </c>
    </row>
    <row r="1698" spans="31:32" x14ac:dyDescent="0.25">
      <c r="AE1698" s="107" t="s">
        <v>1775</v>
      </c>
      <c r="AF1698" s="1">
        <v>0</v>
      </c>
    </row>
    <row r="1699" spans="31:32" x14ac:dyDescent="0.25">
      <c r="AE1699" s="107" t="s">
        <v>1765</v>
      </c>
      <c r="AF1699" s="1">
        <v>0</v>
      </c>
    </row>
    <row r="1700" spans="31:32" x14ac:dyDescent="0.25">
      <c r="AE1700" s="107" t="s">
        <v>1767</v>
      </c>
      <c r="AF1700" s="1">
        <v>0</v>
      </c>
    </row>
    <row r="1701" spans="31:32" x14ac:dyDescent="0.25">
      <c r="AE1701" s="107" t="s">
        <v>1779</v>
      </c>
      <c r="AF1701" s="1">
        <v>0</v>
      </c>
    </row>
    <row r="1702" spans="31:32" x14ac:dyDescent="0.25">
      <c r="AE1702" s="107" t="s">
        <v>1735</v>
      </c>
      <c r="AF1702" s="1">
        <v>0</v>
      </c>
    </row>
    <row r="1703" spans="31:32" x14ac:dyDescent="0.25">
      <c r="AE1703" s="107" t="s">
        <v>1615</v>
      </c>
      <c r="AF1703" s="1">
        <v>0</v>
      </c>
    </row>
    <row r="1704" spans="31:32" x14ac:dyDescent="0.25">
      <c r="AE1704" s="107" t="s">
        <v>1651</v>
      </c>
      <c r="AF1704" s="1">
        <v>0</v>
      </c>
    </row>
    <row r="1705" spans="31:32" x14ac:dyDescent="0.25">
      <c r="AE1705" s="107" t="s">
        <v>4835</v>
      </c>
      <c r="AF1705" s="1">
        <v>0</v>
      </c>
    </row>
    <row r="1706" spans="31:32" x14ac:dyDescent="0.25">
      <c r="AE1706" s="107" t="s">
        <v>4847</v>
      </c>
      <c r="AF1706" s="1">
        <v>0</v>
      </c>
    </row>
    <row r="1707" spans="31:32" x14ac:dyDescent="0.25">
      <c r="AE1707" s="107" t="s">
        <v>1603</v>
      </c>
      <c r="AF1707" s="1">
        <v>0</v>
      </c>
    </row>
    <row r="1708" spans="31:32" x14ac:dyDescent="0.25">
      <c r="AE1708" s="107" t="s">
        <v>1793</v>
      </c>
      <c r="AF1708" s="1">
        <v>0</v>
      </c>
    </row>
    <row r="1709" spans="31:32" x14ac:dyDescent="0.25">
      <c r="AE1709" s="107" t="s">
        <v>1617</v>
      </c>
      <c r="AF1709" s="1">
        <v>0</v>
      </c>
    </row>
    <row r="1710" spans="31:32" x14ac:dyDescent="0.25">
      <c r="AE1710" s="107" t="s">
        <v>1785</v>
      </c>
      <c r="AF1710" s="1">
        <v>0</v>
      </c>
    </row>
    <row r="1711" spans="31:32" x14ac:dyDescent="0.25">
      <c r="AE1711" s="107" t="s">
        <v>1619</v>
      </c>
      <c r="AF1711" s="1">
        <v>0</v>
      </c>
    </row>
    <row r="1712" spans="31:32" x14ac:dyDescent="0.25">
      <c r="AE1712" s="107" t="s">
        <v>2161</v>
      </c>
      <c r="AF1712" s="1">
        <v>0</v>
      </c>
    </row>
    <row r="1713" spans="31:32" x14ac:dyDescent="0.25">
      <c r="AE1713" s="107" t="s">
        <v>4845</v>
      </c>
      <c r="AF1713" s="1">
        <v>0</v>
      </c>
    </row>
    <row r="1714" spans="31:32" x14ac:dyDescent="0.25">
      <c r="AE1714" s="107" t="s">
        <v>1667</v>
      </c>
      <c r="AF1714" s="1">
        <v>0</v>
      </c>
    </row>
    <row r="1715" spans="31:32" x14ac:dyDescent="0.25">
      <c r="AE1715" s="107" t="s">
        <v>1655</v>
      </c>
      <c r="AF1715" s="1">
        <v>0</v>
      </c>
    </row>
    <row r="1716" spans="31:32" x14ac:dyDescent="0.25">
      <c r="AE1716" s="107" t="s">
        <v>1805</v>
      </c>
      <c r="AF1716" s="1">
        <v>0</v>
      </c>
    </row>
    <row r="1717" spans="31:32" x14ac:dyDescent="0.25">
      <c r="AE1717" s="107" t="s">
        <v>1657</v>
      </c>
      <c r="AF1717" s="1">
        <v>0</v>
      </c>
    </row>
    <row r="1718" spans="31:32" x14ac:dyDescent="0.25">
      <c r="AE1718" s="107" t="s">
        <v>1633</v>
      </c>
      <c r="AF1718" s="1">
        <v>0</v>
      </c>
    </row>
    <row r="1719" spans="31:32" x14ac:dyDescent="0.25">
      <c r="AE1719" s="107" t="s">
        <v>1801</v>
      </c>
      <c r="AF1719" s="1">
        <v>0</v>
      </c>
    </row>
    <row r="1720" spans="31:32" x14ac:dyDescent="0.25">
      <c r="AE1720" s="107" t="s">
        <v>1647</v>
      </c>
      <c r="AF1720" s="1">
        <v>0</v>
      </c>
    </row>
    <row r="1721" spans="31:32" x14ac:dyDescent="0.25">
      <c r="AE1721" s="107" t="s">
        <v>1799</v>
      </c>
      <c r="AF1721" s="1">
        <v>0</v>
      </c>
    </row>
    <row r="1722" spans="31:32" x14ac:dyDescent="0.25">
      <c r="AE1722" s="107" t="s">
        <v>1639</v>
      </c>
      <c r="AF1722" s="1">
        <v>0</v>
      </c>
    </row>
    <row r="1723" spans="31:32" x14ac:dyDescent="0.25">
      <c r="AE1723" s="107" t="s">
        <v>1659</v>
      </c>
      <c r="AF1723" s="1">
        <v>0</v>
      </c>
    </row>
    <row r="1724" spans="31:32" x14ac:dyDescent="0.25">
      <c r="AE1724" s="107" t="s">
        <v>1807</v>
      </c>
      <c r="AF1724" s="1">
        <v>0</v>
      </c>
    </row>
    <row r="1725" spans="31:32" x14ac:dyDescent="0.25">
      <c r="AE1725" s="107" t="s">
        <v>1687</v>
      </c>
      <c r="AF1725" s="1">
        <v>0</v>
      </c>
    </row>
    <row r="1726" spans="31:32" x14ac:dyDescent="0.25">
      <c r="AE1726" s="107" t="s">
        <v>4867</v>
      </c>
      <c r="AF1726" s="1">
        <v>0</v>
      </c>
    </row>
    <row r="1727" spans="31:32" x14ac:dyDescent="0.25">
      <c r="AE1727" s="107" t="s">
        <v>1689</v>
      </c>
      <c r="AF1727" s="1">
        <v>0</v>
      </c>
    </row>
    <row r="1728" spans="31:32" x14ac:dyDescent="0.25">
      <c r="AE1728" s="107" t="s">
        <v>1949</v>
      </c>
      <c r="AF1728" s="1">
        <v>0</v>
      </c>
    </row>
    <row r="1729" spans="31:32" x14ac:dyDescent="0.25">
      <c r="AE1729" s="107" t="s">
        <v>1691</v>
      </c>
      <c r="AF1729" s="1">
        <v>0</v>
      </c>
    </row>
    <row r="1730" spans="31:32" x14ac:dyDescent="0.25">
      <c r="AE1730" s="107" t="s">
        <v>1829</v>
      </c>
      <c r="AF1730" s="1">
        <v>0</v>
      </c>
    </row>
    <row r="1731" spans="31:32" x14ac:dyDescent="0.25">
      <c r="AE1731" s="107" t="s">
        <v>1631</v>
      </c>
      <c r="AF1731" s="1">
        <v>0</v>
      </c>
    </row>
    <row r="1732" spans="31:32" x14ac:dyDescent="0.25">
      <c r="AE1732" s="107" t="s">
        <v>1831</v>
      </c>
      <c r="AF1732" s="1">
        <v>0</v>
      </c>
    </row>
    <row r="1733" spans="31:32" x14ac:dyDescent="0.25">
      <c r="AE1733" s="107" t="s">
        <v>1727</v>
      </c>
      <c r="AF1733" s="1">
        <v>0</v>
      </c>
    </row>
    <row r="1734" spans="31:32" x14ac:dyDescent="0.25">
      <c r="AE1734" s="107" t="s">
        <v>1921</v>
      </c>
      <c r="AF1734" s="1">
        <v>0</v>
      </c>
    </row>
    <row r="1735" spans="31:32" x14ac:dyDescent="0.25">
      <c r="AE1735" s="107" t="s">
        <v>1695</v>
      </c>
      <c r="AF1735" s="1">
        <v>0</v>
      </c>
    </row>
    <row r="1736" spans="31:32" x14ac:dyDescent="0.25">
      <c r="AE1736" s="107" t="s">
        <v>473</v>
      </c>
      <c r="AF1736" s="1">
        <v>0</v>
      </c>
    </row>
    <row r="1737" spans="31:32" x14ac:dyDescent="0.25">
      <c r="AE1737" s="107" t="s">
        <v>4857</v>
      </c>
      <c r="AF1737" s="1">
        <v>0</v>
      </c>
    </row>
    <row r="1738" spans="31:32" x14ac:dyDescent="0.25">
      <c r="AE1738" s="107" t="s">
        <v>1827</v>
      </c>
      <c r="AF1738" s="1">
        <v>0</v>
      </c>
    </row>
    <row r="1739" spans="31:32" x14ac:dyDescent="0.25">
      <c r="AE1739" s="107" t="s">
        <v>1685</v>
      </c>
      <c r="AF1739" s="1">
        <v>0</v>
      </c>
    </row>
    <row r="1740" spans="31:32" x14ac:dyDescent="0.25">
      <c r="AE1740" s="107" t="s">
        <v>1833</v>
      </c>
      <c r="AF1740" s="1">
        <v>0</v>
      </c>
    </row>
    <row r="1741" spans="31:32" x14ac:dyDescent="0.25">
      <c r="AE1741" s="107" t="s">
        <v>1643</v>
      </c>
      <c r="AF1741" s="1">
        <v>0</v>
      </c>
    </row>
    <row r="1742" spans="31:32" x14ac:dyDescent="0.25">
      <c r="AE1742" s="107" t="s">
        <v>1973</v>
      </c>
      <c r="AF1742" s="1">
        <v>0</v>
      </c>
    </row>
    <row r="1743" spans="31:32" x14ac:dyDescent="0.25">
      <c r="AE1743" s="107" t="s">
        <v>1693</v>
      </c>
      <c r="AF1743" s="1">
        <v>0</v>
      </c>
    </row>
    <row r="1744" spans="31:32" x14ac:dyDescent="0.25">
      <c r="AE1744" s="107" t="s">
        <v>1835</v>
      </c>
      <c r="AF1744" s="1">
        <v>0</v>
      </c>
    </row>
    <row r="1745" spans="31:32" x14ac:dyDescent="0.25">
      <c r="AE1745" s="107" t="s">
        <v>1697</v>
      </c>
      <c r="AF1745" s="1">
        <v>0</v>
      </c>
    </row>
    <row r="1746" spans="31:32" x14ac:dyDescent="0.25">
      <c r="AE1746" s="107" t="s">
        <v>4887</v>
      </c>
      <c r="AF1746" s="1">
        <v>0</v>
      </c>
    </row>
    <row r="1747" spans="31:32" x14ac:dyDescent="0.25">
      <c r="AE1747" s="107" t="s">
        <v>1699</v>
      </c>
      <c r="AF1747" s="1">
        <v>0</v>
      </c>
    </row>
    <row r="1748" spans="31:32" x14ac:dyDescent="0.25">
      <c r="AE1748" s="107" t="s">
        <v>1825</v>
      </c>
      <c r="AF1748" s="1">
        <v>0</v>
      </c>
    </row>
    <row r="1749" spans="31:32" x14ac:dyDescent="0.25">
      <c r="AE1749" s="107" t="s">
        <v>1653</v>
      </c>
      <c r="AF1749" s="1">
        <v>0</v>
      </c>
    </row>
    <row r="1750" spans="31:32" x14ac:dyDescent="0.25">
      <c r="AE1750" s="107" t="s">
        <v>1981</v>
      </c>
      <c r="AF1750" s="1">
        <v>0</v>
      </c>
    </row>
    <row r="1751" spans="31:32" x14ac:dyDescent="0.25">
      <c r="AE1751" s="107" t="s">
        <v>1703</v>
      </c>
      <c r="AF1751" s="1">
        <v>0</v>
      </c>
    </row>
    <row r="1752" spans="31:32" x14ac:dyDescent="0.25">
      <c r="AE1752" s="107" t="s">
        <v>1859</v>
      </c>
      <c r="AF1752" s="1">
        <v>0</v>
      </c>
    </row>
    <row r="1753" spans="31:32" x14ac:dyDescent="0.25">
      <c r="AE1753" s="107" t="s">
        <v>4795</v>
      </c>
      <c r="AF1753" s="1">
        <v>0</v>
      </c>
    </row>
    <row r="1754" spans="31:32" x14ac:dyDescent="0.25">
      <c r="AE1754" s="107" t="s">
        <v>1861</v>
      </c>
      <c r="AF1754" s="1">
        <v>0</v>
      </c>
    </row>
    <row r="1755" spans="31:32" x14ac:dyDescent="0.25">
      <c r="AE1755" s="107" t="s">
        <v>3471</v>
      </c>
      <c r="AF1755" s="1">
        <v>0</v>
      </c>
    </row>
    <row r="1756" spans="31:32" x14ac:dyDescent="0.25">
      <c r="AE1756" s="107" t="s">
        <v>1845</v>
      </c>
      <c r="AF1756" s="1">
        <v>0</v>
      </c>
    </row>
    <row r="1757" spans="31:32" x14ac:dyDescent="0.25">
      <c r="AE1757" s="107" t="s">
        <v>1671</v>
      </c>
      <c r="AF1757" s="1">
        <v>0</v>
      </c>
    </row>
    <row r="1758" spans="31:32" x14ac:dyDescent="0.25">
      <c r="AE1758" s="107" t="s">
        <v>1867</v>
      </c>
      <c r="AF1758" s="1">
        <v>0</v>
      </c>
    </row>
    <row r="1759" spans="31:32" x14ac:dyDescent="0.25">
      <c r="AE1759" s="107" t="s">
        <v>1677</v>
      </c>
      <c r="AF1759" s="1">
        <v>0</v>
      </c>
    </row>
    <row r="1760" spans="31:32" x14ac:dyDescent="0.25">
      <c r="AE1760" s="107" t="s">
        <v>1853</v>
      </c>
      <c r="AF1760" s="1">
        <v>0</v>
      </c>
    </row>
    <row r="1761" spans="31:32" x14ac:dyDescent="0.25">
      <c r="AE1761" s="107" t="s">
        <v>1713</v>
      </c>
      <c r="AF1761" s="1">
        <v>0</v>
      </c>
    </row>
    <row r="1762" spans="31:32" x14ac:dyDescent="0.25">
      <c r="AE1762" s="107" t="s">
        <v>1843</v>
      </c>
      <c r="AF1762" s="1">
        <v>0</v>
      </c>
    </row>
    <row r="1763" spans="31:32" x14ac:dyDescent="0.25">
      <c r="AE1763" s="107" t="s">
        <v>1715</v>
      </c>
      <c r="AF1763" s="1">
        <v>0</v>
      </c>
    </row>
    <row r="1764" spans="31:32" x14ac:dyDescent="0.25">
      <c r="AE1764" s="107" t="s">
        <v>1855</v>
      </c>
      <c r="AF1764" s="1">
        <v>0</v>
      </c>
    </row>
    <row r="1765" spans="31:32" x14ac:dyDescent="0.25">
      <c r="AE1765" s="107" t="s">
        <v>4839</v>
      </c>
      <c r="AF1765" s="1">
        <v>0</v>
      </c>
    </row>
    <row r="1766" spans="31:32" x14ac:dyDescent="0.25">
      <c r="AE1766" s="107" t="s">
        <v>1951</v>
      </c>
      <c r="AF1766" s="1">
        <v>0</v>
      </c>
    </row>
    <row r="1767" spans="31:32" x14ac:dyDescent="0.25">
      <c r="AE1767" s="107" t="s">
        <v>1761</v>
      </c>
      <c r="AF1767" s="1">
        <v>0</v>
      </c>
    </row>
    <row r="1768" spans="31:32" x14ac:dyDescent="0.25">
      <c r="AE1768" s="107" t="s">
        <v>4873</v>
      </c>
      <c r="AF1768" s="1">
        <v>0</v>
      </c>
    </row>
    <row r="1769" spans="31:32" x14ac:dyDescent="0.25">
      <c r="AE1769" s="107" t="s">
        <v>1777</v>
      </c>
      <c r="AF1769" s="1">
        <v>0</v>
      </c>
    </row>
    <row r="1770" spans="31:32" x14ac:dyDescent="0.25">
      <c r="AE1770" s="107" t="s">
        <v>1865</v>
      </c>
      <c r="AF1770" s="1">
        <v>0</v>
      </c>
    </row>
    <row r="1771" spans="31:32" x14ac:dyDescent="0.25">
      <c r="AE1771" s="107" t="s">
        <v>1679</v>
      </c>
      <c r="AF1771" s="1">
        <v>0</v>
      </c>
    </row>
    <row r="1772" spans="31:32" x14ac:dyDescent="0.25">
      <c r="AE1772" s="107" t="s">
        <v>1893</v>
      </c>
      <c r="AF1772" s="1">
        <v>0</v>
      </c>
    </row>
    <row r="1773" spans="31:32" x14ac:dyDescent="0.25">
      <c r="AE1773" s="107" t="s">
        <v>1627</v>
      </c>
      <c r="AF1773" s="1">
        <v>0</v>
      </c>
    </row>
    <row r="1774" spans="31:32" x14ac:dyDescent="0.25">
      <c r="AE1774" s="107" t="s">
        <v>1904</v>
      </c>
      <c r="AF1774" s="1">
        <v>0</v>
      </c>
    </row>
    <row r="1775" spans="31:32" x14ac:dyDescent="0.25">
      <c r="AE1775" s="107" t="s">
        <v>1717</v>
      </c>
      <c r="AF1775" s="1">
        <v>0</v>
      </c>
    </row>
    <row r="1776" spans="31:32" x14ac:dyDescent="0.25">
      <c r="AE1776" s="107" t="s">
        <v>1906</v>
      </c>
      <c r="AF1776" s="1">
        <v>0</v>
      </c>
    </row>
    <row r="1777" spans="31:32" x14ac:dyDescent="0.25">
      <c r="AE1777" s="107" t="s">
        <v>1707</v>
      </c>
      <c r="AF1777" s="1">
        <v>0</v>
      </c>
    </row>
    <row r="1778" spans="31:32" x14ac:dyDescent="0.25">
      <c r="AE1778" s="107" t="s">
        <v>1910</v>
      </c>
      <c r="AF1778" s="1">
        <v>0</v>
      </c>
    </row>
    <row r="1779" spans="31:32" x14ac:dyDescent="0.25">
      <c r="AE1779" s="107" t="s">
        <v>1709</v>
      </c>
      <c r="AF1779" s="1">
        <v>0</v>
      </c>
    </row>
    <row r="1780" spans="31:32" x14ac:dyDescent="0.25">
      <c r="AE1780" s="107" t="s">
        <v>1937</v>
      </c>
      <c r="AF1780" s="1">
        <v>0</v>
      </c>
    </row>
    <row r="1781" spans="31:32" x14ac:dyDescent="0.25">
      <c r="AE1781" s="107" t="s">
        <v>1811</v>
      </c>
      <c r="AF1781" s="1">
        <v>0</v>
      </c>
    </row>
    <row r="1782" spans="31:32" x14ac:dyDescent="0.25">
      <c r="AE1782" s="107" t="s">
        <v>804</v>
      </c>
      <c r="AF1782" s="1">
        <v>0</v>
      </c>
    </row>
    <row r="1783" spans="31:32" x14ac:dyDescent="0.25">
      <c r="AE1783" s="107" t="s">
        <v>1711</v>
      </c>
      <c r="AF1783" s="1">
        <v>0</v>
      </c>
    </row>
    <row r="1784" spans="31:32" x14ac:dyDescent="0.25">
      <c r="AE1784" s="107" t="s">
        <v>1933</v>
      </c>
      <c r="AF1784" s="1">
        <v>0</v>
      </c>
    </row>
    <row r="1785" spans="31:32" x14ac:dyDescent="0.25">
      <c r="AE1785" s="107" t="s">
        <v>1747</v>
      </c>
      <c r="AF1785" s="1">
        <v>0</v>
      </c>
    </row>
    <row r="1786" spans="31:32" x14ac:dyDescent="0.25">
      <c r="AE1786" s="107" t="s">
        <v>4869</v>
      </c>
      <c r="AF1786" s="1">
        <v>0</v>
      </c>
    </row>
    <row r="1787" spans="31:32" x14ac:dyDescent="0.25">
      <c r="AE1787" s="107" t="s">
        <v>1721</v>
      </c>
      <c r="AF1787" s="1">
        <v>0</v>
      </c>
    </row>
    <row r="1788" spans="31:32" x14ac:dyDescent="0.25">
      <c r="AE1788" s="107" t="s">
        <v>1912</v>
      </c>
      <c r="AF1788" s="1">
        <v>0</v>
      </c>
    </row>
    <row r="1789" spans="31:32" x14ac:dyDescent="0.25">
      <c r="AE1789" s="107" t="s">
        <v>4841</v>
      </c>
      <c r="AF1789" s="1">
        <v>0</v>
      </c>
    </row>
    <row r="1790" spans="31:32" x14ac:dyDescent="0.25">
      <c r="AE1790" s="107" t="s">
        <v>1925</v>
      </c>
      <c r="AF1790" s="1">
        <v>0</v>
      </c>
    </row>
    <row r="1791" spans="31:32" x14ac:dyDescent="0.25">
      <c r="AE1791" s="107" t="s">
        <v>1719</v>
      </c>
      <c r="AF1791" s="1">
        <v>0</v>
      </c>
    </row>
    <row r="1792" spans="31:32" x14ac:dyDescent="0.25">
      <c r="AE1792" s="107" t="s">
        <v>1957</v>
      </c>
      <c r="AF1792" s="1">
        <v>0</v>
      </c>
    </row>
    <row r="1793" spans="31:32" x14ac:dyDescent="0.25">
      <c r="AE1793" s="107" t="s">
        <v>1725</v>
      </c>
      <c r="AF1793" s="1">
        <v>0</v>
      </c>
    </row>
    <row r="1794" spans="31:32" x14ac:dyDescent="0.25">
      <c r="AE1794" s="107" t="s">
        <v>1849</v>
      </c>
      <c r="AF1794" s="1">
        <v>0</v>
      </c>
    </row>
    <row r="1795" spans="31:32" x14ac:dyDescent="0.25">
      <c r="AE1795" s="107" t="s">
        <v>1635</v>
      </c>
      <c r="AF1795" s="1">
        <v>0</v>
      </c>
    </row>
    <row r="1796" spans="31:32" x14ac:dyDescent="0.25">
      <c r="AE1796" s="107" t="s">
        <v>1927</v>
      </c>
      <c r="AF1796" s="1">
        <v>0</v>
      </c>
    </row>
    <row r="1797" spans="31:32" x14ac:dyDescent="0.25">
      <c r="AE1797" s="107" t="s">
        <v>4837</v>
      </c>
      <c r="AF1797" s="1">
        <v>0</v>
      </c>
    </row>
    <row r="1798" spans="31:32" x14ac:dyDescent="0.25">
      <c r="AE1798" s="107" t="s">
        <v>1939</v>
      </c>
      <c r="AF1798" s="1">
        <v>0</v>
      </c>
    </row>
    <row r="1799" spans="31:32" x14ac:dyDescent="0.25">
      <c r="AE1799" s="107" t="s">
        <v>1741</v>
      </c>
      <c r="AF1799" s="1">
        <v>0</v>
      </c>
    </row>
    <row r="1800" spans="31:32" x14ac:dyDescent="0.25">
      <c r="AE1800" s="107" t="s">
        <v>1887</v>
      </c>
      <c r="AF1800" s="1">
        <v>0</v>
      </c>
    </row>
    <row r="1801" spans="31:32" x14ac:dyDescent="0.25">
      <c r="AE1801" s="107" t="s">
        <v>1751</v>
      </c>
      <c r="AF1801" s="1">
        <v>0</v>
      </c>
    </row>
    <row r="1802" spans="31:32" x14ac:dyDescent="0.25">
      <c r="AE1802" s="107" t="s">
        <v>1478</v>
      </c>
      <c r="AF1802" s="1">
        <v>0</v>
      </c>
    </row>
    <row r="1803" spans="31:32" x14ac:dyDescent="0.25">
      <c r="AE1803" s="107" t="s">
        <v>379</v>
      </c>
      <c r="AF1803" s="1">
        <v>0</v>
      </c>
    </row>
    <row r="1804" spans="31:32" x14ac:dyDescent="0.25">
      <c r="AE1804" s="107" t="s">
        <v>1476</v>
      </c>
      <c r="AF1804" s="1">
        <v>0</v>
      </c>
    </row>
    <row r="1805" spans="31:32" x14ac:dyDescent="0.25">
      <c r="AE1805" s="107" t="s">
        <v>1352</v>
      </c>
      <c r="AF1805" s="1">
        <v>0</v>
      </c>
    </row>
    <row r="1806" spans="31:32" x14ac:dyDescent="0.25">
      <c r="AE1806" s="107" t="s">
        <v>1280</v>
      </c>
      <c r="AF1806" s="1">
        <v>0</v>
      </c>
    </row>
    <row r="1807" spans="31:32" x14ac:dyDescent="0.25">
      <c r="AE1807" s="107" t="s">
        <v>926</v>
      </c>
      <c r="AF1807" s="1">
        <v>0</v>
      </c>
    </row>
    <row r="1808" spans="31:32" x14ac:dyDescent="0.25">
      <c r="AE1808" s="107" t="s">
        <v>1406</v>
      </c>
      <c r="AF1808" s="1">
        <v>0</v>
      </c>
    </row>
    <row r="1809" spans="31:32" x14ac:dyDescent="0.25">
      <c r="AE1809" s="107" t="s">
        <v>4761</v>
      </c>
      <c r="AF1809" s="1">
        <v>0</v>
      </c>
    </row>
    <row r="1810" spans="31:32" x14ac:dyDescent="0.25">
      <c r="AE1810" s="107" t="s">
        <v>1224</v>
      </c>
      <c r="AF1810" s="1">
        <v>0</v>
      </c>
    </row>
    <row r="1811" spans="31:32" x14ac:dyDescent="0.25">
      <c r="AE1811" s="107" t="s">
        <v>772</v>
      </c>
      <c r="AF1811" s="1">
        <v>0</v>
      </c>
    </row>
    <row r="1812" spans="31:32" x14ac:dyDescent="0.25">
      <c r="AE1812" s="107" t="s">
        <v>4779</v>
      </c>
      <c r="AF1812" s="1">
        <v>0</v>
      </c>
    </row>
    <row r="1813" spans="31:32" x14ac:dyDescent="0.25">
      <c r="AE1813" s="107" t="s">
        <v>5039</v>
      </c>
      <c r="AF1813" s="1">
        <v>0</v>
      </c>
    </row>
    <row r="1814" spans="31:32" x14ac:dyDescent="0.25">
      <c r="AE1814" s="107" t="s">
        <v>1386</v>
      </c>
      <c r="AF1814" s="1">
        <v>0</v>
      </c>
    </row>
    <row r="1815" spans="31:32" x14ac:dyDescent="0.25">
      <c r="AE1815" s="107" t="s">
        <v>4951</v>
      </c>
      <c r="AF1815" s="1">
        <v>0</v>
      </c>
    </row>
    <row r="1816" spans="31:32" x14ac:dyDescent="0.25">
      <c r="AE1816" s="107" t="s">
        <v>2761</v>
      </c>
      <c r="AF1816" s="1">
        <v>0</v>
      </c>
    </row>
    <row r="1817" spans="31:32" x14ac:dyDescent="0.25">
      <c r="AE1817" s="107" t="s">
        <v>1094</v>
      </c>
      <c r="AF1817" s="1">
        <v>0</v>
      </c>
    </row>
    <row r="1818" spans="31:32" x14ac:dyDescent="0.25">
      <c r="AE1818" s="107" t="s">
        <v>1230</v>
      </c>
      <c r="AF1818" s="1">
        <v>0</v>
      </c>
    </row>
    <row r="1819" spans="31:32" x14ac:dyDescent="0.25">
      <c r="AE1819" s="107" t="s">
        <v>1148</v>
      </c>
      <c r="AF1819" s="1">
        <v>0</v>
      </c>
    </row>
    <row r="1820" spans="31:32" x14ac:dyDescent="0.25">
      <c r="AE1820" s="107" t="s">
        <v>1292</v>
      </c>
      <c r="AF1820" s="1">
        <v>0</v>
      </c>
    </row>
    <row r="1821" spans="31:32" x14ac:dyDescent="0.25">
      <c r="AE1821" s="107" t="s">
        <v>936</v>
      </c>
      <c r="AF1821" s="1">
        <v>0</v>
      </c>
    </row>
    <row r="1822" spans="31:32" x14ac:dyDescent="0.25">
      <c r="AE1822" s="107" t="s">
        <v>4791</v>
      </c>
      <c r="AF1822" s="1">
        <v>0</v>
      </c>
    </row>
    <row r="1823" spans="31:32" x14ac:dyDescent="0.25">
      <c r="AE1823" s="107" t="s">
        <v>938</v>
      </c>
      <c r="AF1823" s="1">
        <v>0</v>
      </c>
    </row>
    <row r="1824" spans="31:32" x14ac:dyDescent="0.25">
      <c r="AE1824" s="107" t="s">
        <v>1348</v>
      </c>
      <c r="AF1824" s="1">
        <v>0</v>
      </c>
    </row>
    <row r="1825" spans="31:32" x14ac:dyDescent="0.25">
      <c r="AE1825" s="107" t="s">
        <v>4759</v>
      </c>
      <c r="AF1825" s="1">
        <v>0</v>
      </c>
    </row>
    <row r="1826" spans="31:32" x14ac:dyDescent="0.25">
      <c r="AE1826" s="107" t="s">
        <v>4803</v>
      </c>
      <c r="AF1826" s="1">
        <v>0</v>
      </c>
    </row>
    <row r="1827" spans="31:32" x14ac:dyDescent="0.25">
      <c r="AE1827" s="107" t="s">
        <v>824</v>
      </c>
      <c r="AF1827" s="1">
        <v>0</v>
      </c>
    </row>
    <row r="1828" spans="31:32" x14ac:dyDescent="0.25">
      <c r="AE1828" s="107" t="s">
        <v>1400</v>
      </c>
      <c r="AF1828" s="1">
        <v>0</v>
      </c>
    </row>
    <row r="1829" spans="31:32" x14ac:dyDescent="0.25">
      <c r="AE1829" s="107" t="s">
        <v>3413</v>
      </c>
      <c r="AF1829" s="1">
        <v>0</v>
      </c>
    </row>
    <row r="1830" spans="31:32" x14ac:dyDescent="0.25">
      <c r="AE1830" s="107" t="s">
        <v>1380</v>
      </c>
      <c r="AF1830" s="1">
        <v>0</v>
      </c>
    </row>
    <row r="1831" spans="31:32" x14ac:dyDescent="0.25">
      <c r="AE1831" s="107" t="s">
        <v>1006</v>
      </c>
      <c r="AF1831" s="1">
        <v>0</v>
      </c>
    </row>
    <row r="1832" spans="31:32" x14ac:dyDescent="0.25">
      <c r="AE1832" s="107" t="s">
        <v>1454</v>
      </c>
      <c r="AF1832" s="1">
        <v>0</v>
      </c>
    </row>
    <row r="1833" spans="31:32" x14ac:dyDescent="0.25">
      <c r="AE1833" s="107" t="s">
        <v>1024</v>
      </c>
      <c r="AF1833" s="1">
        <v>0</v>
      </c>
    </row>
    <row r="1834" spans="31:32" x14ac:dyDescent="0.25">
      <c r="AE1834" s="107" t="s">
        <v>1354</v>
      </c>
      <c r="AF1834" s="1">
        <v>0</v>
      </c>
    </row>
    <row r="1835" spans="31:32" x14ac:dyDescent="0.25">
      <c r="AE1835" s="107" t="s">
        <v>385</v>
      </c>
      <c r="AF1835" s="1">
        <v>0</v>
      </c>
    </row>
    <row r="1836" spans="31:32" x14ac:dyDescent="0.25">
      <c r="AE1836" s="107" t="s">
        <v>1234</v>
      </c>
      <c r="AF1836" s="1">
        <v>0</v>
      </c>
    </row>
    <row r="1837" spans="31:32" x14ac:dyDescent="0.25">
      <c r="AE1837" s="107" t="s">
        <v>798</v>
      </c>
      <c r="AF1837" s="1">
        <v>0</v>
      </c>
    </row>
    <row r="1838" spans="31:32" x14ac:dyDescent="0.25">
      <c r="AE1838" s="107" t="s">
        <v>2349</v>
      </c>
      <c r="AF1838" s="1">
        <v>0</v>
      </c>
    </row>
    <row r="1839" spans="31:32" x14ac:dyDescent="0.25">
      <c r="AE1839" s="107" t="s">
        <v>4685</v>
      </c>
      <c r="AF1839" s="1">
        <v>0</v>
      </c>
    </row>
    <row r="1840" spans="31:32" x14ac:dyDescent="0.25">
      <c r="AE1840" s="107" t="s">
        <v>1228</v>
      </c>
      <c r="AF1840" s="1">
        <v>0</v>
      </c>
    </row>
    <row r="1841" spans="31:32" x14ac:dyDescent="0.25">
      <c r="AE1841" s="107" t="s">
        <v>1154</v>
      </c>
      <c r="AF1841" s="1">
        <v>0</v>
      </c>
    </row>
    <row r="1842" spans="31:32" x14ac:dyDescent="0.25">
      <c r="AE1842" s="107" t="s">
        <v>1302</v>
      </c>
      <c r="AF1842" s="1">
        <v>0</v>
      </c>
    </row>
    <row r="1843" spans="31:32" x14ac:dyDescent="0.25">
      <c r="AE1843" s="107" t="s">
        <v>980</v>
      </c>
      <c r="AF1843" s="1">
        <v>0</v>
      </c>
    </row>
    <row r="1844" spans="31:32" x14ac:dyDescent="0.25">
      <c r="AE1844" s="107" t="s">
        <v>1334</v>
      </c>
      <c r="AF1844" s="1">
        <v>0</v>
      </c>
    </row>
    <row r="1845" spans="31:32" x14ac:dyDescent="0.25">
      <c r="AE1845" s="107" t="s">
        <v>5049</v>
      </c>
      <c r="AF1845" s="1">
        <v>0</v>
      </c>
    </row>
    <row r="1846" spans="31:32" x14ac:dyDescent="0.25">
      <c r="AE1846" s="107" t="s">
        <v>1250</v>
      </c>
      <c r="AF1846" s="1">
        <v>0</v>
      </c>
    </row>
    <row r="1847" spans="31:32" x14ac:dyDescent="0.25">
      <c r="AE1847" s="107" t="s">
        <v>982</v>
      </c>
      <c r="AF1847" s="1">
        <v>0</v>
      </c>
    </row>
    <row r="1848" spans="31:32" x14ac:dyDescent="0.25">
      <c r="AE1848" s="107" t="s">
        <v>1248</v>
      </c>
      <c r="AF1848" s="1">
        <v>0</v>
      </c>
    </row>
    <row r="1849" spans="31:32" x14ac:dyDescent="0.25">
      <c r="AE1849" s="107" t="s">
        <v>986</v>
      </c>
      <c r="AF1849" s="1">
        <v>0</v>
      </c>
    </row>
    <row r="1850" spans="31:32" x14ac:dyDescent="0.25">
      <c r="AE1850" s="107" t="s">
        <v>1370</v>
      </c>
      <c r="AF1850" s="1">
        <v>0</v>
      </c>
    </row>
    <row r="1851" spans="31:32" x14ac:dyDescent="0.25">
      <c r="AE1851" s="107" t="s">
        <v>832</v>
      </c>
      <c r="AF1851" s="1">
        <v>0</v>
      </c>
    </row>
    <row r="1852" spans="31:32" x14ac:dyDescent="0.25">
      <c r="AE1852" s="107" t="s">
        <v>4821</v>
      </c>
      <c r="AF1852" s="1">
        <v>0</v>
      </c>
    </row>
    <row r="1853" spans="31:32" x14ac:dyDescent="0.25">
      <c r="AE1853" s="107" t="s">
        <v>1132</v>
      </c>
      <c r="AF1853" s="1">
        <v>0</v>
      </c>
    </row>
    <row r="1854" spans="31:32" x14ac:dyDescent="0.25">
      <c r="AE1854" s="107" t="s">
        <v>4813</v>
      </c>
      <c r="AF1854" s="1">
        <v>0</v>
      </c>
    </row>
    <row r="1855" spans="31:32" x14ac:dyDescent="0.25">
      <c r="AE1855" s="107" t="s">
        <v>1040</v>
      </c>
      <c r="AF1855" s="1">
        <v>0</v>
      </c>
    </row>
    <row r="1856" spans="31:32" x14ac:dyDescent="0.25">
      <c r="AE1856" s="107" t="s">
        <v>1414</v>
      </c>
      <c r="AF1856" s="1">
        <v>0</v>
      </c>
    </row>
    <row r="1857" spans="31:32" x14ac:dyDescent="0.25">
      <c r="AE1857" s="107" t="s">
        <v>974</v>
      </c>
      <c r="AF1857" s="1">
        <v>0</v>
      </c>
    </row>
    <row r="1858" spans="31:32" x14ac:dyDescent="0.25">
      <c r="AE1858" s="107" t="s">
        <v>1434</v>
      </c>
      <c r="AF1858" s="1">
        <v>0</v>
      </c>
    </row>
    <row r="1859" spans="31:32" x14ac:dyDescent="0.25">
      <c r="AE1859" s="107" t="s">
        <v>1102</v>
      </c>
      <c r="AF1859" s="1">
        <v>0</v>
      </c>
    </row>
    <row r="1860" spans="31:32" x14ac:dyDescent="0.25">
      <c r="AE1860" s="107" t="s">
        <v>1432</v>
      </c>
      <c r="AF1860" s="1">
        <v>0</v>
      </c>
    </row>
    <row r="1861" spans="31:32" x14ac:dyDescent="0.25">
      <c r="AE1861" s="107" t="s">
        <v>5051</v>
      </c>
      <c r="AF1861" s="1">
        <v>0</v>
      </c>
    </row>
    <row r="1862" spans="31:32" x14ac:dyDescent="0.25">
      <c r="AE1862" s="107" t="s">
        <v>1404</v>
      </c>
      <c r="AF1862" s="1">
        <v>0</v>
      </c>
    </row>
    <row r="1863" spans="31:32" x14ac:dyDescent="0.25">
      <c r="AE1863" s="107" t="s">
        <v>934</v>
      </c>
      <c r="AF1863" s="1">
        <v>0</v>
      </c>
    </row>
    <row r="1864" spans="31:32" x14ac:dyDescent="0.25">
      <c r="AE1864" s="107" t="s">
        <v>1458</v>
      </c>
      <c r="AF1864" s="1">
        <v>0</v>
      </c>
    </row>
    <row r="1865" spans="31:32" x14ac:dyDescent="0.25">
      <c r="AE1865" s="107" t="s">
        <v>1018</v>
      </c>
      <c r="AF1865" s="1">
        <v>0</v>
      </c>
    </row>
    <row r="1866" spans="31:32" x14ac:dyDescent="0.25">
      <c r="AE1866" s="107" t="s">
        <v>1204</v>
      </c>
      <c r="AF1866" s="1">
        <v>0</v>
      </c>
    </row>
    <row r="1867" spans="31:32" x14ac:dyDescent="0.25">
      <c r="AE1867" s="107" t="s">
        <v>994</v>
      </c>
      <c r="AF1867" s="1">
        <v>0</v>
      </c>
    </row>
    <row r="1868" spans="31:32" x14ac:dyDescent="0.25">
      <c r="AE1868" s="107" t="s">
        <v>1308</v>
      </c>
      <c r="AF1868" s="1">
        <v>0</v>
      </c>
    </row>
    <row r="1869" spans="31:32" x14ac:dyDescent="0.25">
      <c r="AE1869" s="107" t="s">
        <v>1058</v>
      </c>
      <c r="AF1869" s="1">
        <v>0</v>
      </c>
    </row>
    <row r="1870" spans="31:32" x14ac:dyDescent="0.25">
      <c r="AE1870" s="107" t="s">
        <v>1232</v>
      </c>
      <c r="AF1870" s="1">
        <v>0</v>
      </c>
    </row>
    <row r="1871" spans="31:32" x14ac:dyDescent="0.25">
      <c r="AE1871" s="107" t="s">
        <v>866</v>
      </c>
      <c r="AF1871" s="1">
        <v>0</v>
      </c>
    </row>
    <row r="1872" spans="31:32" x14ac:dyDescent="0.25">
      <c r="AE1872" s="107" t="s">
        <v>1240</v>
      </c>
      <c r="AF1872" s="1">
        <v>0</v>
      </c>
    </row>
    <row r="1873" spans="31:32" x14ac:dyDescent="0.25">
      <c r="AE1873" s="107" t="s">
        <v>1112</v>
      </c>
      <c r="AF1873" s="1">
        <v>0</v>
      </c>
    </row>
    <row r="1874" spans="31:32" x14ac:dyDescent="0.25">
      <c r="AE1874" s="107" t="s">
        <v>2796</v>
      </c>
      <c r="AF1874" s="1">
        <v>0</v>
      </c>
    </row>
    <row r="1875" spans="31:32" x14ac:dyDescent="0.25">
      <c r="AE1875" s="107" t="s">
        <v>1016</v>
      </c>
      <c r="AF1875" s="1">
        <v>0</v>
      </c>
    </row>
    <row r="1876" spans="31:32" x14ac:dyDescent="0.25">
      <c r="AE1876" s="107" t="s">
        <v>1358</v>
      </c>
      <c r="AF1876" s="1">
        <v>0</v>
      </c>
    </row>
    <row r="1877" spans="31:32" x14ac:dyDescent="0.25">
      <c r="AE1877" s="107" t="s">
        <v>1010</v>
      </c>
      <c r="AF1877" s="1">
        <v>0</v>
      </c>
    </row>
    <row r="1878" spans="31:32" x14ac:dyDescent="0.25">
      <c r="AE1878" s="107" t="s">
        <v>1298</v>
      </c>
      <c r="AF1878" s="1">
        <v>0</v>
      </c>
    </row>
    <row r="1879" spans="31:32" x14ac:dyDescent="0.25">
      <c r="AE1879" s="107" t="s">
        <v>1012</v>
      </c>
      <c r="AF1879" s="1">
        <v>0</v>
      </c>
    </row>
    <row r="1880" spans="31:32" x14ac:dyDescent="0.25">
      <c r="AE1880" s="107" t="s">
        <v>1274</v>
      </c>
      <c r="AF1880" s="1">
        <v>0</v>
      </c>
    </row>
    <row r="1881" spans="31:32" x14ac:dyDescent="0.25">
      <c r="AE1881" s="107" t="s">
        <v>1142</v>
      </c>
      <c r="AF1881" s="1">
        <v>0</v>
      </c>
    </row>
    <row r="1882" spans="31:32" x14ac:dyDescent="0.25">
      <c r="AE1882" s="107" t="s">
        <v>4783</v>
      </c>
      <c r="AF1882" s="1">
        <v>0</v>
      </c>
    </row>
    <row r="1883" spans="31:32" x14ac:dyDescent="0.25">
      <c r="AE1883" s="107" t="s">
        <v>910</v>
      </c>
      <c r="AF1883" s="1">
        <v>0</v>
      </c>
    </row>
    <row r="1884" spans="31:32" x14ac:dyDescent="0.25">
      <c r="AE1884" s="107" t="s">
        <v>4799</v>
      </c>
      <c r="AF1884" s="1">
        <v>0</v>
      </c>
    </row>
    <row r="1885" spans="31:32" x14ac:dyDescent="0.25">
      <c r="AE1885" s="107" t="s">
        <v>1048</v>
      </c>
      <c r="AF1885" s="1">
        <v>0</v>
      </c>
    </row>
    <row r="1886" spans="31:32" x14ac:dyDescent="0.25">
      <c r="AE1886" s="107" t="s">
        <v>1188</v>
      </c>
      <c r="AF1886" s="1">
        <v>0</v>
      </c>
    </row>
    <row r="1887" spans="31:32" x14ac:dyDescent="0.25">
      <c r="AE1887" s="107" t="s">
        <v>1014</v>
      </c>
      <c r="AF1887" s="1">
        <v>0</v>
      </c>
    </row>
    <row r="1888" spans="31:32" x14ac:dyDescent="0.25">
      <c r="AE1888" s="107" t="s">
        <v>1322</v>
      </c>
      <c r="AF1888" s="1">
        <v>0</v>
      </c>
    </row>
    <row r="1889" spans="31:32" x14ac:dyDescent="0.25">
      <c r="AE1889" s="107" t="s">
        <v>882</v>
      </c>
      <c r="AF1889" s="1">
        <v>0</v>
      </c>
    </row>
    <row r="1890" spans="31:32" x14ac:dyDescent="0.25">
      <c r="AE1890" s="107" t="s">
        <v>1346</v>
      </c>
      <c r="AF1890" s="1">
        <v>0</v>
      </c>
    </row>
    <row r="1891" spans="31:32" x14ac:dyDescent="0.25">
      <c r="AE1891" s="107" t="s">
        <v>1096</v>
      </c>
      <c r="AF1891" s="1">
        <v>0</v>
      </c>
    </row>
    <row r="1892" spans="31:32" x14ac:dyDescent="0.25">
      <c r="AE1892" s="107" t="s">
        <v>1212</v>
      </c>
      <c r="AF1892" s="1">
        <v>0</v>
      </c>
    </row>
    <row r="1893" spans="31:32" x14ac:dyDescent="0.25">
      <c r="AE1893" s="107" t="s">
        <v>818</v>
      </c>
      <c r="AF1893" s="1">
        <v>0</v>
      </c>
    </row>
    <row r="1894" spans="31:32" x14ac:dyDescent="0.25">
      <c r="AE1894" s="107" t="s">
        <v>1192</v>
      </c>
      <c r="AF1894" s="1">
        <v>0</v>
      </c>
    </row>
    <row r="1895" spans="31:32" x14ac:dyDescent="0.25">
      <c r="AE1895" s="107" t="s">
        <v>1138</v>
      </c>
      <c r="AF1895" s="1">
        <v>0</v>
      </c>
    </row>
    <row r="1896" spans="31:32" x14ac:dyDescent="0.25">
      <c r="AE1896" s="107" t="s">
        <v>1350</v>
      </c>
      <c r="AF1896" s="1">
        <v>0</v>
      </c>
    </row>
    <row r="1897" spans="31:32" x14ac:dyDescent="0.25">
      <c r="AE1897" s="107" t="s">
        <v>1140</v>
      </c>
      <c r="AF1897" s="1">
        <v>0</v>
      </c>
    </row>
    <row r="1898" spans="31:32" x14ac:dyDescent="0.25">
      <c r="AE1898" s="107" t="s">
        <v>1326</v>
      </c>
      <c r="AF1898" s="1">
        <v>0</v>
      </c>
    </row>
    <row r="1899" spans="31:32" x14ac:dyDescent="0.25">
      <c r="AE1899" s="107" t="s">
        <v>1146</v>
      </c>
      <c r="AF1899" s="1">
        <v>0</v>
      </c>
    </row>
    <row r="1900" spans="31:32" x14ac:dyDescent="0.25">
      <c r="AE1900" s="107" t="s">
        <v>1372</v>
      </c>
      <c r="AF1900" s="1">
        <v>0</v>
      </c>
    </row>
    <row r="1901" spans="31:32" x14ac:dyDescent="0.25">
      <c r="AE1901" s="107" t="s">
        <v>944</v>
      </c>
      <c r="AF1901" s="1">
        <v>0</v>
      </c>
    </row>
    <row r="1902" spans="31:32" x14ac:dyDescent="0.25">
      <c r="AE1902" s="107" t="s">
        <v>1412</v>
      </c>
      <c r="AF1902" s="1">
        <v>0</v>
      </c>
    </row>
    <row r="1903" spans="31:32" x14ac:dyDescent="0.25">
      <c r="AE1903" s="107" t="s">
        <v>1144</v>
      </c>
      <c r="AF1903" s="1">
        <v>0</v>
      </c>
    </row>
    <row r="1904" spans="31:32" x14ac:dyDescent="0.25">
      <c r="AE1904" s="107" t="s">
        <v>1518</v>
      </c>
      <c r="AF1904" s="1">
        <v>0</v>
      </c>
    </row>
    <row r="1905" spans="31:32" x14ac:dyDescent="0.25">
      <c r="AE1905" s="107" t="s">
        <v>4775</v>
      </c>
      <c r="AF1905" s="1">
        <v>0</v>
      </c>
    </row>
    <row r="1906" spans="31:32" x14ac:dyDescent="0.25">
      <c r="AE1906" s="107" t="s">
        <v>1390</v>
      </c>
      <c r="AF1906" s="1">
        <v>0</v>
      </c>
    </row>
    <row r="1907" spans="31:32" x14ac:dyDescent="0.25">
      <c r="AE1907" s="107" t="s">
        <v>1150</v>
      </c>
      <c r="AF1907" s="1">
        <v>0</v>
      </c>
    </row>
    <row r="1908" spans="31:32" x14ac:dyDescent="0.25">
      <c r="AE1908" s="107" t="s">
        <v>3397</v>
      </c>
      <c r="AF1908" s="1">
        <v>0</v>
      </c>
    </row>
    <row r="1909" spans="31:32" x14ac:dyDescent="0.25">
      <c r="AE1909" s="107" t="s">
        <v>1052</v>
      </c>
      <c r="AF1909" s="1">
        <v>0</v>
      </c>
    </row>
    <row r="1910" spans="31:32" x14ac:dyDescent="0.25">
      <c r="AE1910" s="107" t="s">
        <v>4809</v>
      </c>
      <c r="AF1910" s="1">
        <v>0</v>
      </c>
    </row>
    <row r="1911" spans="31:32" x14ac:dyDescent="0.25">
      <c r="AE1911" s="107" t="s">
        <v>918</v>
      </c>
      <c r="AF1911" s="1">
        <v>0</v>
      </c>
    </row>
    <row r="1912" spans="31:32" x14ac:dyDescent="0.25">
      <c r="AE1912" s="107" t="s">
        <v>1488</v>
      </c>
      <c r="AF1912" s="1">
        <v>0</v>
      </c>
    </row>
    <row r="1913" spans="31:32" x14ac:dyDescent="0.25">
      <c r="AE1913" s="107" t="s">
        <v>1054</v>
      </c>
      <c r="AF1913" s="1">
        <v>0</v>
      </c>
    </row>
    <row r="1914" spans="31:32" x14ac:dyDescent="0.25">
      <c r="AE1914" s="107" t="s">
        <v>1408</v>
      </c>
      <c r="AF1914" s="1">
        <v>0</v>
      </c>
    </row>
    <row r="1915" spans="31:32" x14ac:dyDescent="0.25">
      <c r="AE1915" s="107" t="s">
        <v>4703</v>
      </c>
      <c r="AF1915" s="1">
        <v>0</v>
      </c>
    </row>
    <row r="1916" spans="31:32" x14ac:dyDescent="0.25">
      <c r="AE1916" s="107" t="s">
        <v>1426</v>
      </c>
      <c r="AF1916" s="1">
        <v>0</v>
      </c>
    </row>
    <row r="1917" spans="31:32" x14ac:dyDescent="0.25">
      <c r="AE1917" s="107" t="s">
        <v>1128</v>
      </c>
      <c r="AF1917" s="1">
        <v>0</v>
      </c>
    </row>
    <row r="1918" spans="31:32" x14ac:dyDescent="0.25">
      <c r="AE1918" s="107" t="s">
        <v>4817</v>
      </c>
      <c r="AF1918" s="1">
        <v>0</v>
      </c>
    </row>
    <row r="1919" spans="31:32" x14ac:dyDescent="0.25">
      <c r="AE1919" s="107" t="s">
        <v>1044</v>
      </c>
      <c r="AF1919" s="1">
        <v>0</v>
      </c>
    </row>
    <row r="1920" spans="31:32" x14ac:dyDescent="0.25">
      <c r="AE1920" s="107" t="s">
        <v>1486</v>
      </c>
      <c r="AF1920" s="1">
        <v>0</v>
      </c>
    </row>
    <row r="1921" spans="31:32" x14ac:dyDescent="0.25">
      <c r="AE1921" s="107" t="s">
        <v>924</v>
      </c>
      <c r="AF1921" s="1">
        <v>0</v>
      </c>
    </row>
    <row r="1922" spans="31:32" x14ac:dyDescent="0.25">
      <c r="AE1922" s="107" t="s">
        <v>1462</v>
      </c>
      <c r="AF1922" s="1">
        <v>0</v>
      </c>
    </row>
    <row r="1923" spans="31:32" x14ac:dyDescent="0.25">
      <c r="AE1923" s="107" t="s">
        <v>1050</v>
      </c>
      <c r="AF1923" s="1">
        <v>0</v>
      </c>
    </row>
    <row r="1924" spans="31:32" x14ac:dyDescent="0.25">
      <c r="AE1924" s="107" t="s">
        <v>1460</v>
      </c>
      <c r="AF1924" s="1">
        <v>0</v>
      </c>
    </row>
    <row r="1925" spans="31:32" x14ac:dyDescent="0.25">
      <c r="AE1925" s="107" t="s">
        <v>5043</v>
      </c>
      <c r="AF1925" s="1">
        <v>0</v>
      </c>
    </row>
    <row r="1926" spans="31:32" x14ac:dyDescent="0.25">
      <c r="AE1926" s="107" t="s">
        <v>1452</v>
      </c>
      <c r="AF1926" s="1">
        <v>0</v>
      </c>
    </row>
    <row r="1927" spans="31:32" x14ac:dyDescent="0.25">
      <c r="AE1927" s="107" t="s">
        <v>1084</v>
      </c>
      <c r="AF1927" s="1">
        <v>0</v>
      </c>
    </row>
    <row r="1928" spans="31:32" x14ac:dyDescent="0.25">
      <c r="AE1928" s="107" t="s">
        <v>1472</v>
      </c>
      <c r="AF1928" s="1">
        <v>0</v>
      </c>
    </row>
    <row r="1929" spans="31:32" x14ac:dyDescent="0.25">
      <c r="AE1929" s="107" t="s">
        <v>1056</v>
      </c>
      <c r="AF1929" s="1">
        <v>0</v>
      </c>
    </row>
    <row r="1930" spans="31:32" x14ac:dyDescent="0.25">
      <c r="AE1930" s="107" t="s">
        <v>1438</v>
      </c>
      <c r="AF1930" s="1">
        <v>0</v>
      </c>
    </row>
    <row r="1931" spans="31:32" x14ac:dyDescent="0.25">
      <c r="AE1931" s="107" t="s">
        <v>988</v>
      </c>
      <c r="AF1931" s="1">
        <v>0</v>
      </c>
    </row>
    <row r="1932" spans="31:32" x14ac:dyDescent="0.25">
      <c r="AE1932" s="107" t="s">
        <v>1336</v>
      </c>
      <c r="AF1932" s="1">
        <v>0</v>
      </c>
    </row>
    <row r="1933" spans="31:32" x14ac:dyDescent="0.25">
      <c r="AE1933" s="107" t="s">
        <v>1064</v>
      </c>
      <c r="AF1933" s="1">
        <v>0</v>
      </c>
    </row>
    <row r="1934" spans="31:32" x14ac:dyDescent="0.25">
      <c r="AE1934" s="107" t="s">
        <v>1206</v>
      </c>
      <c r="AF1934" s="1">
        <v>0</v>
      </c>
    </row>
    <row r="1935" spans="31:32" x14ac:dyDescent="0.25">
      <c r="AE1935" s="107" t="s">
        <v>1158</v>
      </c>
      <c r="AF1935" s="1">
        <v>0</v>
      </c>
    </row>
    <row r="1936" spans="31:32" x14ac:dyDescent="0.25">
      <c r="AE1936" s="107" t="s">
        <v>1208</v>
      </c>
      <c r="AF1936" s="1">
        <v>0</v>
      </c>
    </row>
    <row r="1937" spans="31:32" x14ac:dyDescent="0.25">
      <c r="AE1937" s="107" t="s">
        <v>1160</v>
      </c>
      <c r="AF1937" s="1">
        <v>0</v>
      </c>
    </row>
    <row r="1938" spans="31:32" x14ac:dyDescent="0.25">
      <c r="AE1938" s="107" t="s">
        <v>1226</v>
      </c>
      <c r="AF1938" s="1">
        <v>0</v>
      </c>
    </row>
    <row r="1939" spans="31:32" x14ac:dyDescent="0.25">
      <c r="AE1939" s="107" t="s">
        <v>5164</v>
      </c>
      <c r="AF1939" s="1">
        <v>0</v>
      </c>
    </row>
    <row r="1940" spans="31:32" x14ac:dyDescent="0.25">
      <c r="AE1940" s="107" t="s">
        <v>1272</v>
      </c>
      <c r="AF1940" s="1">
        <v>0</v>
      </c>
    </row>
    <row r="1941" spans="31:32" x14ac:dyDescent="0.25">
      <c r="AE1941" s="107" t="s">
        <v>1114</v>
      </c>
      <c r="AF1941" s="1">
        <v>0</v>
      </c>
    </row>
    <row r="1942" spans="31:32" x14ac:dyDescent="0.25">
      <c r="AE1942" s="107" t="s">
        <v>1238</v>
      </c>
      <c r="AF1942" s="1">
        <v>0</v>
      </c>
    </row>
    <row r="1943" spans="31:32" x14ac:dyDescent="0.25">
      <c r="AE1943" s="107" t="s">
        <v>1116</v>
      </c>
      <c r="AF1943" s="1">
        <v>0</v>
      </c>
    </row>
    <row r="1944" spans="31:32" x14ac:dyDescent="0.25">
      <c r="AE1944" s="107" t="s">
        <v>1284</v>
      </c>
      <c r="AF1944" s="1">
        <v>0</v>
      </c>
    </row>
    <row r="1945" spans="31:32" x14ac:dyDescent="0.25">
      <c r="AE1945" s="107" t="s">
        <v>964</v>
      </c>
      <c r="AF1945" s="1">
        <v>0</v>
      </c>
    </row>
    <row r="1946" spans="31:32" x14ac:dyDescent="0.25">
      <c r="AE1946" s="107" t="s">
        <v>1180</v>
      </c>
      <c r="AF1946" s="1">
        <v>0</v>
      </c>
    </row>
    <row r="1947" spans="31:32" x14ac:dyDescent="0.25">
      <c r="AE1947" s="107" t="s">
        <v>1118</v>
      </c>
      <c r="AF1947" s="1">
        <v>0</v>
      </c>
    </row>
    <row r="1948" spans="31:32" x14ac:dyDescent="0.25">
      <c r="AE1948" s="107" t="s">
        <v>1242</v>
      </c>
      <c r="AF1948" s="1">
        <v>0</v>
      </c>
    </row>
    <row r="1949" spans="31:32" x14ac:dyDescent="0.25">
      <c r="AE1949" s="107" t="s">
        <v>878</v>
      </c>
      <c r="AF1949" s="1">
        <v>0</v>
      </c>
    </row>
    <row r="1950" spans="31:32" x14ac:dyDescent="0.25">
      <c r="AE1950" s="107" t="s">
        <v>1290</v>
      </c>
      <c r="AF1950" s="1">
        <v>0</v>
      </c>
    </row>
    <row r="1951" spans="31:32" x14ac:dyDescent="0.25">
      <c r="AE1951" s="107" t="s">
        <v>968</v>
      </c>
      <c r="AF1951" s="1">
        <v>0</v>
      </c>
    </row>
    <row r="1952" spans="31:32" x14ac:dyDescent="0.25">
      <c r="AE1952" s="107" t="s">
        <v>4304</v>
      </c>
      <c r="AF1952" s="1">
        <v>0</v>
      </c>
    </row>
    <row r="1953" spans="31:32" x14ac:dyDescent="0.25">
      <c r="AE1953" s="107" t="s">
        <v>4771</v>
      </c>
      <c r="AF1953" s="1">
        <v>0</v>
      </c>
    </row>
    <row r="1954" spans="31:32" x14ac:dyDescent="0.25">
      <c r="AE1954" s="107" t="s">
        <v>1314</v>
      </c>
      <c r="AF1954" s="1">
        <v>0</v>
      </c>
    </row>
    <row r="1955" spans="31:32" x14ac:dyDescent="0.25">
      <c r="AE1955" s="107" t="s">
        <v>1042</v>
      </c>
      <c r="AF1955" s="1">
        <v>0</v>
      </c>
    </row>
    <row r="1956" spans="31:32" x14ac:dyDescent="0.25">
      <c r="AE1956" s="107" t="s">
        <v>1296</v>
      </c>
      <c r="AF1956" s="1">
        <v>0</v>
      </c>
    </row>
    <row r="1957" spans="31:32" x14ac:dyDescent="0.25">
      <c r="AE1957" s="107" t="s">
        <v>1120</v>
      </c>
      <c r="AF1957" s="1">
        <v>0</v>
      </c>
    </row>
    <row r="1958" spans="31:32" x14ac:dyDescent="0.25">
      <c r="AE1958" s="107" t="s">
        <v>1254</v>
      </c>
      <c r="AF1958" s="1">
        <v>0</v>
      </c>
    </row>
    <row r="1959" spans="31:32" x14ac:dyDescent="0.25">
      <c r="AE1959" s="107" t="s">
        <v>916</v>
      </c>
      <c r="AF1959" s="1">
        <v>0</v>
      </c>
    </row>
    <row r="1960" spans="31:32" x14ac:dyDescent="0.25">
      <c r="AE1960" s="107" t="s">
        <v>1214</v>
      </c>
      <c r="AF1960" s="1">
        <v>0</v>
      </c>
    </row>
    <row r="1961" spans="31:32" x14ac:dyDescent="0.25">
      <c r="AE1961" s="107" t="s">
        <v>1086</v>
      </c>
      <c r="AF1961" s="1">
        <v>0</v>
      </c>
    </row>
    <row r="1962" spans="31:32" x14ac:dyDescent="0.25">
      <c r="AE1962" s="107" t="s">
        <v>1342</v>
      </c>
      <c r="AF1962" s="1">
        <v>0</v>
      </c>
    </row>
    <row r="1963" spans="31:32" x14ac:dyDescent="0.25">
      <c r="AE1963" s="107" t="s">
        <v>3583</v>
      </c>
      <c r="AF1963" s="1">
        <v>0</v>
      </c>
    </row>
    <row r="1964" spans="31:32" x14ac:dyDescent="0.25">
      <c r="AE1964" s="107" t="s">
        <v>1300</v>
      </c>
      <c r="AF1964" s="1">
        <v>0</v>
      </c>
    </row>
    <row r="1965" spans="31:32" x14ac:dyDescent="0.25">
      <c r="AE1965" s="107" t="s">
        <v>1162</v>
      </c>
      <c r="AF1965" s="1">
        <v>0</v>
      </c>
    </row>
    <row r="1966" spans="31:32" x14ac:dyDescent="0.25">
      <c r="AE1966" s="107" t="s">
        <v>1194</v>
      </c>
      <c r="AF1966" s="1">
        <v>0</v>
      </c>
    </row>
    <row r="1967" spans="31:32" x14ac:dyDescent="0.25">
      <c r="AE1967" s="107" t="s">
        <v>1316</v>
      </c>
      <c r="AF1967" s="1">
        <v>0</v>
      </c>
    </row>
    <row r="1968" spans="31:32" x14ac:dyDescent="0.25">
      <c r="AE1968" s="107" t="s">
        <v>1294</v>
      </c>
      <c r="AF1968" s="1">
        <v>0</v>
      </c>
    </row>
    <row r="1969" spans="31:32" x14ac:dyDescent="0.25">
      <c r="AE1969" s="107" t="s">
        <v>1166</v>
      </c>
      <c r="AF1969" s="1">
        <v>0</v>
      </c>
    </row>
    <row r="1970" spans="31:32" x14ac:dyDescent="0.25">
      <c r="AE1970" s="107" t="s">
        <v>1330</v>
      </c>
      <c r="AF1970" s="1">
        <v>0</v>
      </c>
    </row>
    <row r="1971" spans="31:32" x14ac:dyDescent="0.25">
      <c r="AE1971" s="107" t="s">
        <v>1178</v>
      </c>
      <c r="AF1971" s="1">
        <v>0</v>
      </c>
    </row>
    <row r="1972" spans="31:32" x14ac:dyDescent="0.25">
      <c r="AE1972" s="107" t="s">
        <v>1260</v>
      </c>
      <c r="AF1972" s="1">
        <v>0</v>
      </c>
    </row>
    <row r="1973" spans="31:32" x14ac:dyDescent="0.25">
      <c r="AE1973" s="107" t="s">
        <v>1176</v>
      </c>
      <c r="AF1973" s="1">
        <v>0</v>
      </c>
    </row>
    <row r="1974" spans="31:32" x14ac:dyDescent="0.25">
      <c r="AE1974" s="107" t="s">
        <v>1318</v>
      </c>
      <c r="AF1974" s="1">
        <v>0</v>
      </c>
    </row>
    <row r="1975" spans="31:32" x14ac:dyDescent="0.25">
      <c r="AE1975" s="107" t="s">
        <v>4777</v>
      </c>
      <c r="AF1975" s="1">
        <v>0</v>
      </c>
    </row>
    <row r="1976" spans="31:32" x14ac:dyDescent="0.25">
      <c r="AE1976" s="107" t="s">
        <v>3821</v>
      </c>
      <c r="AF1976" s="1">
        <v>0</v>
      </c>
    </row>
    <row r="1977" spans="31:32" x14ac:dyDescent="0.25">
      <c r="AE1977" s="107" t="s">
        <v>1356</v>
      </c>
      <c r="AF1977" s="1">
        <v>0</v>
      </c>
    </row>
    <row r="1978" spans="31:32" x14ac:dyDescent="0.25">
      <c r="AE1978" s="107" t="s">
        <v>4578</v>
      </c>
      <c r="AF1978" s="1">
        <v>0</v>
      </c>
    </row>
    <row r="1979" spans="31:32" x14ac:dyDescent="0.25">
      <c r="AE1979" s="107" t="s">
        <v>1210</v>
      </c>
      <c r="AF1979" s="1">
        <v>0</v>
      </c>
    </row>
    <row r="1980" spans="31:32" x14ac:dyDescent="0.25">
      <c r="AE1980" s="107" t="s">
        <v>1244</v>
      </c>
      <c r="AF1980" s="1">
        <v>0</v>
      </c>
    </row>
    <row r="1981" spans="31:32" x14ac:dyDescent="0.25">
      <c r="AE1981" s="107" t="s">
        <v>1216</v>
      </c>
      <c r="AF1981" s="1">
        <v>0</v>
      </c>
    </row>
    <row r="1982" spans="31:32" x14ac:dyDescent="0.25">
      <c r="AE1982" s="107" t="s">
        <v>1258</v>
      </c>
      <c r="AF1982" s="1">
        <v>0</v>
      </c>
    </row>
    <row r="1983" spans="31:32" x14ac:dyDescent="0.25">
      <c r="AE1983" s="107" t="s">
        <v>1218</v>
      </c>
      <c r="AF1983" s="1">
        <v>0</v>
      </c>
    </row>
    <row r="1984" spans="31:32" x14ac:dyDescent="0.25">
      <c r="AE1984" s="107" t="s">
        <v>1236</v>
      </c>
      <c r="AF1984" s="1">
        <v>0</v>
      </c>
    </row>
    <row r="1985" spans="31:32" x14ac:dyDescent="0.25">
      <c r="AE1985" s="107" t="s">
        <v>1168</v>
      </c>
      <c r="AF1985" s="1">
        <v>0</v>
      </c>
    </row>
    <row r="1986" spans="31:32" x14ac:dyDescent="0.25">
      <c r="AE1986" s="107" t="s">
        <v>1184</v>
      </c>
      <c r="AF1986" s="1">
        <v>0</v>
      </c>
    </row>
    <row r="1987" spans="31:32" x14ac:dyDescent="0.25">
      <c r="AE1987" s="107" t="s">
        <v>1256</v>
      </c>
      <c r="AF1987" s="1">
        <v>0</v>
      </c>
    </row>
    <row r="1988" spans="31:32" x14ac:dyDescent="0.25">
      <c r="AE1988" s="107" t="s">
        <v>4789</v>
      </c>
      <c r="AF1988" s="1">
        <v>0</v>
      </c>
    </row>
    <row r="1989" spans="31:32" x14ac:dyDescent="0.25">
      <c r="AE1989" s="107" t="s">
        <v>1246</v>
      </c>
      <c r="AF1989" s="1">
        <v>0</v>
      </c>
    </row>
    <row r="1990" spans="31:32" x14ac:dyDescent="0.25">
      <c r="AE1990" s="107" t="s">
        <v>248</v>
      </c>
      <c r="AF1990" s="1">
        <v>0</v>
      </c>
    </row>
    <row r="1991" spans="31:32" x14ac:dyDescent="0.25">
      <c r="AE1991" s="107" t="s">
        <v>1368</v>
      </c>
      <c r="AF1991" s="1">
        <v>0</v>
      </c>
    </row>
    <row r="1992" spans="31:32" x14ac:dyDescent="0.25">
      <c r="AE1992" s="107" t="s">
        <v>4797</v>
      </c>
      <c r="AF1992" s="1">
        <v>0</v>
      </c>
    </row>
    <row r="1993" spans="31:32" x14ac:dyDescent="0.25">
      <c r="AE1993" s="107" t="s">
        <v>1276</v>
      </c>
      <c r="AF1993" s="1">
        <v>0</v>
      </c>
    </row>
    <row r="1994" spans="31:32" x14ac:dyDescent="0.25">
      <c r="AE1994" s="107" t="s">
        <v>1324</v>
      </c>
      <c r="AF1994" s="1">
        <v>0</v>
      </c>
    </row>
    <row r="1995" spans="31:32" x14ac:dyDescent="0.25">
      <c r="AE1995" s="107" t="s">
        <v>1270</v>
      </c>
      <c r="AF1995" s="1">
        <v>0</v>
      </c>
    </row>
    <row r="1996" spans="31:32" x14ac:dyDescent="0.25">
      <c r="AE1996" s="107" t="s">
        <v>1362</v>
      </c>
      <c r="AF1996" s="1">
        <v>0</v>
      </c>
    </row>
    <row r="1997" spans="31:32" x14ac:dyDescent="0.25">
      <c r="AE1997" s="107" t="s">
        <v>1170</v>
      </c>
      <c r="AF1997" s="1">
        <v>0</v>
      </c>
    </row>
    <row r="1998" spans="31:32" x14ac:dyDescent="0.25">
      <c r="AE1998" s="107" t="s">
        <v>1288</v>
      </c>
      <c r="AF1998" s="1">
        <v>0</v>
      </c>
    </row>
    <row r="1999" spans="31:32" x14ac:dyDescent="0.25">
      <c r="AE1999" s="107" t="s">
        <v>1152</v>
      </c>
      <c r="AF1999" s="1">
        <v>0</v>
      </c>
    </row>
    <row r="2000" spans="31:32" x14ac:dyDescent="0.25">
      <c r="AE2000" s="107" t="s">
        <v>4801</v>
      </c>
      <c r="AF2000" s="1">
        <v>0</v>
      </c>
    </row>
    <row r="2001" spans="31:32" x14ac:dyDescent="0.25">
      <c r="AE2001" s="107" t="s">
        <v>1172</v>
      </c>
      <c r="AF2001" s="1">
        <v>0</v>
      </c>
    </row>
    <row r="2002" spans="31:32" x14ac:dyDescent="0.25">
      <c r="AE2002" s="107" t="s">
        <v>1470</v>
      </c>
      <c r="AF2002" s="1">
        <v>0</v>
      </c>
    </row>
    <row r="2003" spans="31:32" x14ac:dyDescent="0.25">
      <c r="AE2003" s="107" t="s">
        <v>1262</v>
      </c>
      <c r="AF2003" s="1">
        <v>0</v>
      </c>
    </row>
    <row r="2004" spans="31:32" x14ac:dyDescent="0.25">
      <c r="AE2004" s="107" t="s">
        <v>1416</v>
      </c>
      <c r="AF2004" s="1">
        <v>0</v>
      </c>
    </row>
    <row r="2005" spans="31:32" x14ac:dyDescent="0.25">
      <c r="AE2005" s="107" t="s">
        <v>1286</v>
      </c>
      <c r="AF2005" s="1">
        <v>0</v>
      </c>
    </row>
    <row r="2006" spans="31:32" x14ac:dyDescent="0.25">
      <c r="AE2006" s="107" t="s">
        <v>2671</v>
      </c>
      <c r="AF2006" s="1">
        <v>0</v>
      </c>
    </row>
    <row r="2007" spans="31:32" x14ac:dyDescent="0.25">
      <c r="AE2007" s="107" t="s">
        <v>1320</v>
      </c>
      <c r="AF2007" s="1">
        <v>0</v>
      </c>
    </row>
    <row r="2008" spans="31:32" x14ac:dyDescent="0.25">
      <c r="AE2008" s="107" t="s">
        <v>1522</v>
      </c>
      <c r="AF2008" s="1">
        <v>0</v>
      </c>
    </row>
    <row r="2009" spans="31:32" x14ac:dyDescent="0.25">
      <c r="AE2009" s="107" t="s">
        <v>3387</v>
      </c>
      <c r="AF2009" s="1">
        <v>0</v>
      </c>
    </row>
    <row r="2010" spans="31:32" x14ac:dyDescent="0.25">
      <c r="AE2010" s="107" t="s">
        <v>1384</v>
      </c>
      <c r="AF2010" s="1">
        <v>0</v>
      </c>
    </row>
    <row r="2011" spans="31:32" x14ac:dyDescent="0.25">
      <c r="AE2011" s="107" t="s">
        <v>1164</v>
      </c>
      <c r="AF2011" s="1">
        <v>0</v>
      </c>
    </row>
    <row r="2012" spans="31:32" x14ac:dyDescent="0.25">
      <c r="AE2012" s="107" t="s">
        <v>1382</v>
      </c>
      <c r="AF2012" s="1">
        <v>0</v>
      </c>
    </row>
    <row r="2013" spans="31:32" x14ac:dyDescent="0.25">
      <c r="AE2013" s="107" t="s">
        <v>1306</v>
      </c>
      <c r="AF2013" s="1">
        <v>0</v>
      </c>
    </row>
    <row r="2014" spans="31:32" x14ac:dyDescent="0.25">
      <c r="AE2014" s="107" t="s">
        <v>1398</v>
      </c>
      <c r="AF2014" s="1">
        <v>0</v>
      </c>
    </row>
    <row r="2015" spans="31:32" x14ac:dyDescent="0.25">
      <c r="AE2015" s="107" t="s">
        <v>1174</v>
      </c>
      <c r="AF2015" s="1">
        <v>0</v>
      </c>
    </row>
    <row r="2016" spans="31:32" x14ac:dyDescent="0.25">
      <c r="AE2016" s="107" t="s">
        <v>1394</v>
      </c>
      <c r="AF2016" s="1">
        <v>0</v>
      </c>
    </row>
    <row r="2017" spans="31:32" x14ac:dyDescent="0.25">
      <c r="AE2017" s="107" t="s">
        <v>1338</v>
      </c>
      <c r="AF2017" s="1">
        <v>0</v>
      </c>
    </row>
    <row r="2018" spans="31:32" x14ac:dyDescent="0.25">
      <c r="AE2018" s="107" t="s">
        <v>1484</v>
      </c>
      <c r="AF2018" s="1">
        <v>0</v>
      </c>
    </row>
    <row r="2019" spans="31:32" x14ac:dyDescent="0.25">
      <c r="AE2019" s="107" t="s">
        <v>1340</v>
      </c>
      <c r="AF2019" s="1">
        <v>0</v>
      </c>
    </row>
    <row r="2020" spans="31:32" x14ac:dyDescent="0.25">
      <c r="AE2020" s="107" t="s">
        <v>1436</v>
      </c>
      <c r="AF2020" s="1">
        <v>0</v>
      </c>
    </row>
    <row r="2021" spans="31:32" x14ac:dyDescent="0.25">
      <c r="AE2021" s="107" t="s">
        <v>1190</v>
      </c>
      <c r="AF2021" s="1">
        <v>0</v>
      </c>
    </row>
    <row r="2022" spans="31:32" x14ac:dyDescent="0.25">
      <c r="AE2022" s="107" t="s">
        <v>1464</v>
      </c>
      <c r="AF2022" s="1">
        <v>0</v>
      </c>
    </row>
    <row r="2023" spans="31:32" x14ac:dyDescent="0.25">
      <c r="AE2023" s="107" t="s">
        <v>1222</v>
      </c>
      <c r="AF2023" s="1">
        <v>0</v>
      </c>
    </row>
    <row r="2024" spans="31:32" x14ac:dyDescent="0.25">
      <c r="AE2024" s="107" t="s">
        <v>1420</v>
      </c>
      <c r="AF2024" s="1">
        <v>0</v>
      </c>
    </row>
    <row r="2025" spans="31:32" x14ac:dyDescent="0.25">
      <c r="AE2025" s="107" t="s">
        <v>1328</v>
      </c>
      <c r="AF2025" s="1">
        <v>0</v>
      </c>
    </row>
    <row r="2026" spans="31:32" x14ac:dyDescent="0.25">
      <c r="AE2026" s="107" t="s">
        <v>1402</v>
      </c>
      <c r="AF2026" s="1">
        <v>0</v>
      </c>
    </row>
    <row r="2027" spans="31:32" x14ac:dyDescent="0.25">
      <c r="AE2027" s="107" t="s">
        <v>1366</v>
      </c>
      <c r="AF2027" s="1">
        <v>0</v>
      </c>
    </row>
    <row r="2028" spans="31:32" x14ac:dyDescent="0.25">
      <c r="AE2028" s="107" t="s">
        <v>1520</v>
      </c>
      <c r="AF2028" s="1">
        <v>0</v>
      </c>
    </row>
    <row r="2029" spans="31:32" x14ac:dyDescent="0.25">
      <c r="AE2029" s="107" t="s">
        <v>1312</v>
      </c>
      <c r="AF2029" s="1">
        <v>0</v>
      </c>
    </row>
    <row r="2030" spans="31:32" x14ac:dyDescent="0.25">
      <c r="AE2030" s="107" t="s">
        <v>1466</v>
      </c>
      <c r="AF2030" s="1">
        <v>0</v>
      </c>
    </row>
    <row r="2031" spans="31:32" x14ac:dyDescent="0.25">
      <c r="AE2031" s="107" t="s">
        <v>1304</v>
      </c>
      <c r="AF2031" s="1">
        <v>0</v>
      </c>
    </row>
    <row r="2032" spans="31:32" x14ac:dyDescent="0.25">
      <c r="AE2032" s="107" t="s">
        <v>1418</v>
      </c>
      <c r="AF2032" s="1">
        <v>0</v>
      </c>
    </row>
    <row r="2033" spans="31:32" x14ac:dyDescent="0.25">
      <c r="AE2033" s="107" t="s">
        <v>1220</v>
      </c>
      <c r="AF2033" s="1">
        <v>0</v>
      </c>
    </row>
    <row r="2034" spans="31:32" x14ac:dyDescent="0.25">
      <c r="AE2034" s="107" t="s">
        <v>1490</v>
      </c>
      <c r="AF2034" s="1">
        <v>0</v>
      </c>
    </row>
    <row r="2035" spans="31:32" x14ac:dyDescent="0.25">
      <c r="AE2035" s="107" t="s">
        <v>1360</v>
      </c>
      <c r="AF2035" s="1">
        <v>0</v>
      </c>
    </row>
    <row r="2036" spans="31:32" x14ac:dyDescent="0.25">
      <c r="AE2036" s="107" t="s">
        <v>1428</v>
      </c>
      <c r="AF2036" s="1">
        <v>0</v>
      </c>
    </row>
    <row r="2037" spans="31:32" x14ac:dyDescent="0.25">
      <c r="AE2037" s="107" t="s">
        <v>1278</v>
      </c>
      <c r="AF2037" s="1">
        <v>0</v>
      </c>
    </row>
    <row r="2038" spans="31:32" x14ac:dyDescent="0.25">
      <c r="AE2038" s="107" t="s">
        <v>1430</v>
      </c>
      <c r="AF2038" s="1">
        <v>0</v>
      </c>
    </row>
    <row r="2039" spans="31:32" x14ac:dyDescent="0.25">
      <c r="AE2039" s="107" t="s">
        <v>1198</v>
      </c>
      <c r="AF2039" s="1">
        <v>0</v>
      </c>
    </row>
    <row r="2040" spans="31:32" x14ac:dyDescent="0.25">
      <c r="AE2040" s="107" t="s">
        <v>1440</v>
      </c>
      <c r="AF2040" s="1">
        <v>0</v>
      </c>
    </row>
    <row r="2041" spans="31:32" x14ac:dyDescent="0.25">
      <c r="AE2041" s="107" t="s">
        <v>1268</v>
      </c>
      <c r="AF2041" s="1">
        <v>0</v>
      </c>
    </row>
    <row r="2042" spans="31:32" x14ac:dyDescent="0.25">
      <c r="AE2042" s="107" t="s">
        <v>1442</v>
      </c>
      <c r="AF2042" s="1">
        <v>0</v>
      </c>
    </row>
    <row r="2043" spans="31:32" x14ac:dyDescent="0.25">
      <c r="AE2043" s="107" t="s">
        <v>1252</v>
      </c>
      <c r="AF2043" s="1">
        <v>0</v>
      </c>
    </row>
    <row r="2044" spans="31:32" x14ac:dyDescent="0.25">
      <c r="AE2044" s="107" t="s">
        <v>1444</v>
      </c>
      <c r="AF2044" s="1">
        <v>0</v>
      </c>
    </row>
    <row r="2045" spans="31:32" x14ac:dyDescent="0.25">
      <c r="AE2045" s="107" t="s">
        <v>1266</v>
      </c>
      <c r="AF2045" s="1">
        <v>0</v>
      </c>
    </row>
    <row r="2046" spans="31:32" x14ac:dyDescent="0.25">
      <c r="AE2046" s="107" t="s">
        <v>1446</v>
      </c>
      <c r="AF2046" s="1">
        <v>0</v>
      </c>
    </row>
    <row r="2047" spans="31:32" x14ac:dyDescent="0.25">
      <c r="AE2047" s="107" t="s">
        <v>1182</v>
      </c>
      <c r="AF2047" s="1">
        <v>0</v>
      </c>
    </row>
    <row r="2048" spans="31:32" x14ac:dyDescent="0.25">
      <c r="AE2048" s="107" t="s">
        <v>1456</v>
      </c>
      <c r="AF2048" s="1">
        <v>0</v>
      </c>
    </row>
    <row r="2049" spans="31:32" x14ac:dyDescent="0.25">
      <c r="AE2049" s="107" t="s">
        <v>1264</v>
      </c>
      <c r="AF2049" s="1">
        <v>0</v>
      </c>
    </row>
    <row r="2050" spans="31:32" x14ac:dyDescent="0.25">
      <c r="AE2050" s="107" t="s">
        <v>1448</v>
      </c>
      <c r="AF2050" s="1">
        <v>0</v>
      </c>
    </row>
    <row r="2051" spans="31:32" x14ac:dyDescent="0.25">
      <c r="AE2051" s="107" t="s">
        <v>1202</v>
      </c>
      <c r="AF2051" s="1">
        <v>0</v>
      </c>
    </row>
    <row r="2052" spans="31:32" x14ac:dyDescent="0.25">
      <c r="AE2052" s="107" t="s">
        <v>1450</v>
      </c>
      <c r="AF2052" s="1">
        <v>0</v>
      </c>
    </row>
    <row r="2053" spans="31:32" x14ac:dyDescent="0.25">
      <c r="AE2053" s="107" t="s">
        <v>4781</v>
      </c>
      <c r="AF2053" s="1">
        <v>0</v>
      </c>
    </row>
    <row r="2054" spans="31:32" x14ac:dyDescent="0.25">
      <c r="AE2054" s="107" t="s">
        <v>1410</v>
      </c>
      <c r="AF2054" s="1">
        <v>0</v>
      </c>
    </row>
    <row r="2055" spans="31:32" x14ac:dyDescent="0.25">
      <c r="AE2055" s="107" t="s">
        <v>1200</v>
      </c>
      <c r="AF2055" s="1">
        <v>0</v>
      </c>
    </row>
    <row r="2056" spans="31:32" x14ac:dyDescent="0.25">
      <c r="AE2056" s="107" t="s">
        <v>1474</v>
      </c>
      <c r="AF2056" s="1">
        <v>0</v>
      </c>
    </row>
    <row r="2057" spans="31:32" x14ac:dyDescent="0.25">
      <c r="AE2057" s="107" t="s">
        <v>1310</v>
      </c>
      <c r="AF2057" s="1">
        <v>0</v>
      </c>
    </row>
    <row r="2058" spans="31:32" x14ac:dyDescent="0.25">
      <c r="AE2058" s="107" t="s">
        <v>1480</v>
      </c>
      <c r="AF2058" s="1">
        <v>0</v>
      </c>
    </row>
    <row r="2059" spans="31:32" x14ac:dyDescent="0.25">
      <c r="AE2059" s="107" t="s">
        <v>1186</v>
      </c>
      <c r="AF2059" s="1">
        <v>0</v>
      </c>
    </row>
    <row r="2060" spans="31:32" x14ac:dyDescent="0.25">
      <c r="AE2060" s="107" t="s">
        <v>3292</v>
      </c>
      <c r="AF2060" s="1">
        <v>0</v>
      </c>
    </row>
    <row r="2061" spans="31:32" x14ac:dyDescent="0.25">
      <c r="AE2061" s="107" t="s">
        <v>4787</v>
      </c>
      <c r="AF2061" s="1">
        <v>0</v>
      </c>
    </row>
    <row r="2062" spans="31:32" x14ac:dyDescent="0.25">
      <c r="AE2062" s="107" t="s">
        <v>1082</v>
      </c>
      <c r="AF2062" s="1">
        <v>0</v>
      </c>
    </row>
    <row r="2063" spans="31:32" x14ac:dyDescent="0.25">
      <c r="AE2063" s="107" t="s">
        <v>880</v>
      </c>
      <c r="AF2063" s="1">
        <v>0</v>
      </c>
    </row>
    <row r="2064" spans="31:32" x14ac:dyDescent="0.25">
      <c r="AE2064" s="107" t="s">
        <v>788</v>
      </c>
      <c r="AF2064" s="1">
        <v>0</v>
      </c>
    </row>
    <row r="2065" spans="31:32" x14ac:dyDescent="0.25">
      <c r="AE2065" s="107" t="s">
        <v>665</v>
      </c>
      <c r="AF2065" s="1">
        <v>0</v>
      </c>
    </row>
    <row r="2066" spans="31:32" x14ac:dyDescent="0.25">
      <c r="AE2066" s="107" t="s">
        <v>5035</v>
      </c>
      <c r="AF2066" s="1">
        <v>0</v>
      </c>
    </row>
    <row r="2067" spans="31:32" x14ac:dyDescent="0.25">
      <c r="AE2067" s="107" t="s">
        <v>754</v>
      </c>
      <c r="AF2067" s="1">
        <v>0</v>
      </c>
    </row>
    <row r="2068" spans="31:32" x14ac:dyDescent="0.25">
      <c r="AE2068" s="107" t="s">
        <v>830</v>
      </c>
      <c r="AF2068" s="1">
        <v>0</v>
      </c>
    </row>
    <row r="2069" spans="31:32" x14ac:dyDescent="0.25">
      <c r="AE2069" s="107" t="s">
        <v>4352</v>
      </c>
      <c r="AF2069" s="1">
        <v>0</v>
      </c>
    </row>
    <row r="2070" spans="31:32" x14ac:dyDescent="0.25">
      <c r="AE2070" s="107" t="s">
        <v>393</v>
      </c>
      <c r="AF2070" s="1">
        <v>0</v>
      </c>
    </row>
    <row r="2071" spans="31:32" x14ac:dyDescent="0.25">
      <c r="AE2071" s="107" t="s">
        <v>453</v>
      </c>
      <c r="AF2071" s="1">
        <v>0</v>
      </c>
    </row>
    <row r="2072" spans="31:32" x14ac:dyDescent="0.25">
      <c r="AE2072" s="107" t="s">
        <v>828</v>
      </c>
      <c r="AF2072" s="1">
        <v>0</v>
      </c>
    </row>
    <row r="2073" spans="31:32" x14ac:dyDescent="0.25">
      <c r="AE2073" s="107" t="s">
        <v>585</v>
      </c>
      <c r="AF2073" s="1">
        <v>0</v>
      </c>
    </row>
    <row r="2074" spans="31:32" x14ac:dyDescent="0.25">
      <c r="AE2074" s="107" t="s">
        <v>5162</v>
      </c>
      <c r="AF2074" s="1">
        <v>0</v>
      </c>
    </row>
    <row r="2075" spans="31:32" x14ac:dyDescent="0.25">
      <c r="AE2075" s="107" t="s">
        <v>451</v>
      </c>
      <c r="AF2075" s="1">
        <v>0</v>
      </c>
    </row>
    <row r="2076" spans="31:32" x14ac:dyDescent="0.25">
      <c r="AE2076" s="107" t="s">
        <v>946</v>
      </c>
      <c r="AF2076" s="1">
        <v>0</v>
      </c>
    </row>
    <row r="2077" spans="31:32" x14ac:dyDescent="0.25">
      <c r="AE2077" s="107" t="s">
        <v>549</v>
      </c>
      <c r="AF2077" s="1">
        <v>0</v>
      </c>
    </row>
    <row r="2078" spans="31:32" x14ac:dyDescent="0.25">
      <c r="AE2078" s="107" t="s">
        <v>3805</v>
      </c>
      <c r="AF2078" s="1">
        <v>0</v>
      </c>
    </row>
    <row r="2079" spans="31:32" x14ac:dyDescent="0.25">
      <c r="AE2079" s="107" t="s">
        <v>581</v>
      </c>
      <c r="AF2079" s="1">
        <v>0</v>
      </c>
    </row>
    <row r="2080" spans="31:32" x14ac:dyDescent="0.25">
      <c r="AE2080" s="107" t="s">
        <v>862</v>
      </c>
      <c r="AF2080" s="1">
        <v>0</v>
      </c>
    </row>
    <row r="2081" spans="31:32" x14ac:dyDescent="0.25">
      <c r="AE2081" s="107" t="s">
        <v>4727</v>
      </c>
      <c r="AF2081" s="1">
        <v>0</v>
      </c>
    </row>
    <row r="2082" spans="31:32" x14ac:dyDescent="0.25">
      <c r="AE2082" s="107" t="s">
        <v>1098</v>
      </c>
      <c r="AF2082" s="1">
        <v>0</v>
      </c>
    </row>
    <row r="2083" spans="31:32" x14ac:dyDescent="0.25">
      <c r="AE2083" s="107" t="s">
        <v>583</v>
      </c>
      <c r="AF2083" s="1">
        <v>0</v>
      </c>
    </row>
    <row r="2084" spans="31:32" x14ac:dyDescent="0.25">
      <c r="AE2084" s="107" t="s">
        <v>930</v>
      </c>
      <c r="AF2084" s="1">
        <v>0</v>
      </c>
    </row>
    <row r="2085" spans="31:32" x14ac:dyDescent="0.25">
      <c r="AE2085" s="107" t="s">
        <v>367</v>
      </c>
      <c r="AF2085" s="1">
        <v>0</v>
      </c>
    </row>
    <row r="2086" spans="31:32" x14ac:dyDescent="0.25">
      <c r="AE2086" s="107" t="s">
        <v>1100</v>
      </c>
      <c r="AF2086" s="1">
        <v>0</v>
      </c>
    </row>
    <row r="2087" spans="31:32" x14ac:dyDescent="0.25">
      <c r="AE2087" s="107" t="s">
        <v>695</v>
      </c>
      <c r="AF2087" s="1">
        <v>0</v>
      </c>
    </row>
    <row r="2088" spans="31:32" x14ac:dyDescent="0.25">
      <c r="AE2088" s="107" t="s">
        <v>4757</v>
      </c>
      <c r="AF2088" s="1">
        <v>0</v>
      </c>
    </row>
    <row r="2089" spans="31:32" x14ac:dyDescent="0.25">
      <c r="AE2089" s="107" t="s">
        <v>609</v>
      </c>
      <c r="AF2089" s="1">
        <v>0</v>
      </c>
    </row>
    <row r="2090" spans="31:32" x14ac:dyDescent="0.25">
      <c r="AE2090" s="107" t="s">
        <v>1076</v>
      </c>
      <c r="AF2090" s="1">
        <v>0</v>
      </c>
    </row>
    <row r="2091" spans="31:32" x14ac:dyDescent="0.25">
      <c r="AE2091" s="107" t="s">
        <v>607</v>
      </c>
      <c r="AF2091" s="1">
        <v>0</v>
      </c>
    </row>
    <row r="2092" spans="31:32" x14ac:dyDescent="0.25">
      <c r="AE2092" s="107" t="s">
        <v>812</v>
      </c>
      <c r="AF2092" s="1">
        <v>0</v>
      </c>
    </row>
    <row r="2093" spans="31:32" x14ac:dyDescent="0.25">
      <c r="AE2093" s="107" t="s">
        <v>599</v>
      </c>
      <c r="AF2093" s="1">
        <v>0</v>
      </c>
    </row>
    <row r="2094" spans="31:32" x14ac:dyDescent="0.25">
      <c r="AE2094" s="107" t="s">
        <v>858</v>
      </c>
      <c r="AF2094" s="1">
        <v>0</v>
      </c>
    </row>
    <row r="2095" spans="31:32" x14ac:dyDescent="0.25">
      <c r="AE2095" s="107" t="s">
        <v>637</v>
      </c>
      <c r="AF2095" s="1">
        <v>0</v>
      </c>
    </row>
    <row r="2096" spans="31:32" x14ac:dyDescent="0.25">
      <c r="AE2096" s="107" t="s">
        <v>914</v>
      </c>
      <c r="AF2096" s="1">
        <v>0</v>
      </c>
    </row>
    <row r="2097" spans="31:32" x14ac:dyDescent="0.25">
      <c r="AE2097" s="107" t="s">
        <v>4811</v>
      </c>
      <c r="AF2097" s="1">
        <v>0</v>
      </c>
    </row>
    <row r="2098" spans="31:32" x14ac:dyDescent="0.25">
      <c r="AE2098" s="107" t="s">
        <v>1062</v>
      </c>
      <c r="AF2098" s="1">
        <v>0</v>
      </c>
    </row>
    <row r="2099" spans="31:32" x14ac:dyDescent="0.25">
      <c r="AE2099" s="107" t="s">
        <v>605</v>
      </c>
      <c r="AF2099" s="1">
        <v>0</v>
      </c>
    </row>
    <row r="2100" spans="31:32" x14ac:dyDescent="0.25">
      <c r="AE2100" s="107" t="s">
        <v>4765</v>
      </c>
      <c r="AF2100" s="1">
        <v>0</v>
      </c>
    </row>
    <row r="2101" spans="31:32" x14ac:dyDescent="0.25">
      <c r="AE2101" s="107" t="s">
        <v>505</v>
      </c>
      <c r="AF2101" s="1">
        <v>0</v>
      </c>
    </row>
    <row r="2102" spans="31:32" x14ac:dyDescent="0.25">
      <c r="AE2102" s="107" t="s">
        <v>884</v>
      </c>
      <c r="AF2102" s="1">
        <v>0</v>
      </c>
    </row>
    <row r="2103" spans="31:32" x14ac:dyDescent="0.25">
      <c r="AE2103" s="107" t="s">
        <v>738</v>
      </c>
      <c r="AF2103" s="1">
        <v>0</v>
      </c>
    </row>
    <row r="2104" spans="31:32" x14ac:dyDescent="0.25">
      <c r="AE2104" s="107" t="s">
        <v>4871</v>
      </c>
      <c r="AF2104" s="1">
        <v>0</v>
      </c>
    </row>
    <row r="2105" spans="31:32" x14ac:dyDescent="0.25">
      <c r="AE2105" s="107" t="s">
        <v>740</v>
      </c>
      <c r="AF2105" s="1">
        <v>0</v>
      </c>
    </row>
    <row r="2106" spans="31:32" x14ac:dyDescent="0.25">
      <c r="AE2106" s="107" t="s">
        <v>3803</v>
      </c>
      <c r="AF2106" s="1">
        <v>0</v>
      </c>
    </row>
    <row r="2107" spans="31:32" x14ac:dyDescent="0.25">
      <c r="AE2107" s="107" t="s">
        <v>4739</v>
      </c>
      <c r="AF2107" s="1">
        <v>0</v>
      </c>
    </row>
    <row r="2108" spans="31:32" x14ac:dyDescent="0.25">
      <c r="AE2108" s="107" t="s">
        <v>3567</v>
      </c>
      <c r="AF2108" s="1">
        <v>0</v>
      </c>
    </row>
    <row r="2109" spans="31:32" x14ac:dyDescent="0.25">
      <c r="AE2109" s="107" t="s">
        <v>5059</v>
      </c>
      <c r="AF2109" s="1">
        <v>0</v>
      </c>
    </row>
    <row r="2110" spans="31:32" x14ac:dyDescent="0.25">
      <c r="AE2110" s="107" t="s">
        <v>4769</v>
      </c>
      <c r="AF2110" s="1">
        <v>0</v>
      </c>
    </row>
    <row r="2111" spans="31:32" x14ac:dyDescent="0.25">
      <c r="AE2111" s="107" t="s">
        <v>5174</v>
      </c>
      <c r="AF2111" s="1">
        <v>0</v>
      </c>
    </row>
    <row r="2112" spans="31:32" x14ac:dyDescent="0.25">
      <c r="AE2112" s="107" t="s">
        <v>796</v>
      </c>
      <c r="AF2112" s="1">
        <v>0</v>
      </c>
    </row>
    <row r="2113" spans="31:32" x14ac:dyDescent="0.25">
      <c r="AE2113" s="107" t="s">
        <v>5206</v>
      </c>
      <c r="AF2113" s="1">
        <v>0</v>
      </c>
    </row>
    <row r="2114" spans="31:32" x14ac:dyDescent="0.25">
      <c r="AE2114" s="107" t="s">
        <v>996</v>
      </c>
      <c r="AF2114" s="1">
        <v>0</v>
      </c>
    </row>
    <row r="2115" spans="31:32" x14ac:dyDescent="0.25">
      <c r="AE2115" s="107" t="s">
        <v>597</v>
      </c>
      <c r="AF2115" s="1">
        <v>0</v>
      </c>
    </row>
    <row r="2116" spans="31:32" x14ac:dyDescent="0.25">
      <c r="AE2116" s="107" t="s">
        <v>1004</v>
      </c>
      <c r="AF2116" s="1">
        <v>0</v>
      </c>
    </row>
    <row r="2117" spans="31:32" x14ac:dyDescent="0.25">
      <c r="AE2117" s="107" t="s">
        <v>405</v>
      </c>
      <c r="AF2117" s="1">
        <v>0</v>
      </c>
    </row>
    <row r="2118" spans="31:32" x14ac:dyDescent="0.25">
      <c r="AE2118" s="107" t="s">
        <v>1090</v>
      </c>
      <c r="AF2118" s="1">
        <v>0</v>
      </c>
    </row>
    <row r="2119" spans="31:32" x14ac:dyDescent="0.25">
      <c r="AE2119" s="107" t="s">
        <v>625</v>
      </c>
      <c r="AF2119" s="1">
        <v>0</v>
      </c>
    </row>
    <row r="2120" spans="31:32" x14ac:dyDescent="0.25">
      <c r="AE2120" s="107" t="s">
        <v>1136</v>
      </c>
      <c r="AF2120" s="1">
        <v>0</v>
      </c>
    </row>
    <row r="2121" spans="31:32" x14ac:dyDescent="0.25">
      <c r="AE2121" s="107" t="s">
        <v>399</v>
      </c>
      <c r="AF2121" s="1">
        <v>0</v>
      </c>
    </row>
    <row r="2122" spans="31:32" x14ac:dyDescent="0.25">
      <c r="AE2122" s="107" t="s">
        <v>838</v>
      </c>
      <c r="AF2122" s="1">
        <v>0</v>
      </c>
    </row>
    <row r="2123" spans="31:32" x14ac:dyDescent="0.25">
      <c r="AE2123" s="107" t="s">
        <v>3405</v>
      </c>
      <c r="AF2123" s="1">
        <v>0</v>
      </c>
    </row>
    <row r="2124" spans="31:32" x14ac:dyDescent="0.25">
      <c r="AE2124" s="107" t="s">
        <v>4697</v>
      </c>
      <c r="AF2124" s="1">
        <v>0</v>
      </c>
    </row>
    <row r="2125" spans="31:32" x14ac:dyDescent="0.25">
      <c r="AE2125" s="107" t="s">
        <v>611</v>
      </c>
      <c r="AF2125" s="1">
        <v>0</v>
      </c>
    </row>
    <row r="2126" spans="31:32" x14ac:dyDescent="0.25">
      <c r="AE2126" s="107" t="s">
        <v>870</v>
      </c>
      <c r="AF2126" s="1">
        <v>0</v>
      </c>
    </row>
    <row r="2127" spans="31:32" x14ac:dyDescent="0.25">
      <c r="AE2127" s="107" t="s">
        <v>734</v>
      </c>
      <c r="AF2127" s="1">
        <v>0</v>
      </c>
    </row>
    <row r="2128" spans="31:32" x14ac:dyDescent="0.25">
      <c r="AE2128" s="107" t="s">
        <v>894</v>
      </c>
      <c r="AF2128" s="1">
        <v>0</v>
      </c>
    </row>
    <row r="2129" spans="31:32" x14ac:dyDescent="0.25">
      <c r="AE2129" s="107" t="s">
        <v>4290</v>
      </c>
      <c r="AF2129" s="1">
        <v>0</v>
      </c>
    </row>
    <row r="2130" spans="31:32" x14ac:dyDescent="0.25">
      <c r="AE2130" s="107" t="s">
        <v>790</v>
      </c>
      <c r="AF2130" s="1">
        <v>0</v>
      </c>
    </row>
    <row r="2131" spans="31:32" x14ac:dyDescent="0.25">
      <c r="AE2131" s="107" t="s">
        <v>4314</v>
      </c>
      <c r="AF2131" s="1">
        <v>0</v>
      </c>
    </row>
    <row r="2132" spans="31:32" x14ac:dyDescent="0.25">
      <c r="AE2132" s="107" t="s">
        <v>1060</v>
      </c>
      <c r="AF2132" s="1">
        <v>0</v>
      </c>
    </row>
    <row r="2133" spans="31:32" x14ac:dyDescent="0.25">
      <c r="AE2133" s="107" t="s">
        <v>435</v>
      </c>
      <c r="AF2133" s="1">
        <v>0</v>
      </c>
    </row>
    <row r="2134" spans="31:32" x14ac:dyDescent="0.25">
      <c r="AE2134" s="107" t="s">
        <v>786</v>
      </c>
      <c r="AF2134" s="1">
        <v>0</v>
      </c>
    </row>
    <row r="2135" spans="31:32" x14ac:dyDescent="0.25">
      <c r="AE2135" s="107" t="s">
        <v>627</v>
      </c>
      <c r="AF2135" s="1">
        <v>0</v>
      </c>
    </row>
    <row r="2136" spans="31:32" x14ac:dyDescent="0.25">
      <c r="AE2136" s="107" t="s">
        <v>1034</v>
      </c>
      <c r="AF2136" s="1">
        <v>0</v>
      </c>
    </row>
    <row r="2137" spans="31:32" x14ac:dyDescent="0.25">
      <c r="AE2137" s="107" t="s">
        <v>4035</v>
      </c>
      <c r="AF2137" s="1">
        <v>0</v>
      </c>
    </row>
    <row r="2138" spans="31:32" x14ac:dyDescent="0.25">
      <c r="AE2138" s="107" t="s">
        <v>794</v>
      </c>
      <c r="AF2138" s="1">
        <v>0</v>
      </c>
    </row>
    <row r="2139" spans="31:32" x14ac:dyDescent="0.25">
      <c r="AE2139" s="107" t="s">
        <v>649</v>
      </c>
      <c r="AF2139" s="1">
        <v>0</v>
      </c>
    </row>
    <row r="2140" spans="31:32" x14ac:dyDescent="0.25">
      <c r="AE2140" s="107" t="s">
        <v>1104</v>
      </c>
      <c r="AF2140" s="1">
        <v>0</v>
      </c>
    </row>
    <row r="2141" spans="31:32" x14ac:dyDescent="0.25">
      <c r="AE2141" s="107" t="s">
        <v>1524</v>
      </c>
      <c r="AF2141" s="1">
        <v>0</v>
      </c>
    </row>
    <row r="2142" spans="31:32" x14ac:dyDescent="0.25">
      <c r="AE2142" s="107" t="s">
        <v>848</v>
      </c>
      <c r="AF2142" s="1">
        <v>0</v>
      </c>
    </row>
    <row r="2143" spans="31:32" x14ac:dyDescent="0.25">
      <c r="AE2143" s="107" t="s">
        <v>459</v>
      </c>
      <c r="AF2143" s="1">
        <v>0</v>
      </c>
    </row>
    <row r="2144" spans="31:32" x14ac:dyDescent="0.25">
      <c r="AE2144" s="107" t="s">
        <v>978</v>
      </c>
      <c r="AF2144" s="1">
        <v>0</v>
      </c>
    </row>
    <row r="2145" spans="31:32" x14ac:dyDescent="0.25">
      <c r="AE2145" s="107" t="s">
        <v>411</v>
      </c>
      <c r="AF2145" s="1">
        <v>0</v>
      </c>
    </row>
    <row r="2146" spans="31:32" x14ac:dyDescent="0.25">
      <c r="AE2146" s="107" t="s">
        <v>984</v>
      </c>
      <c r="AF2146" s="1">
        <v>0</v>
      </c>
    </row>
    <row r="2147" spans="31:32" x14ac:dyDescent="0.25">
      <c r="AE2147" s="107" t="s">
        <v>699</v>
      </c>
      <c r="AF2147" s="1">
        <v>0</v>
      </c>
    </row>
    <row r="2148" spans="31:32" x14ac:dyDescent="0.25">
      <c r="AE2148" s="107" t="s">
        <v>886</v>
      </c>
      <c r="AF2148" s="1">
        <v>0</v>
      </c>
    </row>
    <row r="2149" spans="31:32" x14ac:dyDescent="0.25">
      <c r="AE2149" s="107" t="s">
        <v>677</v>
      </c>
      <c r="AF2149" s="1">
        <v>0</v>
      </c>
    </row>
    <row r="2150" spans="31:32" x14ac:dyDescent="0.25">
      <c r="AE2150" s="107" t="s">
        <v>906</v>
      </c>
      <c r="AF2150" s="1">
        <v>0</v>
      </c>
    </row>
    <row r="2151" spans="31:32" x14ac:dyDescent="0.25">
      <c r="AE2151" s="107" t="s">
        <v>361</v>
      </c>
      <c r="AF2151" s="1">
        <v>0</v>
      </c>
    </row>
    <row r="2152" spans="31:32" x14ac:dyDescent="0.25">
      <c r="AE2152" s="107" t="s">
        <v>4753</v>
      </c>
      <c r="AF2152" s="1">
        <v>0</v>
      </c>
    </row>
    <row r="2153" spans="31:32" x14ac:dyDescent="0.25">
      <c r="AE2153" s="107" t="s">
        <v>748</v>
      </c>
      <c r="AF2153" s="1">
        <v>0</v>
      </c>
    </row>
    <row r="2154" spans="31:32" x14ac:dyDescent="0.25">
      <c r="AE2154" s="107" t="s">
        <v>904</v>
      </c>
      <c r="AF2154" s="1">
        <v>0</v>
      </c>
    </row>
    <row r="2155" spans="31:32" x14ac:dyDescent="0.25">
      <c r="AE2155" s="107" t="s">
        <v>333</v>
      </c>
      <c r="AF2155" s="1">
        <v>0</v>
      </c>
    </row>
    <row r="2156" spans="31:32" x14ac:dyDescent="0.25">
      <c r="AE2156" s="107" t="s">
        <v>4755</v>
      </c>
      <c r="AF2156" s="1">
        <v>0</v>
      </c>
    </row>
    <row r="2157" spans="31:32" x14ac:dyDescent="0.25">
      <c r="AE2157" s="107" t="s">
        <v>467</v>
      </c>
      <c r="AF2157" s="1">
        <v>0</v>
      </c>
    </row>
    <row r="2158" spans="31:32" x14ac:dyDescent="0.25">
      <c r="AE2158" s="107" t="s">
        <v>1344</v>
      </c>
      <c r="AF2158" s="1">
        <v>0</v>
      </c>
    </row>
    <row r="2159" spans="31:32" x14ac:dyDescent="0.25">
      <c r="AE2159" s="107" t="s">
        <v>728</v>
      </c>
      <c r="AF2159" s="1">
        <v>0</v>
      </c>
    </row>
    <row r="2160" spans="31:32" x14ac:dyDescent="0.25">
      <c r="AE2160" s="107" t="s">
        <v>922</v>
      </c>
      <c r="AF2160" s="1">
        <v>0</v>
      </c>
    </row>
    <row r="2161" spans="31:32" x14ac:dyDescent="0.25">
      <c r="AE2161" s="107" t="s">
        <v>601</v>
      </c>
      <c r="AF2161" s="1">
        <v>0</v>
      </c>
    </row>
    <row r="2162" spans="31:32" x14ac:dyDescent="0.25">
      <c r="AE2162" s="107" t="s">
        <v>872</v>
      </c>
      <c r="AF2162" s="1">
        <v>0</v>
      </c>
    </row>
    <row r="2163" spans="31:32" x14ac:dyDescent="0.25">
      <c r="AE2163" s="107" t="s">
        <v>335</v>
      </c>
      <c r="AF2163" s="1">
        <v>0</v>
      </c>
    </row>
    <row r="2164" spans="31:32" x14ac:dyDescent="0.25">
      <c r="AE2164" s="107" t="s">
        <v>4300</v>
      </c>
      <c r="AF2164" s="1">
        <v>0</v>
      </c>
    </row>
    <row r="2165" spans="31:32" x14ac:dyDescent="0.25">
      <c r="AE2165" s="107" t="s">
        <v>355</v>
      </c>
      <c r="AF2165" s="1">
        <v>0</v>
      </c>
    </row>
    <row r="2166" spans="31:32" x14ac:dyDescent="0.25">
      <c r="AE2166" s="107" t="s">
        <v>4266</v>
      </c>
      <c r="AF2166" s="1">
        <v>0</v>
      </c>
    </row>
    <row r="2167" spans="31:32" x14ac:dyDescent="0.25">
      <c r="AE2167" s="107" t="s">
        <v>639</v>
      </c>
      <c r="AF2167" s="1">
        <v>0</v>
      </c>
    </row>
    <row r="2168" spans="31:32" x14ac:dyDescent="0.25">
      <c r="AE2168" s="107" t="s">
        <v>826</v>
      </c>
      <c r="AF2168" s="1">
        <v>0</v>
      </c>
    </row>
    <row r="2169" spans="31:32" x14ac:dyDescent="0.25">
      <c r="AE2169" s="107" t="s">
        <v>2005</v>
      </c>
      <c r="AF2169" s="1">
        <v>0</v>
      </c>
    </row>
    <row r="2170" spans="31:32" x14ac:dyDescent="0.25">
      <c r="AE2170" s="107" t="s">
        <v>998</v>
      </c>
      <c r="AF2170" s="1">
        <v>0</v>
      </c>
    </row>
    <row r="2171" spans="31:32" x14ac:dyDescent="0.25">
      <c r="AE2171" s="107" t="s">
        <v>575</v>
      </c>
      <c r="AF2171" s="1">
        <v>0</v>
      </c>
    </row>
    <row r="2172" spans="31:32" x14ac:dyDescent="0.25">
      <c r="AE2172" s="107" t="s">
        <v>5031</v>
      </c>
      <c r="AF2172" s="1">
        <v>0</v>
      </c>
    </row>
    <row r="2173" spans="31:32" x14ac:dyDescent="0.25">
      <c r="AE2173" s="107" t="s">
        <v>621</v>
      </c>
      <c r="AF2173" s="1">
        <v>0</v>
      </c>
    </row>
    <row r="2174" spans="31:32" x14ac:dyDescent="0.25">
      <c r="AE2174" s="107" t="s">
        <v>952</v>
      </c>
      <c r="AF2174" s="1">
        <v>0</v>
      </c>
    </row>
    <row r="2175" spans="31:32" x14ac:dyDescent="0.25">
      <c r="AE2175" s="107" t="s">
        <v>746</v>
      </c>
      <c r="AF2175" s="1">
        <v>0</v>
      </c>
    </row>
    <row r="2176" spans="31:32" x14ac:dyDescent="0.25">
      <c r="AE2176" s="107" t="s">
        <v>4893</v>
      </c>
      <c r="AF2176" s="1">
        <v>0</v>
      </c>
    </row>
    <row r="2177" spans="31:32" x14ac:dyDescent="0.25">
      <c r="AE2177" s="107" t="s">
        <v>643</v>
      </c>
      <c r="AF2177" s="1">
        <v>0</v>
      </c>
    </row>
    <row r="2178" spans="31:32" x14ac:dyDescent="0.25">
      <c r="AE2178" s="107" t="s">
        <v>940</v>
      </c>
      <c r="AF2178" s="1">
        <v>0</v>
      </c>
    </row>
    <row r="2179" spans="31:32" x14ac:dyDescent="0.25">
      <c r="AE2179" s="107" t="s">
        <v>932</v>
      </c>
      <c r="AF2179" s="1">
        <v>0</v>
      </c>
    </row>
    <row r="2180" spans="31:32" x14ac:dyDescent="0.25">
      <c r="AE2180" s="107" t="s">
        <v>956</v>
      </c>
      <c r="AF2180" s="1">
        <v>0</v>
      </c>
    </row>
    <row r="2181" spans="31:32" x14ac:dyDescent="0.25">
      <c r="AE2181" s="107" t="s">
        <v>579</v>
      </c>
      <c r="AF2181" s="1">
        <v>0</v>
      </c>
    </row>
    <row r="2182" spans="31:32" x14ac:dyDescent="0.25">
      <c r="AE2182" s="107" t="s">
        <v>1074</v>
      </c>
      <c r="AF2182" s="1">
        <v>0</v>
      </c>
    </row>
    <row r="2183" spans="31:32" x14ac:dyDescent="0.25">
      <c r="AE2183" s="107" t="s">
        <v>647</v>
      </c>
      <c r="AF2183" s="1">
        <v>0</v>
      </c>
    </row>
    <row r="2184" spans="31:32" x14ac:dyDescent="0.25">
      <c r="AE2184" s="107" t="s">
        <v>1070</v>
      </c>
      <c r="AF2184" s="1">
        <v>0</v>
      </c>
    </row>
    <row r="2185" spans="31:32" x14ac:dyDescent="0.25">
      <c r="AE2185" s="107" t="s">
        <v>756</v>
      </c>
      <c r="AF2185" s="1">
        <v>0</v>
      </c>
    </row>
    <row r="2186" spans="31:32" x14ac:dyDescent="0.25">
      <c r="AE2186" s="107" t="s">
        <v>920</v>
      </c>
      <c r="AF2186" s="1">
        <v>0</v>
      </c>
    </row>
    <row r="2187" spans="31:32" x14ac:dyDescent="0.25">
      <c r="AE2187" s="107" t="s">
        <v>762</v>
      </c>
      <c r="AF2187" s="1">
        <v>0</v>
      </c>
    </row>
    <row r="2188" spans="31:32" x14ac:dyDescent="0.25">
      <c r="AE2188" s="107" t="s">
        <v>1008</v>
      </c>
      <c r="AF2188" s="1">
        <v>0</v>
      </c>
    </row>
    <row r="2189" spans="31:32" x14ac:dyDescent="0.25">
      <c r="AE2189" s="107" t="s">
        <v>705</v>
      </c>
      <c r="AF2189" s="1">
        <v>0</v>
      </c>
    </row>
    <row r="2190" spans="31:32" x14ac:dyDescent="0.25">
      <c r="AE2190" s="107" t="s">
        <v>822</v>
      </c>
      <c r="AF2190" s="1">
        <v>0</v>
      </c>
    </row>
    <row r="2191" spans="31:32" x14ac:dyDescent="0.25">
      <c r="AE2191" s="107" t="s">
        <v>461</v>
      </c>
      <c r="AF2191" s="1">
        <v>0</v>
      </c>
    </row>
    <row r="2192" spans="31:32" x14ac:dyDescent="0.25">
      <c r="AE2192" s="107" t="s">
        <v>1020</v>
      </c>
      <c r="AF2192" s="1">
        <v>0</v>
      </c>
    </row>
    <row r="2193" spans="31:32" x14ac:dyDescent="0.25">
      <c r="AE2193" s="107" t="s">
        <v>507</v>
      </c>
      <c r="AF2193" s="1">
        <v>0</v>
      </c>
    </row>
    <row r="2194" spans="31:32" x14ac:dyDescent="0.25">
      <c r="AE2194" s="107" t="s">
        <v>1026</v>
      </c>
      <c r="AF2194" s="1">
        <v>0</v>
      </c>
    </row>
    <row r="2195" spans="31:32" x14ac:dyDescent="0.25">
      <c r="AE2195" s="107" t="s">
        <v>703</v>
      </c>
      <c r="AF2195" s="1">
        <v>0</v>
      </c>
    </row>
    <row r="2196" spans="31:32" x14ac:dyDescent="0.25">
      <c r="AE2196" s="107" t="s">
        <v>1030</v>
      </c>
      <c r="AF2196" s="1">
        <v>0</v>
      </c>
    </row>
    <row r="2197" spans="31:32" x14ac:dyDescent="0.25">
      <c r="AE2197" s="107" t="s">
        <v>663</v>
      </c>
      <c r="AF2197" s="1">
        <v>0</v>
      </c>
    </row>
    <row r="2198" spans="31:32" x14ac:dyDescent="0.25">
      <c r="AE2198" s="107" t="s">
        <v>784</v>
      </c>
      <c r="AF2198" s="1">
        <v>0</v>
      </c>
    </row>
    <row r="2199" spans="31:32" x14ac:dyDescent="0.25">
      <c r="AE2199" s="107" t="s">
        <v>463</v>
      </c>
      <c r="AF2199" s="1">
        <v>0</v>
      </c>
    </row>
    <row r="2200" spans="31:32" x14ac:dyDescent="0.25">
      <c r="AE2200" s="107" t="s">
        <v>846</v>
      </c>
      <c r="AF2200" s="1">
        <v>0</v>
      </c>
    </row>
    <row r="2201" spans="31:32" x14ac:dyDescent="0.25">
      <c r="AE2201" s="107" t="s">
        <v>709</v>
      </c>
      <c r="AF2201" s="1">
        <v>0</v>
      </c>
    </row>
    <row r="2202" spans="31:32" x14ac:dyDescent="0.25">
      <c r="AE2202" s="107" t="s">
        <v>1088</v>
      </c>
      <c r="AF2202" s="1">
        <v>0</v>
      </c>
    </row>
    <row r="2203" spans="31:32" x14ac:dyDescent="0.25">
      <c r="AE2203" s="107" t="s">
        <v>736</v>
      </c>
      <c r="AF2203" s="1">
        <v>0</v>
      </c>
    </row>
    <row r="2204" spans="31:32" x14ac:dyDescent="0.25">
      <c r="AE2204" s="107" t="s">
        <v>852</v>
      </c>
      <c r="AF2204" s="1">
        <v>0</v>
      </c>
    </row>
    <row r="2205" spans="31:32" x14ac:dyDescent="0.25">
      <c r="AE2205" s="107" t="s">
        <v>371</v>
      </c>
      <c r="AF2205" s="1">
        <v>0</v>
      </c>
    </row>
    <row r="2206" spans="31:32" x14ac:dyDescent="0.25">
      <c r="AE2206" s="107" t="s">
        <v>1038</v>
      </c>
      <c r="AF2206" s="1">
        <v>0</v>
      </c>
    </row>
    <row r="2207" spans="31:32" x14ac:dyDescent="0.25">
      <c r="AE2207" s="107" t="s">
        <v>615</v>
      </c>
      <c r="AF2207" s="1">
        <v>0</v>
      </c>
    </row>
    <row r="2208" spans="31:32" x14ac:dyDescent="0.25">
      <c r="AE2208" s="107" t="s">
        <v>976</v>
      </c>
      <c r="AF2208" s="1">
        <v>0</v>
      </c>
    </row>
    <row r="2209" spans="31:32" x14ac:dyDescent="0.25">
      <c r="AE2209" s="107" t="s">
        <v>719</v>
      </c>
      <c r="AF2209" s="1">
        <v>0</v>
      </c>
    </row>
    <row r="2210" spans="31:32" x14ac:dyDescent="0.25">
      <c r="AE2210" s="107" t="s">
        <v>876</v>
      </c>
      <c r="AF2210" s="1">
        <v>0</v>
      </c>
    </row>
    <row r="2211" spans="31:32" x14ac:dyDescent="0.25">
      <c r="AE2211" s="107" t="s">
        <v>533</v>
      </c>
      <c r="AF2211" s="1">
        <v>0</v>
      </c>
    </row>
    <row r="2212" spans="31:32" x14ac:dyDescent="0.25">
      <c r="AE2212" s="107" t="s">
        <v>1028</v>
      </c>
      <c r="AF2212" s="1">
        <v>0</v>
      </c>
    </row>
    <row r="2213" spans="31:32" x14ac:dyDescent="0.25">
      <c r="AE2213" s="107" t="s">
        <v>491</v>
      </c>
      <c r="AF2213" s="1">
        <v>0</v>
      </c>
    </row>
    <row r="2214" spans="31:32" x14ac:dyDescent="0.25">
      <c r="AE2214" s="107" t="s">
        <v>792</v>
      </c>
      <c r="AF2214" s="1">
        <v>0</v>
      </c>
    </row>
    <row r="2215" spans="31:32" x14ac:dyDescent="0.25">
      <c r="AE2215" s="107" t="s">
        <v>726</v>
      </c>
      <c r="AF2215" s="1">
        <v>0</v>
      </c>
    </row>
    <row r="2216" spans="31:32" x14ac:dyDescent="0.25">
      <c r="AE2216" s="107" t="s">
        <v>1080</v>
      </c>
      <c r="AF2216" s="1">
        <v>0</v>
      </c>
    </row>
    <row r="2217" spans="31:32" x14ac:dyDescent="0.25">
      <c r="AE2217" s="107" t="s">
        <v>713</v>
      </c>
      <c r="AF2217" s="1">
        <v>0</v>
      </c>
    </row>
    <row r="2218" spans="31:32" x14ac:dyDescent="0.25">
      <c r="AE2218" s="107" t="s">
        <v>892</v>
      </c>
      <c r="AF2218" s="1">
        <v>0</v>
      </c>
    </row>
    <row r="2219" spans="31:32" x14ac:dyDescent="0.25">
      <c r="AE2219" s="107" t="s">
        <v>1196</v>
      </c>
      <c r="AF2219" s="1">
        <v>0</v>
      </c>
    </row>
    <row r="2220" spans="31:32" x14ac:dyDescent="0.25">
      <c r="AE2220" s="107" t="s">
        <v>1078</v>
      </c>
      <c r="AF2220" s="1">
        <v>0</v>
      </c>
    </row>
    <row r="2221" spans="31:32" x14ac:dyDescent="0.25">
      <c r="AE2221" s="107" t="s">
        <v>4735</v>
      </c>
      <c r="AF2221" s="1">
        <v>0</v>
      </c>
    </row>
    <row r="2222" spans="31:32" x14ac:dyDescent="0.25">
      <c r="AE2222" s="107" t="s">
        <v>778</v>
      </c>
      <c r="AF2222" s="1">
        <v>0</v>
      </c>
    </row>
    <row r="2223" spans="31:32" x14ac:dyDescent="0.25">
      <c r="AE2223" s="107" t="s">
        <v>711</v>
      </c>
      <c r="AF2223" s="1">
        <v>0</v>
      </c>
    </row>
    <row r="2224" spans="31:32" x14ac:dyDescent="0.25">
      <c r="AE2224" s="107" t="s">
        <v>854</v>
      </c>
      <c r="AF2224" s="1">
        <v>0</v>
      </c>
    </row>
    <row r="2225" spans="31:32" x14ac:dyDescent="0.25">
      <c r="AE2225" s="107" t="s">
        <v>701</v>
      </c>
      <c r="AF2225" s="1">
        <v>0</v>
      </c>
    </row>
    <row r="2226" spans="31:32" x14ac:dyDescent="0.25">
      <c r="AE2226" s="107" t="s">
        <v>990</v>
      </c>
      <c r="AF2226" s="1">
        <v>0</v>
      </c>
    </row>
    <row r="2227" spans="31:32" x14ac:dyDescent="0.25">
      <c r="AE2227" s="107" t="s">
        <v>4709</v>
      </c>
      <c r="AF2227" s="1">
        <v>0</v>
      </c>
    </row>
    <row r="2228" spans="31:32" x14ac:dyDescent="0.25">
      <c r="AE2228" s="107" t="s">
        <v>1130</v>
      </c>
      <c r="AF2228" s="1">
        <v>0</v>
      </c>
    </row>
    <row r="2229" spans="31:32" x14ac:dyDescent="0.25">
      <c r="AE2229" s="107" t="s">
        <v>262</v>
      </c>
      <c r="AF2229" s="1">
        <v>0</v>
      </c>
    </row>
    <row r="2230" spans="31:32" x14ac:dyDescent="0.25">
      <c r="AE2230" s="107" t="s">
        <v>890</v>
      </c>
      <c r="AF2230" s="1">
        <v>0</v>
      </c>
    </row>
    <row r="2231" spans="31:32" x14ac:dyDescent="0.25">
      <c r="AE2231" s="107" t="s">
        <v>1797</v>
      </c>
      <c r="AF2231" s="1">
        <v>0</v>
      </c>
    </row>
    <row r="2232" spans="31:32" x14ac:dyDescent="0.25">
      <c r="AE2232" s="107" t="s">
        <v>900</v>
      </c>
      <c r="AF2232" s="1">
        <v>0</v>
      </c>
    </row>
    <row r="2233" spans="31:32" x14ac:dyDescent="0.25">
      <c r="AE2233" s="107" t="s">
        <v>721</v>
      </c>
      <c r="AF2233" s="1">
        <v>0</v>
      </c>
    </row>
    <row r="2234" spans="31:32" x14ac:dyDescent="0.25">
      <c r="AE2234" s="107" t="s">
        <v>840</v>
      </c>
      <c r="AF2234" s="1">
        <v>0</v>
      </c>
    </row>
    <row r="2235" spans="31:32" x14ac:dyDescent="0.25">
      <c r="AE2235" s="107" t="s">
        <v>732</v>
      </c>
      <c r="AF2235" s="1">
        <v>0</v>
      </c>
    </row>
    <row r="2236" spans="31:32" x14ac:dyDescent="0.25">
      <c r="AE2236" s="107" t="s">
        <v>942</v>
      </c>
      <c r="AF2236" s="1">
        <v>0</v>
      </c>
    </row>
    <row r="2237" spans="31:32" x14ac:dyDescent="0.25">
      <c r="AE2237" s="107" t="s">
        <v>513</v>
      </c>
      <c r="AF2237" s="1">
        <v>0</v>
      </c>
    </row>
    <row r="2238" spans="31:32" x14ac:dyDescent="0.25">
      <c r="AE2238" s="107" t="s">
        <v>898</v>
      </c>
      <c r="AF2238" s="1">
        <v>0</v>
      </c>
    </row>
    <row r="2239" spans="31:32" x14ac:dyDescent="0.25">
      <c r="AE2239" s="107" t="s">
        <v>511</v>
      </c>
      <c r="AF2239" s="1">
        <v>0</v>
      </c>
    </row>
    <row r="2240" spans="31:32" x14ac:dyDescent="0.25">
      <c r="AE2240" s="107" t="s">
        <v>1156</v>
      </c>
      <c r="AF2240" s="1">
        <v>0</v>
      </c>
    </row>
    <row r="2241" spans="31:32" x14ac:dyDescent="0.25">
      <c r="AE2241" s="107" t="s">
        <v>707</v>
      </c>
      <c r="AF2241" s="1">
        <v>0</v>
      </c>
    </row>
    <row r="2242" spans="31:32" x14ac:dyDescent="0.25">
      <c r="AE2242" s="107" t="s">
        <v>4883</v>
      </c>
      <c r="AF2242" s="1">
        <v>0</v>
      </c>
    </row>
    <row r="2243" spans="31:32" x14ac:dyDescent="0.25">
      <c r="AE2243" s="107" t="s">
        <v>4318</v>
      </c>
      <c r="AF2243" s="1">
        <v>0</v>
      </c>
    </row>
    <row r="2244" spans="31:32" x14ac:dyDescent="0.25">
      <c r="AE2244" s="107" t="s">
        <v>1022</v>
      </c>
      <c r="AF2244" s="1">
        <v>0</v>
      </c>
    </row>
    <row r="2245" spans="31:32" x14ac:dyDescent="0.25">
      <c r="AE2245" s="107" t="s">
        <v>633</v>
      </c>
      <c r="AF2245" s="1">
        <v>0</v>
      </c>
    </row>
    <row r="2246" spans="31:32" x14ac:dyDescent="0.25">
      <c r="AE2246" s="107" t="s">
        <v>888</v>
      </c>
      <c r="AF2246" s="1">
        <v>0</v>
      </c>
    </row>
    <row r="2247" spans="31:32" x14ac:dyDescent="0.25">
      <c r="AE2247" s="107" t="s">
        <v>715</v>
      </c>
      <c r="AF2247" s="1">
        <v>0</v>
      </c>
    </row>
    <row r="2248" spans="31:32" x14ac:dyDescent="0.25">
      <c r="AE2248" s="107" t="s">
        <v>902</v>
      </c>
      <c r="AF2248" s="1">
        <v>0</v>
      </c>
    </row>
    <row r="2249" spans="31:32" x14ac:dyDescent="0.25">
      <c r="AE2249" s="107" t="s">
        <v>469</v>
      </c>
      <c r="AF2249" s="1">
        <v>0</v>
      </c>
    </row>
    <row r="2250" spans="31:32" x14ac:dyDescent="0.25">
      <c r="AE2250" s="107" t="s">
        <v>844</v>
      </c>
      <c r="AF2250" s="1">
        <v>0</v>
      </c>
    </row>
    <row r="2251" spans="31:32" x14ac:dyDescent="0.25">
      <c r="AE2251" s="107" t="s">
        <v>531</v>
      </c>
      <c r="AF2251" s="1">
        <v>0</v>
      </c>
    </row>
    <row r="2252" spans="31:32" x14ac:dyDescent="0.25">
      <c r="AE2252" s="107" t="s">
        <v>820</v>
      </c>
      <c r="AF2252" s="1">
        <v>0</v>
      </c>
    </row>
    <row r="2253" spans="31:32" x14ac:dyDescent="0.25">
      <c r="AE2253" s="107" t="s">
        <v>717</v>
      </c>
      <c r="AF2253" s="1">
        <v>0</v>
      </c>
    </row>
    <row r="2254" spans="31:32" x14ac:dyDescent="0.25">
      <c r="AE2254" s="107" t="s">
        <v>896</v>
      </c>
      <c r="AF2254" s="1">
        <v>0</v>
      </c>
    </row>
    <row r="2255" spans="31:32" x14ac:dyDescent="0.25">
      <c r="AE2255" s="107" t="s">
        <v>693</v>
      </c>
      <c r="AF2255" s="1">
        <v>0</v>
      </c>
    </row>
    <row r="2256" spans="31:32" x14ac:dyDescent="0.25">
      <c r="AE2256" s="107" t="s">
        <v>908</v>
      </c>
      <c r="AF2256" s="1">
        <v>0</v>
      </c>
    </row>
    <row r="2257" spans="31:32" x14ac:dyDescent="0.25">
      <c r="AE2257" s="107" t="s">
        <v>760</v>
      </c>
      <c r="AF2257" s="1">
        <v>0</v>
      </c>
    </row>
    <row r="2258" spans="31:32" x14ac:dyDescent="0.25">
      <c r="AE2258" s="107" t="s">
        <v>950</v>
      </c>
      <c r="AF2258" s="1">
        <v>0</v>
      </c>
    </row>
    <row r="2259" spans="31:32" x14ac:dyDescent="0.25">
      <c r="AE2259" s="107" t="s">
        <v>768</v>
      </c>
      <c r="AF2259" s="1">
        <v>0</v>
      </c>
    </row>
    <row r="2260" spans="31:32" x14ac:dyDescent="0.25">
      <c r="AE2260" s="107" t="s">
        <v>1122</v>
      </c>
      <c r="AF2260" s="1">
        <v>0</v>
      </c>
    </row>
    <row r="2261" spans="31:32" x14ac:dyDescent="0.25">
      <c r="AE2261" s="107" t="s">
        <v>4959</v>
      </c>
      <c r="AF2261" s="1">
        <v>0</v>
      </c>
    </row>
    <row r="2262" spans="31:32" x14ac:dyDescent="0.25">
      <c r="AE2262" s="107" t="s">
        <v>966</v>
      </c>
      <c r="AF2262" s="1">
        <v>0</v>
      </c>
    </row>
    <row r="2263" spans="31:32" x14ac:dyDescent="0.25">
      <c r="AE2263" s="107" t="s">
        <v>776</v>
      </c>
      <c r="AF2263" s="1">
        <v>0</v>
      </c>
    </row>
    <row r="2264" spans="31:32" x14ac:dyDescent="0.25">
      <c r="AE2264" s="107" t="s">
        <v>856</v>
      </c>
      <c r="AF2264" s="1">
        <v>0</v>
      </c>
    </row>
    <row r="2265" spans="31:32" x14ac:dyDescent="0.25">
      <c r="AE2265" s="107" t="s">
        <v>836</v>
      </c>
      <c r="AF2265" s="1">
        <v>0</v>
      </c>
    </row>
    <row r="2266" spans="31:32" x14ac:dyDescent="0.25">
      <c r="AE2266" s="107" t="s">
        <v>868</v>
      </c>
      <c r="AF2266" s="1">
        <v>0</v>
      </c>
    </row>
    <row r="2267" spans="31:32" x14ac:dyDescent="0.25">
      <c r="AE2267" s="107" t="s">
        <v>770</v>
      </c>
      <c r="AF2267" s="1">
        <v>0</v>
      </c>
    </row>
    <row r="2268" spans="31:32" x14ac:dyDescent="0.25">
      <c r="AE2268" s="107" t="s">
        <v>4767</v>
      </c>
      <c r="AF2268" s="1">
        <v>0</v>
      </c>
    </row>
    <row r="2269" spans="31:32" x14ac:dyDescent="0.25">
      <c r="AE2269" s="107" t="s">
        <v>806</v>
      </c>
      <c r="AF2269" s="1">
        <v>0</v>
      </c>
    </row>
    <row r="2270" spans="31:32" x14ac:dyDescent="0.25">
      <c r="AE2270" s="107" t="s">
        <v>992</v>
      </c>
      <c r="AF2270" s="1">
        <v>0</v>
      </c>
    </row>
    <row r="2271" spans="31:32" x14ac:dyDescent="0.25">
      <c r="AE2271" s="107" t="s">
        <v>389</v>
      </c>
      <c r="AF2271" s="1">
        <v>0</v>
      </c>
    </row>
    <row r="2272" spans="31:32" x14ac:dyDescent="0.25">
      <c r="AE2272" s="107" t="s">
        <v>834</v>
      </c>
      <c r="AF2272" s="1">
        <v>0</v>
      </c>
    </row>
    <row r="2273" spans="31:32" x14ac:dyDescent="0.25">
      <c r="AE2273" s="107" t="s">
        <v>850</v>
      </c>
      <c r="AF2273" s="1">
        <v>0</v>
      </c>
    </row>
    <row r="2274" spans="31:32" x14ac:dyDescent="0.25">
      <c r="AE2274" s="107" t="s">
        <v>810</v>
      </c>
      <c r="AF2274" s="1">
        <v>0</v>
      </c>
    </row>
    <row r="2275" spans="31:32" x14ac:dyDescent="0.25">
      <c r="AE2275" s="107" t="s">
        <v>1106</v>
      </c>
      <c r="AF2275" s="1">
        <v>0</v>
      </c>
    </row>
    <row r="2276" spans="31:32" x14ac:dyDescent="0.25">
      <c r="AE2276" s="107" t="s">
        <v>928</v>
      </c>
      <c r="AF2276" s="1">
        <v>0</v>
      </c>
    </row>
    <row r="2277" spans="31:32" x14ac:dyDescent="0.25">
      <c r="AE2277" s="107" t="s">
        <v>774</v>
      </c>
      <c r="AF2277" s="1">
        <v>0</v>
      </c>
    </row>
    <row r="2278" spans="31:32" x14ac:dyDescent="0.25">
      <c r="AE2278" s="107" t="s">
        <v>3369</v>
      </c>
      <c r="AF2278" s="1">
        <v>0</v>
      </c>
    </row>
    <row r="2279" spans="31:32" x14ac:dyDescent="0.25">
      <c r="AE2279" s="107" t="s">
        <v>842</v>
      </c>
      <c r="AF2279" s="1">
        <v>0</v>
      </c>
    </row>
    <row r="2280" spans="31:32" x14ac:dyDescent="0.25">
      <c r="AE2280" s="107" t="s">
        <v>1108</v>
      </c>
      <c r="AF2280" s="1">
        <v>0</v>
      </c>
    </row>
    <row r="2281" spans="31:32" x14ac:dyDescent="0.25">
      <c r="AE2281" s="107" t="s">
        <v>5057</v>
      </c>
      <c r="AF2281" s="1">
        <v>0</v>
      </c>
    </row>
    <row r="2282" spans="31:32" x14ac:dyDescent="0.25">
      <c r="AE2282" s="107" t="s">
        <v>874</v>
      </c>
      <c r="AF2282" s="1">
        <v>0</v>
      </c>
    </row>
    <row r="2283" spans="31:32" x14ac:dyDescent="0.25">
      <c r="AE2283" s="107" t="s">
        <v>1110</v>
      </c>
      <c r="AF2283" s="1">
        <v>0</v>
      </c>
    </row>
    <row r="2284" spans="31:32" x14ac:dyDescent="0.25">
      <c r="AE2284" s="107" t="s">
        <v>1000</v>
      </c>
      <c r="AF2284" s="1">
        <v>0</v>
      </c>
    </row>
    <row r="2285" spans="31:32" x14ac:dyDescent="0.25">
      <c r="AE2285" s="107" t="s">
        <v>1126</v>
      </c>
      <c r="AF2285" s="1">
        <v>0</v>
      </c>
    </row>
    <row r="2286" spans="31:32" x14ac:dyDescent="0.25">
      <c r="AE2286" s="107" t="s">
        <v>3272</v>
      </c>
      <c r="AF2286" s="1">
        <v>0</v>
      </c>
    </row>
    <row r="2287" spans="31:32" x14ac:dyDescent="0.25">
      <c r="AE2287" s="107" t="s">
        <v>1124</v>
      </c>
      <c r="AF2287" s="1">
        <v>0</v>
      </c>
    </row>
    <row r="2288" spans="31:32" x14ac:dyDescent="0.25">
      <c r="AE2288" s="107" t="s">
        <v>860</v>
      </c>
      <c r="AF2288" s="1">
        <v>0</v>
      </c>
    </row>
    <row r="2289" spans="31:32" x14ac:dyDescent="0.25">
      <c r="AE2289" s="107" t="s">
        <v>808</v>
      </c>
      <c r="AF2289" s="1">
        <v>0</v>
      </c>
    </row>
    <row r="2290" spans="31:32" x14ac:dyDescent="0.25">
      <c r="AE2290" s="107" t="s">
        <v>816</v>
      </c>
      <c r="AF2290" s="1">
        <v>0</v>
      </c>
    </row>
    <row r="2291" spans="31:32" x14ac:dyDescent="0.25">
      <c r="AE2291" s="107" t="s">
        <v>5105</v>
      </c>
      <c r="AF2291" s="1">
        <v>0</v>
      </c>
    </row>
    <row r="2292" spans="31:32" x14ac:dyDescent="0.25">
      <c r="AE2292" s="107" t="s">
        <v>1002</v>
      </c>
      <c r="AF2292" s="1">
        <v>0</v>
      </c>
    </row>
    <row r="2293" spans="31:32" x14ac:dyDescent="0.25">
      <c r="AE2293" s="107" t="s">
        <v>954</v>
      </c>
      <c r="AF2293" s="1">
        <v>0</v>
      </c>
    </row>
    <row r="2294" spans="31:32" x14ac:dyDescent="0.25">
      <c r="AE2294" s="107" t="s">
        <v>912</v>
      </c>
      <c r="AF2294" s="1">
        <v>0</v>
      </c>
    </row>
    <row r="2295" spans="31:32" x14ac:dyDescent="0.25">
      <c r="AE2295" s="107" t="s">
        <v>3811</v>
      </c>
      <c r="AF2295" s="1">
        <v>0</v>
      </c>
    </row>
    <row r="2296" spans="31:32" x14ac:dyDescent="0.25">
      <c r="AE2296" s="107" t="s">
        <v>4773</v>
      </c>
      <c r="AF2296" s="1">
        <v>0</v>
      </c>
    </row>
    <row r="2297" spans="31:32" x14ac:dyDescent="0.25">
      <c r="AE2297" s="107" t="s">
        <v>960</v>
      </c>
      <c r="AF2297" s="1">
        <v>0</v>
      </c>
    </row>
    <row r="2298" spans="31:32" x14ac:dyDescent="0.25">
      <c r="AE2298" s="107" t="s">
        <v>948</v>
      </c>
      <c r="AF2298" s="1">
        <v>0</v>
      </c>
    </row>
    <row r="2299" spans="31:32" x14ac:dyDescent="0.25">
      <c r="AE2299" s="107" t="s">
        <v>962</v>
      </c>
      <c r="AF2299" s="1">
        <v>0</v>
      </c>
    </row>
    <row r="2300" spans="31:32" x14ac:dyDescent="0.25">
      <c r="AE2300" s="107" t="s">
        <v>800</v>
      </c>
      <c r="AF2300" s="1">
        <v>0</v>
      </c>
    </row>
    <row r="2301" spans="31:32" x14ac:dyDescent="0.25">
      <c r="AE2301" s="107" t="s">
        <v>864</v>
      </c>
      <c r="AF2301" s="1">
        <v>0</v>
      </c>
    </row>
    <row r="2302" spans="31:32" x14ac:dyDescent="0.25">
      <c r="AE2302" s="107" t="s">
        <v>958</v>
      </c>
      <c r="AF2302" s="1">
        <v>0</v>
      </c>
    </row>
    <row r="2303" spans="31:32" x14ac:dyDescent="0.25">
      <c r="AE2303" s="107" t="s">
        <v>970</v>
      </c>
      <c r="AF2303" s="1">
        <v>0</v>
      </c>
    </row>
    <row r="2304" spans="31:32" x14ac:dyDescent="0.25">
      <c r="AE2304" s="107" t="s">
        <v>1072</v>
      </c>
      <c r="AF2304" s="1">
        <v>0</v>
      </c>
    </row>
    <row r="2305" spans="31:32" x14ac:dyDescent="0.25">
      <c r="AE2305" s="107" t="s">
        <v>1092</v>
      </c>
      <c r="AF2305" s="1">
        <v>0</v>
      </c>
    </row>
    <row r="2306" spans="31:32" x14ac:dyDescent="0.25">
      <c r="AE2306" s="107" t="s">
        <v>1066</v>
      </c>
      <c r="AF2306" s="1">
        <v>0</v>
      </c>
    </row>
    <row r="2307" spans="31:32" x14ac:dyDescent="0.25">
      <c r="AE2307" s="107" t="s">
        <v>4763</v>
      </c>
      <c r="AF2307" s="1">
        <v>0</v>
      </c>
    </row>
    <row r="2308" spans="31:32" x14ac:dyDescent="0.25">
      <c r="AE2308" s="107" t="s">
        <v>1068</v>
      </c>
      <c r="AF2308" s="1">
        <v>0</v>
      </c>
    </row>
    <row r="2309" spans="31:32" x14ac:dyDescent="0.25">
      <c r="AE2309" s="107" t="s">
        <v>3801</v>
      </c>
      <c r="AF2309" s="1">
        <v>0</v>
      </c>
    </row>
    <row r="2310" spans="31:32" x14ac:dyDescent="0.25">
      <c r="AE2310" s="107" t="s">
        <v>4747</v>
      </c>
      <c r="AF2310" s="1">
        <v>0</v>
      </c>
    </row>
    <row r="2311" spans="31:32" x14ac:dyDescent="0.25">
      <c r="AE2311" s="107" t="s">
        <v>4745</v>
      </c>
      <c r="AF2311" s="1">
        <v>0</v>
      </c>
    </row>
    <row r="2312" spans="31:32" x14ac:dyDescent="0.25">
      <c r="AE2312" s="107" t="s">
        <v>5045</v>
      </c>
      <c r="AF2312" s="1">
        <v>0</v>
      </c>
    </row>
    <row r="2313" spans="31:32" x14ac:dyDescent="0.25">
      <c r="AE2313" s="107" t="s">
        <v>780</v>
      </c>
      <c r="AF2313" s="1">
        <v>0</v>
      </c>
    </row>
    <row r="2314" spans="31:32" x14ac:dyDescent="0.25">
      <c r="AE2314" s="107" t="s">
        <v>1134</v>
      </c>
      <c r="AF2314" s="1">
        <v>0</v>
      </c>
    </row>
    <row r="2315" spans="31:32" x14ac:dyDescent="0.25">
      <c r="AE2315" s="107" t="s">
        <v>782</v>
      </c>
      <c r="AF2315" s="1">
        <v>0</v>
      </c>
    </row>
    <row r="2316" spans="31:32" x14ac:dyDescent="0.25">
      <c r="AE2316" s="107" t="s">
        <v>814</v>
      </c>
      <c r="AF2316" s="1">
        <v>0</v>
      </c>
    </row>
    <row r="2317" spans="31:32" x14ac:dyDescent="0.25">
      <c r="AE2317" s="107" t="s">
        <v>802</v>
      </c>
      <c r="AF2317" s="1">
        <v>0</v>
      </c>
    </row>
    <row r="2318" spans="31:32" x14ac:dyDescent="0.25">
      <c r="AE2318" s="107" t="s">
        <v>363</v>
      </c>
      <c r="AF2318" s="1">
        <v>0</v>
      </c>
    </row>
    <row r="2319" spans="31:32" x14ac:dyDescent="0.25">
      <c r="AE2319" s="107" t="s">
        <v>1032</v>
      </c>
      <c r="AF2319" s="1">
        <v>0</v>
      </c>
    </row>
    <row r="2320" spans="31:32" x14ac:dyDescent="0.25">
      <c r="AE2320" s="107" t="s">
        <v>744</v>
      </c>
      <c r="AF2320" s="1">
        <v>0</v>
      </c>
    </row>
    <row r="2321" spans="31:32" x14ac:dyDescent="0.25">
      <c r="AE2321" s="107" t="s">
        <v>5168</v>
      </c>
      <c r="AF2321" s="1">
        <v>0</v>
      </c>
    </row>
    <row r="2322" spans="31:32" x14ac:dyDescent="0.25">
      <c r="AE2322" s="107" t="s">
        <v>465</v>
      </c>
      <c r="AF2322" s="1">
        <v>0</v>
      </c>
    </row>
    <row r="2323" spans="31:32" x14ac:dyDescent="0.25">
      <c r="AE2323" s="107" t="s">
        <v>132</v>
      </c>
      <c r="AF2323" s="1">
        <v>0</v>
      </c>
    </row>
    <row r="2324" spans="31:32" x14ac:dyDescent="0.25">
      <c r="AE2324" s="107" t="s">
        <v>471</v>
      </c>
      <c r="AF2324" s="1">
        <v>0</v>
      </c>
    </row>
    <row r="2325" spans="31:32" x14ac:dyDescent="0.25">
      <c r="AE2325" s="107" t="s">
        <v>134</v>
      </c>
      <c r="AF2325" s="1">
        <v>0</v>
      </c>
    </row>
    <row r="2326" spans="31:32" x14ac:dyDescent="0.25">
      <c r="AE2326" s="107" t="s">
        <v>555</v>
      </c>
      <c r="AF2326" s="1">
        <v>0</v>
      </c>
    </row>
    <row r="2327" spans="31:32" x14ac:dyDescent="0.25">
      <c r="AE2327" s="107" t="s">
        <v>138</v>
      </c>
      <c r="AF2327" s="1">
        <v>0</v>
      </c>
    </row>
    <row r="2328" spans="31:32" x14ac:dyDescent="0.25">
      <c r="AE2328" s="107" t="s">
        <v>397</v>
      </c>
      <c r="AF2328" s="1">
        <v>0</v>
      </c>
    </row>
    <row r="2329" spans="31:32" x14ac:dyDescent="0.25">
      <c r="AE2329" s="107" t="s">
        <v>144</v>
      </c>
      <c r="AF2329" s="1">
        <v>0</v>
      </c>
    </row>
    <row r="2330" spans="31:32" x14ac:dyDescent="0.25">
      <c r="AE2330" s="107" t="s">
        <v>437</v>
      </c>
      <c r="AF2330" s="1">
        <v>0</v>
      </c>
    </row>
    <row r="2331" spans="31:32" x14ac:dyDescent="0.25">
      <c r="AE2331" s="107" t="s">
        <v>168</v>
      </c>
      <c r="AF2331" s="1">
        <v>0</v>
      </c>
    </row>
    <row r="2332" spans="31:32" x14ac:dyDescent="0.25">
      <c r="AE2332" s="107" t="s">
        <v>4935</v>
      </c>
      <c r="AF2332" s="1">
        <v>0</v>
      </c>
    </row>
    <row r="2333" spans="31:32" x14ac:dyDescent="0.25">
      <c r="AE2333" s="107" t="s">
        <v>154</v>
      </c>
      <c r="AF2333" s="1">
        <v>0</v>
      </c>
    </row>
    <row r="2334" spans="31:32" x14ac:dyDescent="0.25">
      <c r="AE2334" s="107" t="s">
        <v>329</v>
      </c>
      <c r="AF2334" s="1">
        <v>0</v>
      </c>
    </row>
    <row r="2335" spans="31:32" x14ac:dyDescent="0.25">
      <c r="AE2335" s="107" t="s">
        <v>3343</v>
      </c>
      <c r="AF2335" s="1">
        <v>0</v>
      </c>
    </row>
    <row r="2336" spans="31:32" x14ac:dyDescent="0.25">
      <c r="AE2336" s="107" t="s">
        <v>750</v>
      </c>
      <c r="AF2336" s="1">
        <v>0</v>
      </c>
    </row>
    <row r="2337" spans="31:32" x14ac:dyDescent="0.25">
      <c r="AE2337" s="107" t="s">
        <v>3513</v>
      </c>
      <c r="AF2337" s="1">
        <v>0</v>
      </c>
    </row>
    <row r="2338" spans="31:32" x14ac:dyDescent="0.25">
      <c r="AE2338" s="107" t="s">
        <v>4582</v>
      </c>
      <c r="AF2338" s="1">
        <v>0</v>
      </c>
    </row>
    <row r="2339" spans="31:32" x14ac:dyDescent="0.25">
      <c r="AE2339" s="107" t="s">
        <v>192</v>
      </c>
      <c r="AF2339" s="1">
        <v>0</v>
      </c>
    </row>
    <row r="2340" spans="31:32" x14ac:dyDescent="0.25">
      <c r="AE2340" s="107" t="s">
        <v>1422</v>
      </c>
      <c r="AF2340" s="1">
        <v>0</v>
      </c>
    </row>
    <row r="2341" spans="31:32" x14ac:dyDescent="0.25">
      <c r="AE2341" s="107" t="s">
        <v>180</v>
      </c>
      <c r="AF2341" s="1">
        <v>0</v>
      </c>
    </row>
    <row r="2342" spans="31:32" x14ac:dyDescent="0.25">
      <c r="AE2342" s="107" t="s">
        <v>571</v>
      </c>
      <c r="AF2342" s="1">
        <v>0</v>
      </c>
    </row>
    <row r="2343" spans="31:32" x14ac:dyDescent="0.25">
      <c r="AE2343" s="107" t="s">
        <v>184</v>
      </c>
      <c r="AF2343" s="1">
        <v>0</v>
      </c>
    </row>
    <row r="2344" spans="31:32" x14ac:dyDescent="0.25">
      <c r="AE2344" s="107" t="s">
        <v>359</v>
      </c>
      <c r="AF2344" s="1">
        <v>0</v>
      </c>
    </row>
    <row r="2345" spans="31:32" x14ac:dyDescent="0.25">
      <c r="AE2345" s="107" t="s">
        <v>321</v>
      </c>
      <c r="AF2345" s="1">
        <v>0</v>
      </c>
    </row>
    <row r="2346" spans="31:32" x14ac:dyDescent="0.25">
      <c r="AE2346" s="107" t="s">
        <v>417</v>
      </c>
      <c r="AF2346" s="1">
        <v>0</v>
      </c>
    </row>
    <row r="2347" spans="31:32" x14ac:dyDescent="0.25">
      <c r="AE2347" s="107" t="s">
        <v>202</v>
      </c>
      <c r="AF2347" s="1">
        <v>0</v>
      </c>
    </row>
    <row r="2348" spans="31:32" x14ac:dyDescent="0.25">
      <c r="AE2348" s="107" t="s">
        <v>4723</v>
      </c>
      <c r="AF2348" s="1">
        <v>0</v>
      </c>
    </row>
    <row r="2349" spans="31:32" x14ac:dyDescent="0.25">
      <c r="AE2349" s="107" t="s">
        <v>222</v>
      </c>
      <c r="AF2349" s="1">
        <v>0</v>
      </c>
    </row>
    <row r="2350" spans="31:32" x14ac:dyDescent="0.25">
      <c r="AE2350" s="107" t="s">
        <v>499</v>
      </c>
      <c r="AF2350" s="1">
        <v>0</v>
      </c>
    </row>
    <row r="2351" spans="31:32" x14ac:dyDescent="0.25">
      <c r="AE2351" s="107" t="s">
        <v>128</v>
      </c>
      <c r="AF2351" s="1">
        <v>0</v>
      </c>
    </row>
    <row r="2352" spans="31:32" x14ac:dyDescent="0.25">
      <c r="AE2352" s="107" t="s">
        <v>651</v>
      </c>
      <c r="AF2352" s="1">
        <v>0</v>
      </c>
    </row>
    <row r="2353" spans="31:32" x14ac:dyDescent="0.25">
      <c r="AE2353" s="107" t="s">
        <v>194</v>
      </c>
      <c r="AF2353" s="1">
        <v>0</v>
      </c>
    </row>
    <row r="2354" spans="31:32" x14ac:dyDescent="0.25">
      <c r="AE2354" s="107" t="s">
        <v>497</v>
      </c>
      <c r="AF2354" s="1">
        <v>0</v>
      </c>
    </row>
    <row r="2355" spans="31:32" x14ac:dyDescent="0.25">
      <c r="AE2355" s="107" t="s">
        <v>146</v>
      </c>
      <c r="AF2355" s="1">
        <v>0</v>
      </c>
    </row>
    <row r="2356" spans="31:32" x14ac:dyDescent="0.25">
      <c r="AE2356" s="107" t="s">
        <v>758</v>
      </c>
      <c r="AF2356" s="1">
        <v>0</v>
      </c>
    </row>
    <row r="2357" spans="31:32" x14ac:dyDescent="0.25">
      <c r="AE2357" s="107" t="s">
        <v>2568</v>
      </c>
      <c r="AF2357" s="1">
        <v>0</v>
      </c>
    </row>
    <row r="2358" spans="31:32" x14ac:dyDescent="0.25">
      <c r="AE2358" s="107" t="s">
        <v>689</v>
      </c>
      <c r="AF2358" s="1">
        <v>0</v>
      </c>
    </row>
    <row r="2359" spans="31:32" x14ac:dyDescent="0.25">
      <c r="AE2359" s="107" t="s">
        <v>4693</v>
      </c>
      <c r="AF2359" s="1">
        <v>0</v>
      </c>
    </row>
    <row r="2360" spans="31:32" x14ac:dyDescent="0.25">
      <c r="AE2360" s="107" t="s">
        <v>675</v>
      </c>
      <c r="AF2360" s="1">
        <v>0</v>
      </c>
    </row>
    <row r="2361" spans="31:32" x14ac:dyDescent="0.25">
      <c r="AE2361" s="107" t="s">
        <v>188</v>
      </c>
      <c r="AF2361" s="1">
        <v>0</v>
      </c>
    </row>
    <row r="2362" spans="31:32" x14ac:dyDescent="0.25">
      <c r="AE2362" s="107" t="s">
        <v>381</v>
      </c>
      <c r="AF2362" s="1">
        <v>0</v>
      </c>
    </row>
    <row r="2363" spans="31:32" x14ac:dyDescent="0.25">
      <c r="AE2363" s="107" t="s">
        <v>208</v>
      </c>
      <c r="AF2363" s="1">
        <v>0</v>
      </c>
    </row>
    <row r="2364" spans="31:32" x14ac:dyDescent="0.25">
      <c r="AE2364" s="107" t="s">
        <v>541</v>
      </c>
      <c r="AF2364" s="1">
        <v>0</v>
      </c>
    </row>
    <row r="2365" spans="31:32" x14ac:dyDescent="0.25">
      <c r="AE2365" s="107" t="s">
        <v>164</v>
      </c>
      <c r="AF2365" s="1">
        <v>0</v>
      </c>
    </row>
    <row r="2366" spans="31:32" x14ac:dyDescent="0.25">
      <c r="AE2366" s="107" t="s">
        <v>563</v>
      </c>
      <c r="AF2366" s="1">
        <v>0</v>
      </c>
    </row>
    <row r="2367" spans="31:32" x14ac:dyDescent="0.25">
      <c r="AE2367" s="107" t="s">
        <v>160</v>
      </c>
      <c r="AF2367" s="1">
        <v>0</v>
      </c>
    </row>
    <row r="2368" spans="31:32" x14ac:dyDescent="0.25">
      <c r="AE2368" s="107" t="s">
        <v>631</v>
      </c>
      <c r="AF2368" s="1">
        <v>0</v>
      </c>
    </row>
    <row r="2369" spans="31:32" x14ac:dyDescent="0.25">
      <c r="AE2369" s="107" t="s">
        <v>323</v>
      </c>
      <c r="AF2369" s="1">
        <v>0</v>
      </c>
    </row>
    <row r="2370" spans="31:32" x14ac:dyDescent="0.25">
      <c r="AE2370" s="107" t="s">
        <v>477</v>
      </c>
      <c r="AF2370" s="1">
        <v>0</v>
      </c>
    </row>
    <row r="2371" spans="31:32" x14ac:dyDescent="0.25">
      <c r="AE2371" s="107" t="s">
        <v>206</v>
      </c>
      <c r="AF2371" s="1">
        <v>0</v>
      </c>
    </row>
    <row r="2372" spans="31:32" x14ac:dyDescent="0.25">
      <c r="AE2372" s="107" t="s">
        <v>485</v>
      </c>
      <c r="AF2372" s="1">
        <v>0</v>
      </c>
    </row>
    <row r="2373" spans="31:32" x14ac:dyDescent="0.25">
      <c r="AE2373" s="107" t="s">
        <v>170</v>
      </c>
      <c r="AF2373" s="1">
        <v>0</v>
      </c>
    </row>
    <row r="2374" spans="31:32" x14ac:dyDescent="0.25">
      <c r="AE2374" s="107" t="s">
        <v>495</v>
      </c>
      <c r="AF2374" s="1">
        <v>0</v>
      </c>
    </row>
    <row r="2375" spans="31:32" x14ac:dyDescent="0.25">
      <c r="AE2375" s="107" t="s">
        <v>148</v>
      </c>
      <c r="AF2375" s="1">
        <v>0</v>
      </c>
    </row>
    <row r="2376" spans="31:32" x14ac:dyDescent="0.25">
      <c r="AE2376" s="107" t="s">
        <v>383</v>
      </c>
      <c r="AF2376" s="1">
        <v>0</v>
      </c>
    </row>
    <row r="2377" spans="31:32" x14ac:dyDescent="0.25">
      <c r="AE2377" s="107" t="s">
        <v>343</v>
      </c>
      <c r="AF2377" s="1">
        <v>0</v>
      </c>
    </row>
    <row r="2378" spans="31:32" x14ac:dyDescent="0.25">
      <c r="AE2378" s="107" t="s">
        <v>529</v>
      </c>
      <c r="AF2378" s="1">
        <v>0</v>
      </c>
    </row>
    <row r="2379" spans="31:32" x14ac:dyDescent="0.25">
      <c r="AE2379" s="107" t="s">
        <v>196</v>
      </c>
      <c r="AF2379" s="1">
        <v>0</v>
      </c>
    </row>
    <row r="2380" spans="31:32" x14ac:dyDescent="0.25">
      <c r="AE2380" s="107" t="s">
        <v>591</v>
      </c>
      <c r="AF2380" s="1">
        <v>0</v>
      </c>
    </row>
    <row r="2381" spans="31:32" x14ac:dyDescent="0.25">
      <c r="AE2381" s="107" t="s">
        <v>198</v>
      </c>
      <c r="AF2381" s="1">
        <v>0</v>
      </c>
    </row>
    <row r="2382" spans="31:32" x14ac:dyDescent="0.25">
      <c r="AE2382" s="107" t="s">
        <v>365</v>
      </c>
      <c r="AF2382" s="1">
        <v>0</v>
      </c>
    </row>
    <row r="2383" spans="31:32" x14ac:dyDescent="0.25">
      <c r="AE2383" s="107" t="s">
        <v>4741</v>
      </c>
      <c r="AF2383" s="1">
        <v>0</v>
      </c>
    </row>
    <row r="2384" spans="31:32" x14ac:dyDescent="0.25">
      <c r="AE2384" s="107" t="s">
        <v>561</v>
      </c>
      <c r="AF2384" s="1">
        <v>0</v>
      </c>
    </row>
    <row r="2385" spans="31:32" x14ac:dyDescent="0.25">
      <c r="AE2385" s="107" t="s">
        <v>256</v>
      </c>
      <c r="AF2385" s="1">
        <v>0</v>
      </c>
    </row>
    <row r="2386" spans="31:32" x14ac:dyDescent="0.25">
      <c r="AE2386" s="107" t="s">
        <v>341</v>
      </c>
      <c r="AF2386" s="1">
        <v>0</v>
      </c>
    </row>
    <row r="2387" spans="31:32" x14ac:dyDescent="0.25">
      <c r="AE2387" s="107" t="s">
        <v>200</v>
      </c>
      <c r="AF2387" s="1">
        <v>0</v>
      </c>
    </row>
    <row r="2388" spans="31:32" x14ac:dyDescent="0.25">
      <c r="AE2388" s="107" t="s">
        <v>509</v>
      </c>
      <c r="AF2388" s="1">
        <v>0</v>
      </c>
    </row>
    <row r="2389" spans="31:32" x14ac:dyDescent="0.25">
      <c r="AE2389" s="107" t="s">
        <v>190</v>
      </c>
      <c r="AF2389" s="1">
        <v>0</v>
      </c>
    </row>
    <row r="2390" spans="31:32" x14ac:dyDescent="0.25">
      <c r="AE2390" s="107" t="s">
        <v>351</v>
      </c>
      <c r="AF2390" s="1">
        <v>0</v>
      </c>
    </row>
    <row r="2391" spans="31:32" x14ac:dyDescent="0.25">
      <c r="AE2391" s="107" t="s">
        <v>317</v>
      </c>
      <c r="AF2391" s="1">
        <v>0</v>
      </c>
    </row>
    <row r="2392" spans="31:32" x14ac:dyDescent="0.25">
      <c r="AE2392" s="107" t="s">
        <v>573</v>
      </c>
      <c r="AF2392" s="1">
        <v>0</v>
      </c>
    </row>
    <row r="2393" spans="31:32" x14ac:dyDescent="0.25">
      <c r="AE2393" s="107" t="s">
        <v>204</v>
      </c>
      <c r="AF2393" s="1">
        <v>0</v>
      </c>
    </row>
    <row r="2394" spans="31:32" x14ac:dyDescent="0.25">
      <c r="AE2394" s="107" t="s">
        <v>1623</v>
      </c>
      <c r="AF2394" s="1">
        <v>0</v>
      </c>
    </row>
    <row r="2395" spans="31:32" x14ac:dyDescent="0.25">
      <c r="AE2395" s="107" t="s">
        <v>166</v>
      </c>
      <c r="AF2395" s="1">
        <v>0</v>
      </c>
    </row>
    <row r="2396" spans="31:32" x14ac:dyDescent="0.25">
      <c r="AE2396" s="107" t="s">
        <v>387</v>
      </c>
      <c r="AF2396" s="1">
        <v>0</v>
      </c>
    </row>
    <row r="2397" spans="31:32" x14ac:dyDescent="0.25">
      <c r="AE2397" s="107" t="s">
        <v>226</v>
      </c>
      <c r="AF2397" s="1">
        <v>0</v>
      </c>
    </row>
    <row r="2398" spans="31:32" x14ac:dyDescent="0.25">
      <c r="AE2398" s="107" t="s">
        <v>681</v>
      </c>
      <c r="AF2398" s="1">
        <v>0</v>
      </c>
    </row>
    <row r="2399" spans="31:32" x14ac:dyDescent="0.25">
      <c r="AE2399" s="107" t="s">
        <v>140</v>
      </c>
      <c r="AF2399" s="1">
        <v>0</v>
      </c>
    </row>
    <row r="2400" spans="31:32" x14ac:dyDescent="0.25">
      <c r="AE2400" s="107" t="s">
        <v>766</v>
      </c>
      <c r="AF2400" s="1">
        <v>0</v>
      </c>
    </row>
    <row r="2401" spans="31:32" x14ac:dyDescent="0.25">
      <c r="AE2401" s="107" t="s">
        <v>212</v>
      </c>
      <c r="AF2401" s="1">
        <v>0</v>
      </c>
    </row>
    <row r="2402" spans="31:32" x14ac:dyDescent="0.25">
      <c r="AE2402" s="107" t="s">
        <v>377</v>
      </c>
      <c r="AF2402" s="1">
        <v>0</v>
      </c>
    </row>
    <row r="2403" spans="31:32" x14ac:dyDescent="0.25">
      <c r="AE2403" s="107" t="s">
        <v>220</v>
      </c>
      <c r="AF2403" s="1">
        <v>0</v>
      </c>
    </row>
    <row r="2404" spans="31:32" x14ac:dyDescent="0.25">
      <c r="AE2404" s="107" t="s">
        <v>4731</v>
      </c>
      <c r="AF2404" s="1">
        <v>0</v>
      </c>
    </row>
    <row r="2405" spans="31:32" x14ac:dyDescent="0.25">
      <c r="AE2405" s="107" t="s">
        <v>295</v>
      </c>
      <c r="AF2405" s="1">
        <v>0</v>
      </c>
    </row>
    <row r="2406" spans="31:32" x14ac:dyDescent="0.25">
      <c r="AE2406" s="107" t="s">
        <v>479</v>
      </c>
      <c r="AF2406" s="1">
        <v>0</v>
      </c>
    </row>
    <row r="2407" spans="31:32" x14ac:dyDescent="0.25">
      <c r="AE2407" s="107" t="s">
        <v>216</v>
      </c>
      <c r="AF2407" s="1">
        <v>0</v>
      </c>
    </row>
    <row r="2408" spans="31:32" x14ac:dyDescent="0.25">
      <c r="AE2408" s="107" t="s">
        <v>447</v>
      </c>
      <c r="AF2408" s="1">
        <v>0</v>
      </c>
    </row>
    <row r="2409" spans="31:32" x14ac:dyDescent="0.25">
      <c r="AE2409" s="107" t="s">
        <v>244</v>
      </c>
      <c r="AF2409" s="1">
        <v>0</v>
      </c>
    </row>
    <row r="2410" spans="31:32" x14ac:dyDescent="0.25">
      <c r="AE2410" s="107" t="s">
        <v>423</v>
      </c>
      <c r="AF2410" s="1">
        <v>0</v>
      </c>
    </row>
    <row r="2411" spans="31:32" x14ac:dyDescent="0.25">
      <c r="AE2411" s="107" t="s">
        <v>162</v>
      </c>
      <c r="AF2411" s="1">
        <v>0</v>
      </c>
    </row>
    <row r="2412" spans="31:32" x14ac:dyDescent="0.25">
      <c r="AE2412" s="107" t="s">
        <v>2347</v>
      </c>
      <c r="AF2412" s="1">
        <v>0</v>
      </c>
    </row>
    <row r="2413" spans="31:32" x14ac:dyDescent="0.25">
      <c r="AE2413" s="107" t="s">
        <v>4689</v>
      </c>
      <c r="AF2413" s="1">
        <v>0</v>
      </c>
    </row>
    <row r="2414" spans="31:32" x14ac:dyDescent="0.25">
      <c r="AE2414" s="107" t="s">
        <v>619</v>
      </c>
      <c r="AF2414" s="1">
        <v>0</v>
      </c>
    </row>
    <row r="2415" spans="31:32" x14ac:dyDescent="0.25">
      <c r="AE2415" s="107" t="s">
        <v>234</v>
      </c>
      <c r="AF2415" s="1">
        <v>0</v>
      </c>
    </row>
    <row r="2416" spans="31:32" x14ac:dyDescent="0.25">
      <c r="AE2416" s="107" t="s">
        <v>4711</v>
      </c>
      <c r="AF2416" s="1">
        <v>0</v>
      </c>
    </row>
    <row r="2417" spans="31:32" x14ac:dyDescent="0.25">
      <c r="AE2417" s="107" t="s">
        <v>176</v>
      </c>
      <c r="AF2417" s="1">
        <v>0</v>
      </c>
    </row>
    <row r="2418" spans="31:32" x14ac:dyDescent="0.25">
      <c r="AE2418" s="107" t="s">
        <v>655</v>
      </c>
      <c r="AF2418" s="1">
        <v>0</v>
      </c>
    </row>
    <row r="2419" spans="31:32" x14ac:dyDescent="0.25">
      <c r="AE2419" s="107" t="s">
        <v>1789</v>
      </c>
      <c r="AF2419" s="1">
        <v>0</v>
      </c>
    </row>
    <row r="2420" spans="31:32" x14ac:dyDescent="0.25">
      <c r="AE2420" s="107" t="s">
        <v>661</v>
      </c>
      <c r="AF2420" s="1">
        <v>0</v>
      </c>
    </row>
    <row r="2421" spans="31:32" x14ac:dyDescent="0.25">
      <c r="AE2421" s="107" t="s">
        <v>3421</v>
      </c>
      <c r="AF2421" s="1">
        <v>0</v>
      </c>
    </row>
    <row r="2422" spans="31:32" x14ac:dyDescent="0.25">
      <c r="AE2422" s="107" t="s">
        <v>429</v>
      </c>
      <c r="AF2422" s="1">
        <v>0</v>
      </c>
    </row>
    <row r="2423" spans="31:32" x14ac:dyDescent="0.25">
      <c r="AE2423" s="107" t="s">
        <v>236</v>
      </c>
      <c r="AF2423" s="1">
        <v>0</v>
      </c>
    </row>
    <row r="2424" spans="31:32" x14ac:dyDescent="0.25">
      <c r="AE2424" s="107" t="s">
        <v>4717</v>
      </c>
      <c r="AF2424" s="1">
        <v>0</v>
      </c>
    </row>
    <row r="2425" spans="31:32" x14ac:dyDescent="0.25">
      <c r="AE2425" s="107" t="s">
        <v>254</v>
      </c>
      <c r="AF2425" s="1">
        <v>0</v>
      </c>
    </row>
    <row r="2426" spans="31:32" x14ac:dyDescent="0.25">
      <c r="AE2426" s="107" t="s">
        <v>517</v>
      </c>
      <c r="AF2426" s="1">
        <v>0</v>
      </c>
    </row>
    <row r="2427" spans="31:32" x14ac:dyDescent="0.25">
      <c r="AE2427" s="107" t="s">
        <v>158</v>
      </c>
      <c r="AF2427" s="1">
        <v>0</v>
      </c>
    </row>
    <row r="2428" spans="31:32" x14ac:dyDescent="0.25">
      <c r="AE2428" s="107" t="s">
        <v>4743</v>
      </c>
      <c r="AF2428" s="1">
        <v>0</v>
      </c>
    </row>
    <row r="2429" spans="31:32" x14ac:dyDescent="0.25">
      <c r="AE2429" s="107" t="s">
        <v>240</v>
      </c>
      <c r="AF2429" s="1">
        <v>0</v>
      </c>
    </row>
    <row r="2430" spans="31:32" x14ac:dyDescent="0.25">
      <c r="AE2430" s="107" t="s">
        <v>4889</v>
      </c>
      <c r="AF2430" s="1">
        <v>0</v>
      </c>
    </row>
    <row r="2431" spans="31:32" x14ac:dyDescent="0.25">
      <c r="AE2431" s="107" t="s">
        <v>246</v>
      </c>
      <c r="AF2431" s="1">
        <v>0</v>
      </c>
    </row>
    <row r="2432" spans="31:32" x14ac:dyDescent="0.25">
      <c r="AE2432" s="107" t="s">
        <v>419</v>
      </c>
      <c r="AF2432" s="1">
        <v>0</v>
      </c>
    </row>
    <row r="2433" spans="31:32" x14ac:dyDescent="0.25">
      <c r="AE2433" s="107" t="s">
        <v>228</v>
      </c>
      <c r="AF2433" s="1">
        <v>0</v>
      </c>
    </row>
    <row r="2434" spans="31:32" x14ac:dyDescent="0.25">
      <c r="AE2434" s="107" t="s">
        <v>503</v>
      </c>
      <c r="AF2434" s="1">
        <v>0</v>
      </c>
    </row>
    <row r="2435" spans="31:32" x14ac:dyDescent="0.25">
      <c r="AE2435" s="107" t="s">
        <v>238</v>
      </c>
      <c r="AF2435" s="1">
        <v>0</v>
      </c>
    </row>
    <row r="2436" spans="31:32" x14ac:dyDescent="0.25">
      <c r="AE2436" s="107" t="s">
        <v>4721</v>
      </c>
      <c r="AF2436" s="1">
        <v>0</v>
      </c>
    </row>
    <row r="2437" spans="31:32" x14ac:dyDescent="0.25">
      <c r="AE2437" s="107" t="s">
        <v>258</v>
      </c>
      <c r="AF2437" s="1">
        <v>0</v>
      </c>
    </row>
    <row r="2438" spans="31:32" x14ac:dyDescent="0.25">
      <c r="AE2438" s="107" t="s">
        <v>4705</v>
      </c>
      <c r="AF2438" s="1">
        <v>0</v>
      </c>
    </row>
    <row r="2439" spans="31:32" x14ac:dyDescent="0.25">
      <c r="AE2439" s="107" t="s">
        <v>260</v>
      </c>
      <c r="AF2439" s="1">
        <v>0</v>
      </c>
    </row>
    <row r="2440" spans="31:32" x14ac:dyDescent="0.25">
      <c r="AE2440" s="107" t="s">
        <v>659</v>
      </c>
      <c r="AF2440" s="1">
        <v>0</v>
      </c>
    </row>
    <row r="2441" spans="31:32" x14ac:dyDescent="0.25">
      <c r="AE2441" s="107" t="s">
        <v>214</v>
      </c>
      <c r="AF2441" s="1">
        <v>0</v>
      </c>
    </row>
    <row r="2442" spans="31:32" x14ac:dyDescent="0.25">
      <c r="AE2442" s="107" t="s">
        <v>603</v>
      </c>
      <c r="AF2442" s="1">
        <v>0</v>
      </c>
    </row>
    <row r="2443" spans="31:32" x14ac:dyDescent="0.25">
      <c r="AE2443" s="107" t="s">
        <v>285</v>
      </c>
      <c r="AF2443" s="1">
        <v>0</v>
      </c>
    </row>
    <row r="2444" spans="31:32" x14ac:dyDescent="0.25">
      <c r="AE2444" s="107" t="s">
        <v>523</v>
      </c>
      <c r="AF2444" s="1">
        <v>0</v>
      </c>
    </row>
    <row r="2445" spans="31:32" x14ac:dyDescent="0.25">
      <c r="AE2445" s="107" t="s">
        <v>264</v>
      </c>
      <c r="AF2445" s="1">
        <v>0</v>
      </c>
    </row>
    <row r="2446" spans="31:32" x14ac:dyDescent="0.25">
      <c r="AE2446" s="107" t="s">
        <v>5047</v>
      </c>
      <c r="AF2446" s="1">
        <v>0</v>
      </c>
    </row>
    <row r="2447" spans="31:32" x14ac:dyDescent="0.25">
      <c r="AE2447" s="107" t="s">
        <v>4699</v>
      </c>
      <c r="AF2447" s="1">
        <v>0</v>
      </c>
    </row>
    <row r="2448" spans="31:32" x14ac:dyDescent="0.25">
      <c r="AE2448" s="107" t="s">
        <v>569</v>
      </c>
      <c r="AF2448" s="1">
        <v>0</v>
      </c>
    </row>
    <row r="2449" spans="31:32" x14ac:dyDescent="0.25">
      <c r="AE2449" s="107" t="s">
        <v>150</v>
      </c>
      <c r="AF2449" s="1">
        <v>0</v>
      </c>
    </row>
    <row r="2450" spans="31:32" x14ac:dyDescent="0.25">
      <c r="AE2450" s="107" t="s">
        <v>501</v>
      </c>
      <c r="AF2450" s="1">
        <v>0</v>
      </c>
    </row>
    <row r="2451" spans="31:32" x14ac:dyDescent="0.25">
      <c r="AE2451" s="107" t="s">
        <v>266</v>
      </c>
      <c r="AF2451" s="1">
        <v>0</v>
      </c>
    </row>
    <row r="2452" spans="31:32" x14ac:dyDescent="0.25">
      <c r="AE2452" s="107" t="s">
        <v>331</v>
      </c>
      <c r="AF2452" s="1">
        <v>0</v>
      </c>
    </row>
    <row r="2453" spans="31:32" x14ac:dyDescent="0.25">
      <c r="AE2453" s="107" t="s">
        <v>297</v>
      </c>
      <c r="AF2453" s="1">
        <v>0</v>
      </c>
    </row>
    <row r="2454" spans="31:32" x14ac:dyDescent="0.25">
      <c r="AE2454" s="107" t="s">
        <v>4939</v>
      </c>
      <c r="AF2454" s="1">
        <v>0</v>
      </c>
    </row>
    <row r="2455" spans="31:32" x14ac:dyDescent="0.25">
      <c r="AE2455" s="107" t="s">
        <v>279</v>
      </c>
      <c r="AF2455" s="1">
        <v>0</v>
      </c>
    </row>
    <row r="2456" spans="31:32" x14ac:dyDescent="0.25">
      <c r="AE2456" s="107" t="s">
        <v>441</v>
      </c>
      <c r="AF2456" s="1">
        <v>0</v>
      </c>
    </row>
    <row r="2457" spans="31:32" x14ac:dyDescent="0.25">
      <c r="AE2457" s="107" t="s">
        <v>252</v>
      </c>
      <c r="AF2457" s="1">
        <v>0</v>
      </c>
    </row>
    <row r="2458" spans="31:32" x14ac:dyDescent="0.25">
      <c r="AE2458" s="107" t="s">
        <v>347</v>
      </c>
      <c r="AF2458" s="1">
        <v>0</v>
      </c>
    </row>
    <row r="2459" spans="31:32" x14ac:dyDescent="0.25">
      <c r="AE2459" s="107" t="s">
        <v>4695</v>
      </c>
      <c r="AF2459" s="1">
        <v>0</v>
      </c>
    </row>
    <row r="2460" spans="31:32" x14ac:dyDescent="0.25">
      <c r="AE2460" s="107" t="s">
        <v>553</v>
      </c>
      <c r="AF2460" s="1">
        <v>0</v>
      </c>
    </row>
    <row r="2461" spans="31:32" x14ac:dyDescent="0.25">
      <c r="AE2461" s="107" t="s">
        <v>283</v>
      </c>
      <c r="AF2461" s="1">
        <v>0</v>
      </c>
    </row>
    <row r="2462" spans="31:32" x14ac:dyDescent="0.25">
      <c r="AE2462" s="107" t="s">
        <v>653</v>
      </c>
      <c r="AF2462" s="1">
        <v>0</v>
      </c>
    </row>
    <row r="2463" spans="31:32" x14ac:dyDescent="0.25">
      <c r="AE2463" s="107" t="s">
        <v>268</v>
      </c>
      <c r="AF2463" s="1">
        <v>0</v>
      </c>
    </row>
    <row r="2464" spans="31:32" x14ac:dyDescent="0.25">
      <c r="AE2464" s="107" t="s">
        <v>4326</v>
      </c>
      <c r="AF2464" s="1">
        <v>0</v>
      </c>
    </row>
    <row r="2465" spans="31:32" x14ac:dyDescent="0.25">
      <c r="AE2465" s="107" t="s">
        <v>174</v>
      </c>
      <c r="AF2465" s="1">
        <v>0</v>
      </c>
    </row>
    <row r="2466" spans="31:32" x14ac:dyDescent="0.25">
      <c r="AE2466" s="107" t="s">
        <v>3657</v>
      </c>
      <c r="AF2466" s="1">
        <v>0</v>
      </c>
    </row>
    <row r="2467" spans="31:32" x14ac:dyDescent="0.25">
      <c r="AE2467" s="107" t="s">
        <v>275</v>
      </c>
      <c r="AF2467" s="1">
        <v>0</v>
      </c>
    </row>
    <row r="2468" spans="31:32" x14ac:dyDescent="0.25">
      <c r="AE2468" s="107" t="s">
        <v>623</v>
      </c>
      <c r="AF2468" s="1">
        <v>0</v>
      </c>
    </row>
    <row r="2469" spans="31:32" x14ac:dyDescent="0.25">
      <c r="AE2469" s="107" t="s">
        <v>3671</v>
      </c>
      <c r="AF2469" s="1">
        <v>0</v>
      </c>
    </row>
    <row r="2470" spans="31:32" x14ac:dyDescent="0.25">
      <c r="AE2470" s="107" t="s">
        <v>687</v>
      </c>
      <c r="AF2470" s="1">
        <v>0</v>
      </c>
    </row>
    <row r="2471" spans="31:32" x14ac:dyDescent="0.25">
      <c r="AE2471" s="107" t="s">
        <v>277</v>
      </c>
      <c r="AF2471" s="1">
        <v>0</v>
      </c>
    </row>
    <row r="2472" spans="31:32" x14ac:dyDescent="0.25">
      <c r="AE2472" s="107" t="s">
        <v>645</v>
      </c>
      <c r="AF2472" s="1">
        <v>0</v>
      </c>
    </row>
    <row r="2473" spans="31:32" x14ac:dyDescent="0.25">
      <c r="AE2473" s="107" t="s">
        <v>272</v>
      </c>
      <c r="AF2473" s="1">
        <v>0</v>
      </c>
    </row>
    <row r="2474" spans="31:32" x14ac:dyDescent="0.25">
      <c r="AE2474" s="107" t="s">
        <v>697</v>
      </c>
      <c r="AF2474" s="1">
        <v>0</v>
      </c>
    </row>
    <row r="2475" spans="31:32" x14ac:dyDescent="0.25">
      <c r="AE2475" s="107" t="s">
        <v>281</v>
      </c>
      <c r="AF2475" s="1">
        <v>0</v>
      </c>
    </row>
    <row r="2476" spans="31:32" x14ac:dyDescent="0.25">
      <c r="AE2476" s="107" t="s">
        <v>679</v>
      </c>
      <c r="AF2476" s="1">
        <v>0</v>
      </c>
    </row>
    <row r="2477" spans="31:32" x14ac:dyDescent="0.25">
      <c r="AE2477" s="107" t="s">
        <v>4691</v>
      </c>
      <c r="AF2477" s="1">
        <v>0</v>
      </c>
    </row>
    <row r="2478" spans="31:32" x14ac:dyDescent="0.25">
      <c r="AE2478" s="107" t="s">
        <v>4715</v>
      </c>
      <c r="AF2478" s="1">
        <v>0</v>
      </c>
    </row>
    <row r="2479" spans="31:32" x14ac:dyDescent="0.25">
      <c r="AE2479" s="107" t="s">
        <v>218</v>
      </c>
      <c r="AF2479" s="1">
        <v>0</v>
      </c>
    </row>
    <row r="2480" spans="31:32" x14ac:dyDescent="0.25">
      <c r="AE2480" s="107" t="s">
        <v>613</v>
      </c>
      <c r="AF2480" s="1">
        <v>0</v>
      </c>
    </row>
    <row r="2481" spans="31:32" x14ac:dyDescent="0.25">
      <c r="AE2481" s="107" t="s">
        <v>242</v>
      </c>
      <c r="AF2481" s="1">
        <v>0</v>
      </c>
    </row>
    <row r="2482" spans="31:32" x14ac:dyDescent="0.25">
      <c r="AE2482" s="107" t="s">
        <v>349</v>
      </c>
    </row>
    <row r="2483" spans="31:32" x14ac:dyDescent="0.25">
      <c r="AE2483" s="107" t="s">
        <v>289</v>
      </c>
      <c r="AF2483" s="1">
        <v>0</v>
      </c>
    </row>
    <row r="2484" spans="31:32" x14ac:dyDescent="0.25">
      <c r="AE2484" s="107" t="s">
        <v>764</v>
      </c>
      <c r="AF2484" s="1">
        <v>0</v>
      </c>
    </row>
    <row r="2485" spans="31:32" x14ac:dyDescent="0.25">
      <c r="AE2485" s="107" t="s">
        <v>156</v>
      </c>
      <c r="AF2485" s="1">
        <v>0</v>
      </c>
    </row>
    <row r="2486" spans="31:32" x14ac:dyDescent="0.25">
      <c r="AE2486" s="107" t="s">
        <v>425</v>
      </c>
      <c r="AF2486" s="1">
        <v>0</v>
      </c>
    </row>
    <row r="2487" spans="31:32" x14ac:dyDescent="0.25">
      <c r="AE2487" s="107" t="s">
        <v>178</v>
      </c>
      <c r="AF2487" s="1">
        <v>0</v>
      </c>
    </row>
    <row r="2488" spans="31:32" x14ac:dyDescent="0.25">
      <c r="AE2488" s="107" t="s">
        <v>449</v>
      </c>
      <c r="AF2488" s="1">
        <v>0</v>
      </c>
    </row>
    <row r="2489" spans="31:32" x14ac:dyDescent="0.25">
      <c r="AE2489" s="107" t="s">
        <v>291</v>
      </c>
      <c r="AF2489" s="1">
        <v>0</v>
      </c>
    </row>
    <row r="2490" spans="31:32" x14ac:dyDescent="0.25">
      <c r="AE2490" s="107" t="s">
        <v>413</v>
      </c>
      <c r="AF2490" s="1">
        <v>0</v>
      </c>
    </row>
    <row r="2491" spans="31:32" x14ac:dyDescent="0.25">
      <c r="AE2491" s="107" t="s">
        <v>293</v>
      </c>
      <c r="AF2491" s="1">
        <v>0</v>
      </c>
    </row>
    <row r="2492" spans="31:32" x14ac:dyDescent="0.25">
      <c r="AE2492" s="107" t="s">
        <v>445</v>
      </c>
      <c r="AF2492" s="1">
        <v>0</v>
      </c>
    </row>
    <row r="2493" spans="31:32" x14ac:dyDescent="0.25">
      <c r="AE2493" s="107" t="s">
        <v>4701</v>
      </c>
      <c r="AF2493" s="1">
        <v>0</v>
      </c>
    </row>
    <row r="2494" spans="31:32" x14ac:dyDescent="0.25">
      <c r="AE2494" s="107" t="s">
        <v>401</v>
      </c>
      <c r="AF2494" s="1">
        <v>0</v>
      </c>
    </row>
    <row r="2495" spans="31:32" x14ac:dyDescent="0.25">
      <c r="AE2495" s="107" t="s">
        <v>301</v>
      </c>
      <c r="AF2495" s="1">
        <v>0</v>
      </c>
    </row>
    <row r="2496" spans="31:32" x14ac:dyDescent="0.25">
      <c r="AE2496" s="107" t="s">
        <v>421</v>
      </c>
      <c r="AF2496" s="1">
        <v>0</v>
      </c>
    </row>
    <row r="2497" spans="31:32" x14ac:dyDescent="0.25">
      <c r="AE2497" s="107" t="s">
        <v>2679</v>
      </c>
      <c r="AF2497" s="1">
        <v>0</v>
      </c>
    </row>
    <row r="2498" spans="31:32" x14ac:dyDescent="0.25">
      <c r="AE2498" s="107" t="s">
        <v>443</v>
      </c>
      <c r="AF2498" s="1">
        <v>0</v>
      </c>
    </row>
    <row r="2499" spans="31:32" x14ac:dyDescent="0.25">
      <c r="AE2499" s="107" t="s">
        <v>299</v>
      </c>
      <c r="AF2499" s="1">
        <v>0</v>
      </c>
    </row>
    <row r="2500" spans="31:32" x14ac:dyDescent="0.25">
      <c r="AE2500" s="107" t="s">
        <v>4737</v>
      </c>
      <c r="AF2500" s="1">
        <v>0</v>
      </c>
    </row>
    <row r="2501" spans="31:32" x14ac:dyDescent="0.25">
      <c r="AE2501" s="107" t="s">
        <v>303</v>
      </c>
      <c r="AF2501" s="1">
        <v>0</v>
      </c>
    </row>
    <row r="2502" spans="31:32" x14ac:dyDescent="0.25">
      <c r="AE2502" s="107" t="s">
        <v>4719</v>
      </c>
      <c r="AF2502" s="1">
        <v>0</v>
      </c>
    </row>
    <row r="2503" spans="31:32" x14ac:dyDescent="0.25">
      <c r="AE2503" s="107" t="s">
        <v>172</v>
      </c>
      <c r="AF2503" s="1">
        <v>0</v>
      </c>
    </row>
    <row r="2504" spans="31:32" x14ac:dyDescent="0.25">
      <c r="AE2504" s="107" t="s">
        <v>539</v>
      </c>
      <c r="AF2504" s="1">
        <v>0</v>
      </c>
    </row>
    <row r="2505" spans="31:32" x14ac:dyDescent="0.25">
      <c r="AE2505" s="107" t="s">
        <v>305</v>
      </c>
      <c r="AF2505" s="1">
        <v>0</v>
      </c>
    </row>
    <row r="2506" spans="31:32" x14ac:dyDescent="0.25">
      <c r="AE2506" s="107" t="s">
        <v>4807</v>
      </c>
      <c r="AF2506" s="1">
        <v>0</v>
      </c>
    </row>
    <row r="2507" spans="31:32" x14ac:dyDescent="0.25">
      <c r="AE2507" s="107" t="s">
        <v>250</v>
      </c>
      <c r="AF2507" s="1">
        <v>0</v>
      </c>
    </row>
    <row r="2508" spans="31:32" x14ac:dyDescent="0.25">
      <c r="AE2508" s="107" t="s">
        <v>224</v>
      </c>
      <c r="AF2508" s="1">
        <v>0</v>
      </c>
    </row>
    <row r="2509" spans="31:32" x14ac:dyDescent="0.25">
      <c r="AE2509" s="107" t="s">
        <v>307</v>
      </c>
      <c r="AF2509" s="1">
        <v>0</v>
      </c>
    </row>
    <row r="2510" spans="31:32" x14ac:dyDescent="0.25">
      <c r="AE2510" s="107" t="s">
        <v>515</v>
      </c>
      <c r="AF2510" s="1">
        <v>0</v>
      </c>
    </row>
    <row r="2511" spans="31:32" x14ac:dyDescent="0.25">
      <c r="AE2511" s="107" t="s">
        <v>309</v>
      </c>
      <c r="AF2511" s="1">
        <v>0</v>
      </c>
    </row>
    <row r="2512" spans="31:32" x14ac:dyDescent="0.25">
      <c r="AE2512" s="107" t="s">
        <v>373</v>
      </c>
      <c r="AF2512" s="1">
        <v>0</v>
      </c>
    </row>
    <row r="2513" spans="31:32" x14ac:dyDescent="0.25">
      <c r="AE2513" s="107" t="s">
        <v>311</v>
      </c>
      <c r="AF2513" s="1">
        <v>0</v>
      </c>
    </row>
    <row r="2514" spans="31:32" x14ac:dyDescent="0.25">
      <c r="AE2514" s="107" t="s">
        <v>403</v>
      </c>
      <c r="AF2514" s="1">
        <v>0</v>
      </c>
    </row>
    <row r="2515" spans="31:32" x14ac:dyDescent="0.25">
      <c r="AE2515" s="107" t="s">
        <v>2564</v>
      </c>
      <c r="AF2515" s="1">
        <v>0</v>
      </c>
    </row>
    <row r="2516" spans="31:32" x14ac:dyDescent="0.25">
      <c r="AE2516" s="107" t="s">
        <v>431</v>
      </c>
      <c r="AF2516" s="1">
        <v>0</v>
      </c>
    </row>
    <row r="2517" spans="31:32" x14ac:dyDescent="0.25">
      <c r="AE2517" s="107" t="s">
        <v>315</v>
      </c>
      <c r="AF2517" s="1">
        <v>0</v>
      </c>
    </row>
    <row r="2518" spans="31:32" x14ac:dyDescent="0.25">
      <c r="AE2518" s="107" t="s">
        <v>683</v>
      </c>
      <c r="AF2518" s="1">
        <v>0</v>
      </c>
    </row>
    <row r="2519" spans="31:32" x14ac:dyDescent="0.25">
      <c r="AE2519" s="107" t="s">
        <v>313</v>
      </c>
      <c r="AF2519" s="1">
        <v>0</v>
      </c>
    </row>
    <row r="2520" spans="31:32" x14ac:dyDescent="0.25">
      <c r="AE2520" s="107" t="s">
        <v>547</v>
      </c>
      <c r="AF2520" s="1">
        <v>0</v>
      </c>
    </row>
    <row r="2521" spans="31:32" x14ac:dyDescent="0.25">
      <c r="AE2521" s="107" t="s">
        <v>319</v>
      </c>
      <c r="AF2521" s="1">
        <v>0</v>
      </c>
    </row>
    <row r="2522" spans="31:32" x14ac:dyDescent="0.25">
      <c r="AE2522" s="107" t="s">
        <v>427</v>
      </c>
      <c r="AF2522" s="1">
        <v>0</v>
      </c>
    </row>
    <row r="2523" spans="31:32" x14ac:dyDescent="0.25">
      <c r="AE2523" s="107" t="s">
        <v>325</v>
      </c>
      <c r="AF2523" s="1">
        <v>0</v>
      </c>
    </row>
    <row r="2524" spans="31:32" x14ac:dyDescent="0.25">
      <c r="AE2524" s="107" t="s">
        <v>433</v>
      </c>
      <c r="AF2524" s="1">
        <v>0</v>
      </c>
    </row>
    <row r="2525" spans="31:32" x14ac:dyDescent="0.25">
      <c r="AE2525" s="107" t="s">
        <v>327</v>
      </c>
      <c r="AF2525" s="1">
        <v>0</v>
      </c>
    </row>
    <row r="2526" spans="31:32" x14ac:dyDescent="0.25">
      <c r="AE2526" s="107" t="s">
        <v>439</v>
      </c>
      <c r="AF2526" s="1">
        <v>0</v>
      </c>
    </row>
    <row r="2527" spans="31:32" x14ac:dyDescent="0.25">
      <c r="AE2527" s="107" t="s">
        <v>5216</v>
      </c>
      <c r="AF2527" s="1">
        <v>0</v>
      </c>
    </row>
    <row r="2528" spans="31:32" x14ac:dyDescent="0.25">
      <c r="AE2528" s="107" t="s">
        <v>4713</v>
      </c>
      <c r="AF2528" s="1">
        <v>0</v>
      </c>
    </row>
    <row r="2529" spans="31:32" x14ac:dyDescent="0.25">
      <c r="AE2529" s="107" t="s">
        <v>565</v>
      </c>
      <c r="AF2529" s="1">
        <v>0</v>
      </c>
    </row>
    <row r="2530" spans="31:32" x14ac:dyDescent="0.25">
      <c r="AE2530" s="107" t="s">
        <v>487</v>
      </c>
      <c r="AF2530" s="1">
        <v>0</v>
      </c>
    </row>
    <row r="2531" spans="31:32" x14ac:dyDescent="0.25">
      <c r="AE2531" s="107" t="s">
        <v>669</v>
      </c>
      <c r="AF2531" s="1">
        <v>0</v>
      </c>
    </row>
    <row r="2532" spans="31:32" x14ac:dyDescent="0.25">
      <c r="AE2532" s="107" t="s">
        <v>483</v>
      </c>
      <c r="AF2532" s="1">
        <v>0</v>
      </c>
    </row>
    <row r="2533" spans="31:32" x14ac:dyDescent="0.25">
      <c r="AE2533" s="107" t="s">
        <v>345</v>
      </c>
      <c r="AF2533" s="1">
        <v>0</v>
      </c>
    </row>
    <row r="2534" spans="31:32" x14ac:dyDescent="0.25">
      <c r="AE2534" s="107" t="s">
        <v>567</v>
      </c>
      <c r="AF2534" s="1">
        <v>0</v>
      </c>
    </row>
    <row r="2535" spans="31:32" x14ac:dyDescent="0.25">
      <c r="AE2535" s="107" t="s">
        <v>2001</v>
      </c>
      <c r="AF2535" s="1">
        <v>0</v>
      </c>
    </row>
    <row r="2536" spans="31:32" x14ac:dyDescent="0.25">
      <c r="AE2536" s="107" t="s">
        <v>671</v>
      </c>
      <c r="AF2536" s="1">
        <v>0</v>
      </c>
    </row>
    <row r="2537" spans="31:32" x14ac:dyDescent="0.25">
      <c r="AE2537" s="107" t="s">
        <v>577</v>
      </c>
      <c r="AF2537" s="1">
        <v>0</v>
      </c>
    </row>
    <row r="2538" spans="31:32" x14ac:dyDescent="0.25">
      <c r="AE2538" s="107" t="s">
        <v>521</v>
      </c>
      <c r="AF2538" s="1">
        <v>0</v>
      </c>
    </row>
    <row r="2539" spans="31:32" x14ac:dyDescent="0.25">
      <c r="AE2539" s="107" t="s">
        <v>4725</v>
      </c>
      <c r="AF2539" s="1">
        <v>0</v>
      </c>
    </row>
    <row r="2540" spans="31:32" x14ac:dyDescent="0.25">
      <c r="AE2540" s="107" t="s">
        <v>595</v>
      </c>
      <c r="AF2540" s="1">
        <v>0</v>
      </c>
    </row>
    <row r="2541" spans="31:32" x14ac:dyDescent="0.25">
      <c r="AE2541" s="107" t="s">
        <v>723</v>
      </c>
      <c r="AF2541" s="1">
        <v>0</v>
      </c>
    </row>
    <row r="2542" spans="31:32" x14ac:dyDescent="0.25">
      <c r="AE2542" s="107" t="s">
        <v>481</v>
      </c>
      <c r="AF2542" s="1">
        <v>0</v>
      </c>
    </row>
    <row r="2543" spans="31:32" x14ac:dyDescent="0.25">
      <c r="AE2543" s="107" t="s">
        <v>4707</v>
      </c>
      <c r="AF2543" s="1">
        <v>0</v>
      </c>
    </row>
    <row r="2544" spans="31:32" x14ac:dyDescent="0.25">
      <c r="AE2544" s="107" t="s">
        <v>369</v>
      </c>
      <c r="AF2544" s="1">
        <v>0</v>
      </c>
    </row>
    <row r="2545" spans="31:32" x14ac:dyDescent="0.25">
      <c r="AE2545" s="107" t="s">
        <v>519</v>
      </c>
      <c r="AF2545" s="1">
        <v>0</v>
      </c>
    </row>
    <row r="2546" spans="31:32" x14ac:dyDescent="0.25">
      <c r="AE2546" s="107" t="s">
        <v>489</v>
      </c>
      <c r="AF2546" s="1">
        <v>0</v>
      </c>
    </row>
    <row r="2547" spans="31:32" x14ac:dyDescent="0.25">
      <c r="AE2547" s="107" t="s">
        <v>525</v>
      </c>
      <c r="AF2547" s="1">
        <v>0</v>
      </c>
    </row>
    <row r="2548" spans="31:32" x14ac:dyDescent="0.25">
      <c r="AE2548" s="107" t="s">
        <v>357</v>
      </c>
      <c r="AF2548" s="1">
        <v>0</v>
      </c>
    </row>
    <row r="2549" spans="31:32" x14ac:dyDescent="0.25">
      <c r="AE2549" s="107" t="s">
        <v>455</v>
      </c>
      <c r="AF2549" s="1">
        <v>0</v>
      </c>
    </row>
    <row r="2550" spans="31:32" x14ac:dyDescent="0.25">
      <c r="AE2550" s="107" t="s">
        <v>415</v>
      </c>
      <c r="AF2550" s="1">
        <v>0</v>
      </c>
    </row>
    <row r="2551" spans="31:32" x14ac:dyDescent="0.25">
      <c r="AE2551" s="107" t="s">
        <v>457</v>
      </c>
      <c r="AF2551" s="1">
        <v>0</v>
      </c>
    </row>
    <row r="2552" spans="31:32" x14ac:dyDescent="0.25">
      <c r="AE2552" s="107" t="s">
        <v>391</v>
      </c>
      <c r="AF2552" s="1">
        <v>0</v>
      </c>
    </row>
    <row r="2553" spans="31:32" x14ac:dyDescent="0.25">
      <c r="AE2553" s="107" t="s">
        <v>337</v>
      </c>
      <c r="AF2553" s="1">
        <v>0</v>
      </c>
    </row>
    <row r="2554" spans="31:32" x14ac:dyDescent="0.25">
      <c r="AE2554" s="107" t="s">
        <v>667</v>
      </c>
      <c r="AF2554" s="1">
        <v>0</v>
      </c>
    </row>
    <row r="2555" spans="31:32" x14ac:dyDescent="0.25">
      <c r="AE2555" s="107" t="s">
        <v>409</v>
      </c>
      <c r="AF2555" s="1">
        <v>0</v>
      </c>
    </row>
    <row r="2556" spans="31:32" x14ac:dyDescent="0.25">
      <c r="AE2556" s="107" t="s">
        <v>691</v>
      </c>
      <c r="AF2556" s="1">
        <v>0</v>
      </c>
    </row>
    <row r="2557" spans="31:32" x14ac:dyDescent="0.25">
      <c r="AE2557" s="107" t="s">
        <v>537</v>
      </c>
      <c r="AF2557" s="1">
        <v>0</v>
      </c>
    </row>
    <row r="2558" spans="31:32" x14ac:dyDescent="0.25">
      <c r="AE2558" s="107" t="s">
        <v>375</v>
      </c>
      <c r="AF2558" s="1">
        <v>0</v>
      </c>
    </row>
    <row r="2559" spans="31:32" x14ac:dyDescent="0.25">
      <c r="AE2559" s="107" t="s">
        <v>4733</v>
      </c>
      <c r="AF2559" s="1">
        <v>0</v>
      </c>
    </row>
    <row r="2560" spans="31:32" x14ac:dyDescent="0.25">
      <c r="AE2560" s="107" t="s">
        <v>475</v>
      </c>
      <c r="AF2560" s="1">
        <v>0</v>
      </c>
    </row>
    <row r="2561" spans="31:32" x14ac:dyDescent="0.25">
      <c r="AE2561" s="107" t="s">
        <v>2440</v>
      </c>
      <c r="AF2561" s="1">
        <v>0</v>
      </c>
    </row>
    <row r="2562" spans="31:32" x14ac:dyDescent="0.25">
      <c r="AE2562" s="107" t="s">
        <v>545</v>
      </c>
      <c r="AF2562" s="1">
        <v>0</v>
      </c>
    </row>
    <row r="2563" spans="31:32" x14ac:dyDescent="0.25">
      <c r="AE2563" s="107" t="s">
        <v>493</v>
      </c>
      <c r="AF2563" s="1">
        <v>0</v>
      </c>
    </row>
    <row r="2564" spans="31:32" x14ac:dyDescent="0.25">
      <c r="AE2564" s="107" t="s">
        <v>730</v>
      </c>
      <c r="AF2564" s="1">
        <v>0</v>
      </c>
    </row>
    <row r="2565" spans="31:32" x14ac:dyDescent="0.25">
      <c r="AE2565" s="107" t="s">
        <v>559</v>
      </c>
      <c r="AF2565" s="1">
        <v>0</v>
      </c>
    </row>
    <row r="2566" spans="31:32" x14ac:dyDescent="0.25">
      <c r="AE2566" s="107" t="s">
        <v>535</v>
      </c>
      <c r="AF2566" s="1">
        <v>0</v>
      </c>
    </row>
    <row r="2567" spans="31:32" x14ac:dyDescent="0.25">
      <c r="AE2567" s="107" t="s">
        <v>2444</v>
      </c>
      <c r="AF2567" s="1">
        <v>0</v>
      </c>
    </row>
    <row r="2568" spans="31:32" x14ac:dyDescent="0.25">
      <c r="AE2568" s="107" t="s">
        <v>5041</v>
      </c>
      <c r="AF2568" s="1">
        <v>0</v>
      </c>
    </row>
    <row r="2569" spans="31:32" x14ac:dyDescent="0.25">
      <c r="AE2569" s="107" t="s">
        <v>3288</v>
      </c>
      <c r="AF2569" s="1">
        <v>0</v>
      </c>
    </row>
    <row r="2570" spans="31:32" x14ac:dyDescent="0.25">
      <c r="AE2570" s="107" t="s">
        <v>587</v>
      </c>
      <c r="AF2570" s="1">
        <v>0</v>
      </c>
    </row>
    <row r="2571" spans="31:32" x14ac:dyDescent="0.25">
      <c r="AE2571" s="107" t="s">
        <v>641</v>
      </c>
      <c r="AF2571" s="1">
        <v>0</v>
      </c>
    </row>
    <row r="2572" spans="31:32" x14ac:dyDescent="0.25">
      <c r="AE2572" s="107" t="s">
        <v>527</v>
      </c>
      <c r="AF2572" s="1">
        <v>0</v>
      </c>
    </row>
    <row r="2573" spans="31:32" x14ac:dyDescent="0.25">
      <c r="AE2573" s="107" t="s">
        <v>629</v>
      </c>
      <c r="AF2573" s="1">
        <v>0</v>
      </c>
    </row>
    <row r="2574" spans="31:32" x14ac:dyDescent="0.25">
      <c r="AE2574" s="107" t="s">
        <v>593</v>
      </c>
      <c r="AF2574" s="1">
        <v>0</v>
      </c>
    </row>
    <row r="2575" spans="31:32" x14ac:dyDescent="0.25">
      <c r="AE2575" s="107" t="s">
        <v>353</v>
      </c>
      <c r="AF2575" s="1">
        <v>0</v>
      </c>
    </row>
    <row r="2576" spans="31:32" x14ac:dyDescent="0.25">
      <c r="AE2576" s="107" t="s">
        <v>136</v>
      </c>
      <c r="AF2576" s="1">
        <v>0</v>
      </c>
    </row>
    <row r="2577" spans="31:32" x14ac:dyDescent="0.25">
      <c r="AE2577" s="107" t="s">
        <v>557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29011687-F244-4331-A4D9-81406585EBCF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6202F6EB-4C39-49C2-9670-53A039BBAF39}">
  <ds:schemaRefs/>
</ds:datastoreItem>
</file>

<file path=customXml/itemProps17.xml><?xml version="1.0" encoding="utf-8"?>
<ds:datastoreItem xmlns:ds="http://schemas.openxmlformats.org/officeDocument/2006/customXml" ds:itemID="{288341B9-0A52-42A0-899E-0B0DAE1946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2026-06-14T01:46:27Z</dcterms:modified>
  <cp:category/>
  <cp:contentStatus/>
</cp:coreProperties>
</file>