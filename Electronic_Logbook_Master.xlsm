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06B7F054-8EC2-4778-8574-46CE592FCA87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P5" i="16" a="1"/>
  <c r="AP5" i="16" s="1"/>
  <c r="AO5" i="16" s="1" a="1"/>
  <c r="AO5" i="16" s="1"/>
  <c r="AP6" i="16" a="1"/>
  <c r="AP6" i="16" s="1"/>
  <c r="AO6" i="16" s="1" a="1"/>
  <c r="AO6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T6" i="16" a="1"/>
  <c r="AU6" i="16" a="1"/>
  <c r="AX6" i="16" a="1"/>
  <c r="AY6" i="16" a="1"/>
  <c r="BC6" i="16" a="1"/>
  <c r="AZ6" i="16" a="1"/>
  <c r="BA6" i="16" a="1"/>
  <c r="BB6" i="16" a="1"/>
  <c r="BE6" i="16" a="1"/>
  <c r="BF6" i="16" a="1"/>
  <c r="BG6" i="16" a="1"/>
  <c r="BH6" i="16" a="1"/>
  <c r="AW6" i="16" a="1"/>
  <c r="AV6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D5" i="16"/>
  <c r="BD6" i="16"/>
  <c r="AV6" i="16"/>
  <c r="AW6" i="16"/>
  <c r="BH6" i="16"/>
  <c r="BG6" i="16"/>
  <c r="BF6" i="16"/>
  <c r="BE6" i="16"/>
  <c r="BB6" i="16"/>
  <c r="BA6" i="16"/>
  <c r="AZ6" i="16"/>
  <c r="BC6" i="16"/>
  <c r="AY6" i="16"/>
  <c r="AX6" i="16"/>
  <c r="AU6" i="16"/>
  <c r="AT6" i="16"/>
  <c r="AY5" i="16" a="1"/>
  <c r="AV5" i="16" a="1"/>
  <c r="BC5" i="16" a="1"/>
  <c r="AT5" i="16" a="1"/>
  <c r="BB5" i="16" a="1"/>
  <c r="BH5" i="16" a="1"/>
  <c r="BF5" i="16" a="1"/>
  <c r="AU5" i="16" a="1"/>
  <c r="AW5" i="16" a="1"/>
  <c r="AX5" i="16" a="1"/>
  <c r="BG5" i="16" a="1"/>
  <c r="BE5" i="16" a="1"/>
  <c r="AZ5" i="16" a="1"/>
  <c r="BA5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Y5" i="16"/>
  <c r="BC5" i="16"/>
  <c r="AT5" i="16"/>
  <c r="AU5" i="16"/>
  <c r="AX5" i="16"/>
  <c r="BB5" i="16"/>
  <c r="BH5" i="16"/>
  <c r="AZ5" i="16"/>
  <c r="BE5" i="16"/>
  <c r="AW5" i="16"/>
  <c r="BA5" i="16"/>
  <c r="BF5" i="16"/>
  <c r="BG5" i="16"/>
  <c r="AV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S5" i="16" a="1"/>
  <c r="AS5" i="16" s="1"/>
  <c r="AS6" i="16" a="1"/>
  <c r="AS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<sst xmlns="http://schemas.openxmlformats.org/spreadsheetml/2006/main" count="8188" uniqueCount="5432">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</sst>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5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169" fontId="6" fillId="0" borderId="10" xfId="0" applyNumberFormat="1" applyFont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69" fontId="6" fillId="0" borderId="12" xfId="0" applyNumberFormat="1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" type="button" dataOnly="0" labelOnly="1" outline="0" axis="axisRow" fieldPosition="0"/>
    </format>
    <format dxfId="13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3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3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3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3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3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2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2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2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2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2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2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2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2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2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2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1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1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1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1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1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1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1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1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1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1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0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0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0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0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0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0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0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0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0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0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9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9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9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9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9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9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9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9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9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9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8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8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8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8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8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59" type="button" dataOnly="0" labelOnly="1" outline="0" axis="axisRow" fieldPosition="0"/>
    </format>
    <format dxfId="141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140">
      <pivotArea dataOnly="0" labelOnly="1" grandRow="1" outline="0" fieldPosition="0"/>
    </format>
    <format dxfId="13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2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-2" type="button" dataOnly="0" labelOnly="1" outline="0" axis="axisRow" fieldPosition="0"/>
    </format>
    <format dxfId="14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H7" totalsRowCount="1" headerRowDxfId="274" dataDxfId="273" totalsRowDxfId="271" tableBorderDxfId="272">
  <autoFilter ref="A4:BH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5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9" totalsRowDxfId="58"/>
    <tableColumn id="2" xr3:uid="{7F2FD0DE-1EBD-4A25-9AB2-8B2FD2016437}" name="Month" dataDxfId="268" totalsRowDxfId="57"/>
    <tableColumn id="3" xr3:uid="{C1637A1C-51D7-4EF1-B132-362CD3F92571}" name="Day" dataDxfId="267" totalsRowDxfId="56"/>
    <tableColumn id="4" xr3:uid="{96485EE2-5F0F-4FA0-B939-E32C66C44C7A}" name="Type" dataDxfId="266" totalsRowDxfId="55"/>
    <tableColumn id="5" xr3:uid="{4F0FBA5D-D369-4B9F-89AE-FEDEFC370AFE}" name="Reg" dataDxfId="265" totalsRowDxfId="54"/>
    <tableColumn id="6" xr3:uid="{0E4DB6A7-0018-4A8F-AFD7-61529B568497}" name="PIC" totalsRowLabel="Grand Total Flying Hours" dataDxfId="264" totalsRowDxfId="53"/>
    <tableColumn id="7" xr3:uid="{7D9307E7-1F1E-42B0-9A4E-D7903D4B651E}" name="Other Pilot or Crew" totalsRowFunction="custom" dataDxfId="263" totalsRowDxfId="52">
      <totalsRowFormula>SUM(Logbook[[#Totals],[SeIcusDay]:[CopilotNight]])</totalsRowFormula>
    </tableColumn>
    <tableColumn id="8" xr3:uid="{31D773BB-578B-40B8-893F-1BAA29E6024F}" name="Details" totalsRowLabel="TOTALS:" dataDxfId="262" totalsRowDxfId="51"/>
    <tableColumn id="9" xr3:uid="{C53B3FE9-B5B3-4FE4-9D2F-CC5CB5F157FB}" name="Custom 1" totalsRowFunction="sum" dataDxfId="261" totalsRowDxfId="50"/>
    <tableColumn id="10" xr3:uid="{D4DF1EA3-5D43-434F-AEBE-A605D9FFD457}" name="Custom 2" totalsRowFunction="sum" dataDxfId="260" totalsRowDxfId="49"/>
    <tableColumn id="11" xr3:uid="{741C7510-6E1A-49A3-9C9E-E42097510CEC}" name="Custom 3" totalsRowFunction="sum" dataDxfId="259" totalsRowDxfId="48"/>
    <tableColumn id="57" xr3:uid="{4E4B2A2B-F980-49E5-9F31-D9E96FB9A587}" name="Custom 4" totalsRowFunction="sum" dataDxfId="258" totalsRowDxfId="47"/>
    <tableColumn id="12" xr3:uid="{EC4A1A18-0A2D-49AC-BFCD-E01030F64888}" name="SeIcusDay" totalsRowFunction="sum" dataDxfId="257" totalsRowDxfId="46"/>
    <tableColumn id="13" xr3:uid="{40EA09A9-61CC-4653-B74B-0553995DCA63}" name="SeIcusNight" totalsRowFunction="sum" dataDxfId="256" totalsRowDxfId="45"/>
    <tableColumn id="14" xr3:uid="{482A4ED7-9580-4817-A603-06ECE9BF848E}" name="SeDualDay" totalsRowFunction="sum" dataDxfId="255" totalsRowDxfId="44"/>
    <tableColumn id="15" xr3:uid="{ECD3AC03-3033-4736-ACF4-108BA4CADCA9}" name="SeDualNight" totalsRowFunction="sum" dataDxfId="254" totalsRowDxfId="43"/>
    <tableColumn id="16" xr3:uid="{0D5B8F94-E65D-4CF8-BCFB-AB7B435439E4}" name="SeCommandDay" totalsRowFunction="sum" dataDxfId="253" totalsRowDxfId="42"/>
    <tableColumn id="17" xr3:uid="{4A01EC43-EE14-4A57-8790-63AD1C10441E}" name="SeCommandNight" totalsRowFunction="sum" dataDxfId="252" totalsRowDxfId="41"/>
    <tableColumn id="18" xr3:uid="{A2239AA3-C2C3-451B-A2A2-60C04EDEE6F8}" name="MeIcusDay" totalsRowFunction="sum" dataDxfId="251" totalsRowDxfId="40"/>
    <tableColumn id="19" xr3:uid="{ECBDA53E-F388-4471-8A51-D64F6CA99F19}" name="MeIcusNight" totalsRowFunction="sum" dataDxfId="250" totalsRowDxfId="39"/>
    <tableColumn id="20" xr3:uid="{27DA3BE1-5062-4E05-9011-130B57ABC06D}" name="MeDualDay" totalsRowFunction="sum" dataDxfId="249" totalsRowDxfId="38"/>
    <tableColumn id="21" xr3:uid="{29820283-7307-4F78-B87D-C36611B4DDD3}" name="MeDualNight" totalsRowFunction="sum" dataDxfId="248" totalsRowDxfId="37"/>
    <tableColumn id="22" xr3:uid="{152C87A1-34A8-4A96-8523-01A7DF8751C5}" name="MeCommandDay" totalsRowFunction="sum" dataDxfId="247" totalsRowDxfId="36"/>
    <tableColumn id="23" xr3:uid="{61E0C9F1-CFD0-42E5-A7DC-2C41309F344C}" name="MeCommandNight" totalsRowFunction="sum" dataDxfId="246" totalsRowDxfId="35"/>
    <tableColumn id="24" xr3:uid="{ADC4E9A8-C2BB-4203-AD5D-C0E8E6DD1FEF}" name="CopilotDay" totalsRowFunction="sum" dataDxfId="245" totalsRowDxfId="34"/>
    <tableColumn id="25" xr3:uid="{FAA08A34-D45C-4AB5-83C7-9DB2A8B0C2E3}" name="CopilotNight" totalsRowFunction="sum" dataDxfId="244" totalsRowDxfId="33"/>
    <tableColumn id="26" xr3:uid="{2C960429-5AF1-4AB6-A6DC-6DA0D3E44FE8}" name="IfrIf" totalsRowFunction="sum" dataDxfId="243" totalsRowDxfId="32"/>
    <tableColumn id="27" xr3:uid="{FADE530A-F0C4-4ADF-96CA-8E4406906F48}" name="IfrSim" totalsRowFunction="sum" dataDxfId="242" totalsRowDxfId="31"/>
    <tableColumn id="28" xr3:uid="{1ABCF964-1A5D-4D44-94AD-A0AEA9405B55}" name="LandingsDay" totalsRowFunction="sum" dataDxfId="241" totalsRowDxfId="30"/>
    <tableColumn id="29" xr3:uid="{402C33EC-355B-4E27-9EDC-61E77D1949DA}" name="LandingsNight" totalsRowFunction="sum" dataDxfId="240" totalsRowDxfId="29"/>
    <tableColumn id="30" xr3:uid="{B49D717E-472F-4145-9125-1A5E9E338FAD}" name="ILS" totalsRowFunction="sum" dataDxfId="239" totalsRowDxfId="28"/>
    <tableColumn id="31" xr3:uid="{3D63FAA1-0E05-4BEC-9D6B-6D9D19465958}" name="VOR" totalsRowFunction="sum" dataDxfId="238" totalsRowDxfId="27"/>
    <tableColumn id="32" xr3:uid="{00BE2531-4BA9-460D-B922-80C609F07A18}" name="RNAV" totalsRowFunction="sum" dataDxfId="237" totalsRowDxfId="26"/>
    <tableColumn id="33" xr3:uid="{DCC3F16C-616F-41F1-BA39-755856D47AF1}" name="NDB" totalsRowFunction="sum" dataDxfId="236" totalsRowDxfId="25"/>
    <tableColumn id="34" xr3:uid="{19FB5B5C-450E-4FCD-B6AD-F55217E6EEFE}" name="DGA (CDI)" totalsRowFunction="sum" dataDxfId="235" totalsRowDxfId="24"/>
    <tableColumn id="35" xr3:uid="{6D9A8927-28A8-42D9-8C00-39BDAD87B064}" name="DGA (Azi)" totalsRowFunction="sum" dataDxfId="234" totalsRowDxfId="23"/>
    <tableColumn id="36" xr3:uid="{F52CFC91-2462-4865-A135-E24F1A59D2F9}" name="Circling" totalsRowFunction="sum" dataDxfId="233" totalsRowDxfId="22"/>
    <tableColumn id="54" xr3:uid="{FA8413FA-CA54-4EB0-A142-59A7B4A9BE3A}" name="TotalHours" totalsRowFunction="sum" dataDxfId="232" totalsRowDxfId="21">
      <calculatedColumnFormula>SUM(Logbook[[#This Row],[SeIcusDay]:[CopilotNight]])</calculatedColumnFormula>
    </tableColumn>
    <tableColumn id="37" xr3:uid="{6F315B7F-6161-4654-A259-C403C03FD38C}" name="TotalApps" totalsRowFunction="sum" dataDxfId="231" totalsRowDxfId="20">
      <calculatedColumnFormula>SUM(Logbook[[#This Row],[ILS]:[DGA (Azi)]])</calculatedColumnFormula>
    </tableColumn>
    <tableColumn id="59" xr3:uid="{CC19E9C7-9DD0-4C26-9253-C5CF95BF3FF1}" name="FlightReview" dataDxfId="230" totalsRowDxfId="1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29" totalsRowDxfId="18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228" totalsRowDxfId="1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60" totalsRowDxfId="16"/>
    <tableColumn id="56" xr3:uid="{89973BFA-087B-4FD2-BCE6-C8F6ECE5E711}" name="Base" dataDxfId="227" totalsRowDxfId="15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226" totalsRowDxfId="14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225" totalsRowDxfId="1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224" totalsRowDxfId="12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223" totalsRowDxfId="1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222" totalsRowDxfId="1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221" totalsRowDxfId="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220" totalsRowDxfId="8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219" totalsRowDxfId="7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218" totalsRowDxfId="6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217" totalsRowDxfId="5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216" totalsRowDxfId="4"/>
    <tableColumn id="50" xr3:uid="{D904A10A-DC61-4EF5-A0A7-8E4E66C716B2}" name="Cum2D" dataDxfId="215" totalsRowDxfId="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214" totalsRowDxfId="2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13" totalsRowDxfId="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12" totalsRowDxfId="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11" dataDxfId="209" headerRowBorderDxfId="210" tableBorderDxfId="208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07"/>
    <tableColumn id="1" xr3:uid="{E612514F-E730-44F3-A950-2114D903D763}" name="Requirement" dataDxfId="206"/>
    <tableColumn id="2" xr3:uid="{338C2481-DDBE-4368-8996-7093D48C30F3}" name="RelevantPeriodTotalSEA" dataDxfId="205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04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03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02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01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00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99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98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97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96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95" dataDxfId="193" headerRowBorderDxfId="194" tableBorderDxfId="192">
  <autoFilter ref="S5:U16" xr:uid="{DEFCE430-3315-4B20-AFA3-D492E529A289}"/>
  <tableColumns count="3">
    <tableColumn id="1" xr3:uid="{F5D0C651-FE9A-480F-A721-1E0A1BB11E45}" name="Metric" dataDxfId="191"/>
    <tableColumn id="2" xr3:uid="{4C506A49-FAB5-49F3-AC5A-65E15BED54EB}" name="Value" dataDxfId="190"/>
    <tableColumn id="3" xr3:uid="{5BBE359D-AAAF-44D6-8AB1-858ECC51E85B}" name="Notes" dataDxfId="18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88" dataDxfId="186" headerRowBorderDxfId="187" tableBorderDxfId="185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84"/>
    <tableColumn id="2" xr3:uid="{D767A1F9-BF22-427B-BE13-44AC18B7D000}" name="Manual Override Date" dataDxfId="183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82" dataDxfId="180" headerRowBorderDxfId="181" tableBorderDxfId="179">
  <autoFilter ref="W5:Y12" xr:uid="{EFF60400-83C3-4718-A8CE-C2EC48F70044}"/>
  <tableColumns count="3">
    <tableColumn id="1" xr3:uid="{C0C03FFC-FAC9-4F0C-A19D-C959BFD19EF6}" name="Flight Review" dataDxfId="178"/>
    <tableColumn id="2" xr3:uid="{CED3A314-0EC8-45B6-816A-7786E084B19C}" name="IPC" dataDxfId="177"/>
    <tableColumn id="3" xr3:uid="{82E50908-DF2E-4B0D-976C-DFDCE32326E4}" name="OPC" dataDxfId="17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75" dataDxfId="174">
  <autoFilter ref="A1:B25" xr:uid="{D712446C-8C48-46C7-9F47-50F19F8AE840}"/>
  <tableColumns count="2">
    <tableColumn id="1" xr3:uid="{FCCB3704-994E-40FE-A117-B8E5B1521CF2}" name="Stat" dataDxfId="173"/>
    <tableColumn id="2" xr3:uid="{A9D5E41C-6312-45FF-90B7-22D2EDBDB376}" name="Value" dataDxfId="17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71" dataDxfId="170">
  <autoFilter ref="A1:G2" xr:uid="{3F8F1EDB-4A6B-49F1-9AD4-5B2878EB7556}"/>
  <tableColumns count="7">
    <tableColumn id="1" xr3:uid="{C5C0DA8E-6256-4A20-B51F-B4D8363D1D90}" name="DepAirport" dataDxfId="169"/>
    <tableColumn id="2" xr3:uid="{F3D83450-5955-4A1A-8DAE-5D92DF7965A6}" name="ArrAirport" dataDxfId="168"/>
    <tableColumn id="3" xr3:uid="{F98E872C-79C7-434F-BD79-094472FFD233}" name="DepLat" dataDxfId="167">
      <calculatedColumnFormula>IFERROR(INDEX(Airports[Latitude],MATCH(Routes[[#This Row],[DepAirport]],Airports[ICAO],0)),"")</calculatedColumnFormula>
    </tableColumn>
    <tableColumn id="4" xr3:uid="{E1159041-1A14-4F26-830A-B0F6A559B95D}" name="DepLon" dataDxfId="166">
      <calculatedColumnFormula>IFERROR(INDEX(Airports[Longitude],MATCH(Routes[[#This Row],[DepAirport]],Airports[ICAO],0)),"")</calculatedColumnFormula>
    </tableColumn>
    <tableColumn id="5" xr3:uid="{FD3C889A-1EC4-4F55-8588-89B65397B078}" name="ArrLat" dataDxfId="165">
      <calculatedColumnFormula>IFERROR(INDEX(Airports[Latitude],MATCH(Routes[[#This Row],[ArrAirport]],Airports[ICAO],0)),"")</calculatedColumnFormula>
    </tableColumn>
    <tableColumn id="6" xr3:uid="{FF636B41-EC1C-450C-97FE-AE19AC5418FA}" name="ArrLon" dataDxfId="164">
      <calculatedColumnFormula>IFERROR(INDEX(Airports[Longitude],MATCH(Routes[[#This Row],[ArrAirport]],Airports[ICAO],0)),"")</calculatedColumnFormula>
    </tableColumn>
    <tableColumn id="7" xr3:uid="{BB287862-0BA1-4504-8344-AB6913725D12}" name="Distance" dataDxfId="16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62" dataDxfId="161">
  <autoFilter ref="A1:K2594" xr:uid="{E3639FD2-C4E1-48A6-A2A4-DAF413B7EA71}"/>
  <tableColumns count="11">
    <tableColumn id="1" xr3:uid="{6C32B457-C2CF-44AE-9438-ED4D3693F5D1}" name="ICAO" dataDxfId="160"/>
    <tableColumn id="2" xr3:uid="{4E4C6CD0-6A70-461E-85DA-8D27FFBFACCC}" name="Airport" dataDxfId="159"/>
    <tableColumn id="3" xr3:uid="{5B76FCD6-397B-43E4-BA9F-F7B850CAA2EB}" name="Latitude" dataDxfId="158"/>
    <tableColumn id="4" xr3:uid="{164C2A9E-872B-4EE7-B78D-CF620771116F}" name="Longitude" dataDxfId="157"/>
    <tableColumn id="5" xr3:uid="{9DA51986-184F-4042-8498-5C7ECF449997}" name="Three" dataDxfId="156">
      <calculatedColumnFormula>RIGHT(Airports[[#This Row],[ICAO]],3)</calculatedColumnFormula>
    </tableColumn>
    <tableColumn id="6" xr3:uid="{6494C55E-1C81-41AB-91AC-E21F1A6A2679}" name="Two" dataDxfId="15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5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15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15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15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15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72" dataDxfId="71">
  <autoFilter ref="AH1:AK12" xr:uid="{BC52C307-26A5-4B5A-ABEF-D0A2C9CF2545}"/>
  <tableColumns count="4">
    <tableColumn id="1" xr3:uid="{3622EEBF-B5B9-49E2-94B8-1CA8DD861E4E}" name="Airport" dataDxfId="70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9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8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7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33" t="s">
        <v>5339</v>
      </c>
    </row>
    <row r="2" spans="1:1" x14ac:dyDescent="0.25">
      <c r="A2" s="233"/>
    </row>
    <row r="3" spans="1:1" x14ac:dyDescent="0.25">
      <c r="A3" s="233"/>
    </row>
    <row r="4" spans="1:1" x14ac:dyDescent="0.25">
      <c r="A4" s="233"/>
    </row>
    <row r="5" spans="1:1" x14ac:dyDescent="0.25">
      <c r="A5" s="233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N8" sqref="N8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42" t="s">
        <v>46</v>
      </c>
      <c r="C1" s="251" t="s">
        <v>46</v>
      </c>
      <c r="D1" s="237"/>
      <c r="E1" s="238"/>
      <c r="F1" s="236" t="s">
        <v>1</v>
      </c>
      <c r="G1" s="238"/>
      <c r="H1" s="245" t="s">
        <v>2</v>
      </c>
      <c r="I1" s="248" t="s">
        <v>3</v>
      </c>
      <c r="J1" s="245" t="s">
        <v>4</v>
      </c>
      <c r="K1" s="236" t="s">
        <v>5337</v>
      </c>
      <c r="L1" s="237"/>
      <c r="M1" s="237"/>
      <c r="N1" s="238"/>
      <c r="O1" s="256" t="s">
        <v>5</v>
      </c>
      <c r="P1" s="256"/>
      <c r="Q1" s="256"/>
      <c r="R1" s="256"/>
      <c r="S1" s="256"/>
      <c r="T1" s="256"/>
      <c r="U1" s="256" t="s">
        <v>6</v>
      </c>
      <c r="V1" s="256"/>
      <c r="W1" s="256"/>
      <c r="X1" s="256"/>
      <c r="Y1" s="256"/>
      <c r="Z1" s="256"/>
      <c r="AA1" s="236" t="s">
        <v>13</v>
      </c>
      <c r="AB1" s="238"/>
      <c r="AC1" s="256" t="s">
        <v>7</v>
      </c>
      <c r="AD1" s="256"/>
      <c r="AE1" s="256" t="s">
        <v>8</v>
      </c>
      <c r="AF1" s="256"/>
      <c r="AG1" s="236" t="s">
        <v>9</v>
      </c>
      <c r="AH1" s="237"/>
      <c r="AI1" s="237"/>
      <c r="AJ1" s="237"/>
      <c r="AK1" s="237"/>
      <c r="AL1" s="237"/>
      <c r="AM1" s="253"/>
    </row>
    <row r="2" spans="1:39" x14ac:dyDescent="0.25">
      <c r="A2" s="134"/>
      <c r="B2" s="243"/>
      <c r="C2" s="252"/>
      <c r="D2" s="240"/>
      <c r="E2" s="241"/>
      <c r="F2" s="239"/>
      <c r="G2" s="241"/>
      <c r="H2" s="246"/>
      <c r="I2" s="249"/>
      <c r="J2" s="246"/>
      <c r="K2" s="239"/>
      <c r="L2" s="240"/>
      <c r="M2" s="240"/>
      <c r="N2" s="241"/>
      <c r="O2" s="255" t="s">
        <v>10</v>
      </c>
      <c r="P2" s="255"/>
      <c r="Q2" s="255" t="s">
        <v>11</v>
      </c>
      <c r="R2" s="255"/>
      <c r="S2" s="255" t="s">
        <v>12</v>
      </c>
      <c r="T2" s="255"/>
      <c r="U2" s="255" t="s">
        <v>10</v>
      </c>
      <c r="V2" s="255"/>
      <c r="W2" s="255" t="s">
        <v>11</v>
      </c>
      <c r="X2" s="255"/>
      <c r="Y2" s="255" t="s">
        <v>12</v>
      </c>
      <c r="Z2" s="255"/>
      <c r="AA2" s="239"/>
      <c r="AB2" s="241"/>
      <c r="AC2" s="255" t="s">
        <v>14</v>
      </c>
      <c r="AD2" s="255" t="s">
        <v>15</v>
      </c>
      <c r="AE2" s="255"/>
      <c r="AF2" s="255"/>
      <c r="AG2" s="239"/>
      <c r="AH2" s="240"/>
      <c r="AI2" s="240"/>
      <c r="AJ2" s="240"/>
      <c r="AK2" s="240"/>
      <c r="AL2" s="240"/>
      <c r="AM2" s="254"/>
    </row>
    <row r="3" spans="1:39" x14ac:dyDescent="0.25">
      <c r="A3" s="134"/>
      <c r="B3" s="244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47"/>
      <c r="I3" s="250"/>
      <c r="J3" s="247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55"/>
      <c r="AD3" s="255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34" t="s">
        <v>5347</v>
      </c>
      <c r="D6" s="234"/>
      <c r="E6" s="234"/>
      <c r="F6" s="234"/>
      <c r="G6" s="234"/>
      <c r="H6" s="234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35"/>
      <c r="D7" s="235"/>
      <c r="E7" s="235"/>
      <c r="F7" s="235"/>
      <c r="G7" s="235"/>
      <c r="H7" s="235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I18"/>
  <sheetViews>
    <sheetView showGridLines="0" tabSelected="1" zoomScaleNormal="100" workbookViewId="0">
      <pane ySplit="4" topLeftCell="A5" activePane="bottomLeft" state="frozen"/>
      <selection pane="bottomLeft" sqref="A1:D2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10.85546875" style="126" customWidth="1"/>
    <col min="12" max="13" width="10.85546875" style="56" customWidth="1"/>
    <col min="14" max="31" width="6.28515625" style="57" customWidth="1"/>
    <col min="32" max="38" width="9.85546875" style="57" customWidth="1"/>
    <col min="39" max="39" width="15.140625" style="126" hidden="1" customWidth="1"/>
    <col min="40" max="41" width="14.42578125" style="127" hidden="1" customWidth="1"/>
    <col min="42" max="43" width="15.5703125" style="56" hidden="1" customWidth="1"/>
    <col min="44" max="44" width="19.28515625" style="56" hidden="1" customWidth="1"/>
    <col min="45" max="45" width="12.140625" style="56" hidden="1" customWidth="1"/>
    <col min="46" max="46" width="16.140625" style="57" hidden="1" customWidth="1"/>
    <col min="47" max="47" width="17.85546875" style="57" hidden="1" customWidth="1"/>
    <col min="48" max="48" width="7.42578125" style="57" hidden="1" customWidth="1"/>
    <col min="49" max="49" width="8.85546875" style="57" hidden="1" customWidth="1"/>
    <col min="50" max="50" width="10.140625" style="57" hidden="1" customWidth="1"/>
    <col min="51" max="51" width="8.85546875" style="57" hidden="1" customWidth="1"/>
    <col min="52" max="52" width="11.140625" style="57" hidden="1" customWidth="1"/>
    <col min="53" max="53" width="11" style="57" hidden="1" customWidth="1"/>
    <col min="54" max="54" width="8.28515625" style="57" hidden="1" customWidth="1"/>
    <col min="55" max="55" width="14" style="57" hidden="1" customWidth="1"/>
    <col min="56" max="56" width="14.7109375" style="57" hidden="1" customWidth="1"/>
    <col min="57" max="58" width="7.42578125" style="57" hidden="1" customWidth="1"/>
    <col min="59" max="59" width="8" style="56" hidden="1" customWidth="1"/>
    <col min="60" max="60" width="8.42578125" style="57" hidden="1" customWidth="1"/>
    <col min="61" max="61" width="3" style="57" customWidth="1"/>
    <col min="62" max="16384" width="9.140625" style="57" hidden="1"/>
  </cols>
  <sheetData>
    <row r="1" spans="1:60" ht="15" customHeight="1" x14ac:dyDescent="0.25">
      <c r="A1" s="210" t="s">
        <v>46</v>
      </c>
      <c r="B1" s="210"/>
      <c r="C1" s="210"/>
      <c r="D1" s="211"/>
      <c r="E1" s="214" t="s">
        <v>1</v>
      </c>
      <c r="F1" s="215"/>
      <c r="G1" s="214" t="s">
        <v>82</v>
      </c>
      <c r="H1" s="215"/>
      <c r="I1" s="218" t="s">
        <v>83</v>
      </c>
      <c r="J1" s="214" t="s">
        <v>5337</v>
      </c>
      <c r="K1" s="220"/>
      <c r="L1" s="220"/>
      <c r="M1" s="215"/>
      <c r="N1" s="225" t="s">
        <v>5</v>
      </c>
      <c r="O1" s="225"/>
      <c r="P1" s="225"/>
      <c r="Q1" s="225"/>
      <c r="R1" s="225"/>
      <c r="S1" s="225"/>
      <c r="T1" s="225" t="s">
        <v>6</v>
      </c>
      <c r="U1" s="225"/>
      <c r="V1" s="225"/>
      <c r="W1" s="225"/>
      <c r="X1" s="225"/>
      <c r="Y1" s="225"/>
      <c r="Z1" s="214" t="s">
        <v>13</v>
      </c>
      <c r="AA1" s="215"/>
      <c r="AB1" s="225" t="s">
        <v>7</v>
      </c>
      <c r="AC1" s="225"/>
      <c r="AD1" s="225" t="s">
        <v>8</v>
      </c>
      <c r="AE1" s="225"/>
      <c r="AF1" s="214" t="s">
        <v>9</v>
      </c>
      <c r="AG1" s="220"/>
      <c r="AH1" s="220"/>
      <c r="AI1" s="220"/>
      <c r="AJ1" s="220"/>
      <c r="AK1" s="220"/>
      <c r="AL1" s="215"/>
      <c r="AM1" s="229" t="s">
        <v>85</v>
      </c>
      <c r="AN1" s="230"/>
      <c r="AO1" s="226" t="s">
        <v>5394</v>
      </c>
      <c r="AP1" s="227"/>
      <c r="AQ1" s="227"/>
      <c r="AR1" s="228"/>
      <c r="AT1" s="202" t="s">
        <v>34</v>
      </c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4"/>
    </row>
    <row r="2" spans="1:60" x14ac:dyDescent="0.25">
      <c r="A2" s="210"/>
      <c r="B2" s="210"/>
      <c r="C2" s="210"/>
      <c r="D2" s="211"/>
      <c r="E2" s="216"/>
      <c r="F2" s="217"/>
      <c r="G2" s="216"/>
      <c r="H2" s="217"/>
      <c r="I2" s="219"/>
      <c r="J2" s="216"/>
      <c r="K2" s="221"/>
      <c r="L2" s="221"/>
      <c r="M2" s="217"/>
      <c r="N2" s="225" t="s">
        <v>10</v>
      </c>
      <c r="O2" s="225"/>
      <c r="P2" s="225" t="s">
        <v>11</v>
      </c>
      <c r="Q2" s="225"/>
      <c r="R2" s="225" t="s">
        <v>12</v>
      </c>
      <c r="S2" s="225"/>
      <c r="T2" s="225" t="s">
        <v>10</v>
      </c>
      <c r="U2" s="225"/>
      <c r="V2" s="225" t="s">
        <v>11</v>
      </c>
      <c r="W2" s="225"/>
      <c r="X2" s="225" t="s">
        <v>12</v>
      </c>
      <c r="Y2" s="225"/>
      <c r="Z2" s="222"/>
      <c r="AA2" s="224"/>
      <c r="AB2" s="225" t="s">
        <v>14</v>
      </c>
      <c r="AC2" s="225" t="s">
        <v>15</v>
      </c>
      <c r="AD2" s="225"/>
      <c r="AE2" s="225"/>
      <c r="AF2" s="222"/>
      <c r="AG2" s="223"/>
      <c r="AH2" s="223"/>
      <c r="AI2" s="223"/>
      <c r="AJ2" s="223"/>
      <c r="AK2" s="223"/>
      <c r="AL2" s="224"/>
      <c r="AM2" s="231"/>
      <c r="AN2" s="232"/>
      <c r="AO2" s="271" t="s">
        <v>5382</v>
      </c>
      <c r="AP2" s="272" t="s">
        <v>33</v>
      </c>
      <c r="AQ2" s="260" t="s">
        <v>5359</v>
      </c>
      <c r="AR2" s="260" t="s">
        <v>5431</v>
      </c>
      <c r="AT2" s="202" t="s">
        <v>8</v>
      </c>
      <c r="AU2" s="204"/>
      <c r="AV2" s="202" t="s">
        <v>9</v>
      </c>
      <c r="AW2" s="203"/>
      <c r="AX2" s="203"/>
      <c r="AY2" s="203"/>
      <c r="AZ2" s="203"/>
      <c r="BA2" s="203"/>
      <c r="BB2" s="204"/>
      <c r="BC2" s="205" t="s">
        <v>85</v>
      </c>
      <c r="BD2" s="206"/>
      <c r="BE2" s="209" t="s">
        <v>35</v>
      </c>
      <c r="BF2" s="209" t="s">
        <v>36</v>
      </c>
      <c r="BG2" s="209" t="s">
        <v>37</v>
      </c>
      <c r="BH2" s="201" t="s">
        <v>38</v>
      </c>
    </row>
    <row r="3" spans="1:60" ht="15" customHeight="1" x14ac:dyDescent="0.25">
      <c r="A3" s="60" t="s">
        <v>5326</v>
      </c>
      <c r="B3" s="212" t="s">
        <v>5327</v>
      </c>
      <c r="C3" s="212"/>
      <c r="D3" s="213"/>
      <c r="E3" s="216"/>
      <c r="F3" s="217"/>
      <c r="G3" s="216"/>
      <c r="H3" s="217"/>
      <c r="I3" s="219"/>
      <c r="J3" s="222"/>
      <c r="K3" s="223"/>
      <c r="L3" s="223"/>
      <c r="M3" s="224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18"/>
      <c r="AC3" s="218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31"/>
      <c r="AN3" s="232"/>
      <c r="AO3" s="273"/>
      <c r="AP3" s="274"/>
      <c r="AQ3" s="261"/>
      <c r="AR3" s="261"/>
      <c r="AT3" s="20" t="s">
        <v>17</v>
      </c>
      <c r="AU3" s="20" t="s">
        <v>20</v>
      </c>
      <c r="AV3" s="20" t="s">
        <v>21</v>
      </c>
      <c r="AW3" s="20" t="s">
        <v>22</v>
      </c>
      <c r="AX3" s="20" t="s">
        <v>23</v>
      </c>
      <c r="AY3" s="20" t="s">
        <v>24</v>
      </c>
      <c r="AZ3" s="20" t="s">
        <v>25</v>
      </c>
      <c r="BA3" s="20" t="s">
        <v>26</v>
      </c>
      <c r="BB3" s="20" t="s">
        <v>27</v>
      </c>
      <c r="BC3" s="207"/>
      <c r="BD3" s="208"/>
      <c r="BE3" s="209"/>
      <c r="BF3" s="209"/>
      <c r="BG3" s="209"/>
      <c r="BH3" s="201"/>
    </row>
    <row r="4" spans="1:60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5430</v>
      </c>
      <c r="AS4" s="73" t="s">
        <v>5301</v>
      </c>
      <c r="AT4" s="74" t="s">
        <v>65</v>
      </c>
      <c r="AU4" s="74" t="s">
        <v>66</v>
      </c>
      <c r="AV4" s="74" t="s">
        <v>67</v>
      </c>
      <c r="AW4" s="74" t="s">
        <v>68</v>
      </c>
      <c r="AX4" s="74" t="s">
        <v>69</v>
      </c>
      <c r="AY4" s="74" t="s">
        <v>70</v>
      </c>
      <c r="AZ4" s="74" t="s">
        <v>71</v>
      </c>
      <c r="BA4" s="74" t="s">
        <v>72</v>
      </c>
      <c r="BB4" s="74" t="s">
        <v>73</v>
      </c>
      <c r="BC4" s="75" t="s">
        <v>74</v>
      </c>
      <c r="BD4" s="76" t="s">
        <v>102</v>
      </c>
      <c r="BE4" s="77" t="s">
        <v>75</v>
      </c>
      <c r="BF4" s="76" t="s">
        <v>76</v>
      </c>
      <c r="BG4" s="76" t="s">
        <v>77</v>
      </c>
      <c r="BH4" s="78" t="s">
        <v>78</v>
      </c>
    </row>
    <row r="5" spans="1:60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P5" s="90" t="str" cm="1">
        <f t="array" ref="AP5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Q5" s="90" t="str" cm="1">
        <f t="array" ref="AQ5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5" s="90"/>
      <c r="AS5" s="90" t="str" cm="1">
        <f t="array" ref="AS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T5" s="91" cm="1">
        <f t="array" aca="1" ref="AT5" ca="1">IF(ROW()=MAX(ROW(Logbook[LandingsDay])), Logbook[[#This Row],[LandingsDay]], Logbook[[#This Row],[LandingsDay]] + OFFSET(INDIRECT(ADDRESS(ROW(),COLUMN())),1,0))</f>
        <v>0</v>
      </c>
      <c r="AU5" s="91" cm="1">
        <f t="array" aca="1" ref="AU5" ca="1">IF(ROW()=MAX(ROW(Logbook[LandingsNight])), Logbook[[#This Row],[LandingsNight]], Logbook[[#This Row],[LandingsNight]] + OFFSET(INDIRECT(ADDRESS(ROW(),COLUMN())),1,0))</f>
        <v>0</v>
      </c>
      <c r="AV5" s="91" cm="1">
        <f t="array" aca="1" ref="AV5" ca="1">IF(ROW()=MAX(ROW(Logbook[ILS])), Logbook[[#This Row],[ILS]], Logbook[[#This Row],[ILS]] + OFFSET(INDIRECT(ADDRESS(ROW(),COLUMN())),1,0))</f>
        <v>0</v>
      </c>
      <c r="AW5" s="91" cm="1">
        <f t="array" aca="1" ref="AW5" ca="1">IF(ROW()=MAX(ROW(Logbook[VOR])), Logbook[[#This Row],[VOR]], Logbook[[#This Row],[VOR]] + OFFSET(INDIRECT(ADDRESS(ROW(),COLUMN())),1,0))</f>
        <v>0</v>
      </c>
      <c r="AX5" s="91" cm="1">
        <f t="array" aca="1" ref="AX5" ca="1">IF(ROW()=MAX(ROW(Logbook[RNAV])), Logbook[[#This Row],[RNAV]], Logbook[[#This Row],[RNAV]] + OFFSET(INDIRECT(ADDRESS(ROW(),COLUMN())),1,0))</f>
        <v>0</v>
      </c>
      <c r="AY5" s="91" cm="1">
        <f t="array" aca="1" ref="AY5" ca="1">IF(ROW()=MAX(ROW(Logbook[NDB])), Logbook[[#This Row],[NDB]], Logbook[[#This Row],[NDB]] + OFFSET(INDIRECT(ADDRESS(ROW(),COLUMN())),1,0))</f>
        <v>0</v>
      </c>
      <c r="AZ5" s="91" cm="1">
        <f t="array" aca="1" ref="AZ5" ca="1">IF(ROW()=MAX(ROW(Logbook[DGA (CDI)])), Logbook[[#This Row],[DGA (CDI)]], Logbook[[#This Row],[DGA (CDI)]] + OFFSET(INDIRECT(ADDRESS(ROW(),COLUMN())),1,0))</f>
        <v>0</v>
      </c>
      <c r="BA5" s="91" cm="1">
        <f t="array" aca="1" ref="BA5" ca="1">IF(ROW()=MAX(ROW(Logbook[DGA (Azi)])), Logbook[[#This Row],[DGA (Azi)]], Logbook[[#This Row],[DGA (Azi)]] + OFFSET(INDIRECT(ADDRESS(ROW(),COLUMN())),1,0))</f>
        <v>0</v>
      </c>
      <c r="BB5" s="91" cm="1">
        <f t="array" aca="1" ref="BB5" ca="1">IF(ROW()=MAX(ROW(Logbook[Circling])), Logbook[[#This Row],[Circling]], Logbook[[#This Row],[Circling]] + OFFSET(INDIRECT(ADDRESS(ROW(),COLUMN())),1,0))</f>
        <v>0</v>
      </c>
      <c r="BC5" s="91" cm="1">
        <f t="array" aca="1" ref="BC5" ca="1">IF(ROW()=MAX(ROW(Logbook[TotalApps])), Logbook[[#This Row],[TotalApps]], Logbook[[#This Row],[TotalApps]] + OFFSET(INDIRECT(ADDRESS(ROW(),COLUMN())),1,0))</f>
        <v>0</v>
      </c>
      <c r="BD5" s="92">
        <f>SUM(INDEX(Logbook[TotalHours],1):Logbook[[#This Row],[TotalHours]])</f>
        <v>0</v>
      </c>
      <c r="BE5" s="93" cm="1">
        <f t="array" aca="1" ref="BE5" ca="1">IF(ROW()=MAX(ROW(Logbook[VOR])), SUM(Logbook[[#This Row],[VOR]:[DGA (Azi)]]), SUM(Logbook[[#This Row],[VOR]:[DGA (Azi)]]) + OFFSET(INDIRECT(ADDRESS(ROW(),COLUMN())),1,0))</f>
        <v>0</v>
      </c>
      <c r="BF5" s="91" cm="1">
        <f t="array" aca="1" ref="BF5" ca="1">IF(ROW()=MAX(ROW(Logbook[ILS])), Logbook[[#This Row],[ILS]], Logbook[[#This Row],[ILS]] + OFFSET(INDIRECT(ADDRESS(ROW(),COLUMN())),1,0))</f>
        <v>0</v>
      </c>
      <c r="BG5" s="93" cm="1">
        <f t="array" aca="1" ref="BG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H5" s="94" cm="1">
        <f t="array" aca="1" ref="BH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60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P6" s="9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Q6" s="9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90"/>
      <c r="AS6" s="90" t="str" cm="1">
        <f t="array" ref="AS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T6" s="91" cm="1">
        <f t="array" aca="1" ref="AT6" ca="1">IF(ROW()=MAX(ROW(Logbook[LandingsDay])), Logbook[[#This Row],[LandingsDay]], Logbook[[#This Row],[LandingsDay]] + OFFSET(INDIRECT(ADDRESS(ROW(),COLUMN())),1,0))</f>
        <v>0</v>
      </c>
      <c r="AU6" s="91" cm="1">
        <f t="array" aca="1" ref="AU6" ca="1">IF(ROW()=MAX(ROW(Logbook[LandingsNight])), Logbook[[#This Row],[LandingsNight]], Logbook[[#This Row],[LandingsNight]] + OFFSET(INDIRECT(ADDRESS(ROW(),COLUMN())),1,0))</f>
        <v>0</v>
      </c>
      <c r="AV6" s="91" cm="1">
        <f t="array" aca="1" ref="AV6" ca="1">IF(ROW()=MAX(ROW(Logbook[ILS])), Logbook[[#This Row],[ILS]], Logbook[[#This Row],[ILS]] + OFFSET(INDIRECT(ADDRESS(ROW(),COLUMN())),1,0))</f>
        <v>0</v>
      </c>
      <c r="AW6" s="91" cm="1">
        <f t="array" aca="1" ref="AW6" ca="1">IF(ROW()=MAX(ROW(Logbook[VOR])), Logbook[[#This Row],[VOR]], Logbook[[#This Row],[VOR]] + OFFSET(INDIRECT(ADDRESS(ROW(),COLUMN())),1,0))</f>
        <v>0</v>
      </c>
      <c r="AX6" s="91" cm="1">
        <f t="array" aca="1" ref="AX6" ca="1">IF(ROW()=MAX(ROW(Logbook[RNAV])), Logbook[[#This Row],[RNAV]], Logbook[[#This Row],[RNAV]] + OFFSET(INDIRECT(ADDRESS(ROW(),COLUMN())),1,0))</f>
        <v>0</v>
      </c>
      <c r="AY6" s="91" cm="1">
        <f t="array" aca="1" ref="AY6" ca="1">IF(ROW()=MAX(ROW(Logbook[NDB])), Logbook[[#This Row],[NDB]], Logbook[[#This Row],[NDB]] + OFFSET(INDIRECT(ADDRESS(ROW(),COLUMN())),1,0))</f>
        <v>0</v>
      </c>
      <c r="AZ6" s="91" cm="1">
        <f t="array" aca="1" ref="AZ6" ca="1">IF(ROW()=MAX(ROW(Logbook[DGA (CDI)])), Logbook[[#This Row],[DGA (CDI)]], Logbook[[#This Row],[DGA (CDI)]] + OFFSET(INDIRECT(ADDRESS(ROW(),COLUMN())),1,0))</f>
        <v>0</v>
      </c>
      <c r="BA6" s="91" cm="1">
        <f t="array" aca="1" ref="BA6" ca="1">IF(ROW()=MAX(ROW(Logbook[DGA (Azi)])), Logbook[[#This Row],[DGA (Azi)]], Logbook[[#This Row],[DGA (Azi)]] + OFFSET(INDIRECT(ADDRESS(ROW(),COLUMN())),1,0))</f>
        <v>0</v>
      </c>
      <c r="BB6" s="91" cm="1">
        <f t="array" aca="1" ref="BB6" ca="1">IF(ROW()=MAX(ROW(Logbook[Circling])), Logbook[[#This Row],[Circling]], Logbook[[#This Row],[Circling]] + OFFSET(INDIRECT(ADDRESS(ROW(),COLUMN())),1,0))</f>
        <v>0</v>
      </c>
      <c r="BC6" s="91" cm="1">
        <f t="array" aca="1" ref="BC6" ca="1">IF(ROW()=MAX(ROW(Logbook[TotalApps])), Logbook[[#This Row],[TotalApps]], Logbook[[#This Row],[TotalApps]] + OFFSET(INDIRECT(ADDRESS(ROW(),COLUMN())),1,0))</f>
        <v>0</v>
      </c>
      <c r="BD6" s="92">
        <f>SUM(INDEX(Logbook[TotalHours],1):Logbook[[#This Row],[TotalHours]])</f>
        <v>0</v>
      </c>
      <c r="BE6" s="93" cm="1">
        <f t="array" aca="1" ref="BE6" ca="1">IF(ROW()=MAX(ROW(Logbook[VOR])), SUM(Logbook[[#This Row],[VOR]:[DGA (Azi)]]), SUM(Logbook[[#This Row],[VOR]:[DGA (Azi)]]) + OFFSET(INDIRECT(ADDRESS(ROW(),COLUMN())),1,0))</f>
        <v>0</v>
      </c>
      <c r="BF6" s="91" cm="1">
        <f t="array" aca="1" ref="BF6" ca="1">IF(ROW()=MAX(ROW(Logbook[ILS])), Logbook[[#This Row],[ILS]], Logbook[[#This Row],[ILS]] + OFFSET(INDIRECT(ADDRESS(ROW(),COLUMN())),1,0))</f>
        <v>0</v>
      </c>
      <c r="BG6" s="93" cm="1">
        <f t="array" aca="1" ref="BG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H6" s="94" cm="1">
        <f t="array" aca="1" ref="BH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60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3"/>
      <c r="AT7" s="114"/>
      <c r="AU7" s="114"/>
      <c r="AV7" s="114"/>
      <c r="AW7" s="114"/>
      <c r="AX7" s="114"/>
      <c r="AY7" s="114"/>
      <c r="AZ7" s="114"/>
      <c r="BA7" s="114"/>
      <c r="BB7" s="114"/>
      <c r="BC7" s="113"/>
      <c r="BD7" s="114"/>
      <c r="BE7" s="114"/>
      <c r="BF7" s="114"/>
      <c r="BG7" s="114"/>
      <c r="BH7" s="115"/>
    </row>
    <row r="8" spans="1:60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60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60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60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60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60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60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60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60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4">
    <mergeCell ref="AO2:AO3"/>
    <mergeCell ref="AM1:AN3"/>
    <mergeCell ref="AB1:AC1"/>
    <mergeCell ref="AD1:AE2"/>
    <mergeCell ref="AB2:AB3"/>
    <mergeCell ref="AC2:AC3"/>
    <mergeCell ref="AP2:AP3"/>
    <mergeCell ref="AQ2:AQ3"/>
    <mergeCell ref="AO1:AR1"/>
    <mergeCell ref="AR2:AR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1:D2"/>
    <mergeCell ref="B3:D3"/>
    <mergeCell ref="E1:F3"/>
    <mergeCell ref="G1:H3"/>
    <mergeCell ref="I1:I3"/>
    <mergeCell ref="BH2:BH3"/>
    <mergeCell ref="AT1:BH1"/>
    <mergeCell ref="AT2:AU2"/>
    <mergeCell ref="AV2:BB2"/>
    <mergeCell ref="BC2:BD3"/>
    <mergeCell ref="BE2:BE3"/>
    <mergeCell ref="BF2:BF3"/>
    <mergeCell ref="BG2:BG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5" sqref="C5:M18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62" t="s">
        <v>5406</v>
      </c>
      <c r="F2" s="263"/>
      <c r="G2" s="264"/>
      <c r="H2" s="265"/>
      <c r="I2" s="3"/>
      <c r="J2" s="266" t="s">
        <v>5407</v>
      </c>
      <c r="K2" s="267"/>
      <c r="L2" s="267"/>
      <c r="M2" s="267"/>
      <c r="N2" s="268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60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61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46186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58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58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57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58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59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57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58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58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58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58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58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59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66" priority="1">
      <formula>CF_DaysRemainingSEA=0</formula>
    </cfRule>
  </conditionalFormatting>
  <conditionalFormatting sqref="F5:F18">
    <cfRule type="expression" dxfId="65" priority="2">
      <formula>AND(CF_DaysRemainingSEA&gt;=1,CF_DaysRemainingSEA&lt;=30)</formula>
    </cfRule>
  </conditionalFormatting>
  <conditionalFormatting sqref="F5:F18">
    <cfRule type="expression" dxfId="64" priority="3">
      <formula>CF_DaysRemainingSEA&gt;30</formula>
    </cfRule>
  </conditionalFormatting>
  <conditionalFormatting sqref="K5:K18">
    <cfRule type="expression" dxfId="63" priority="4">
      <formula>CF_DaysRemainingMEA=0</formula>
    </cfRule>
  </conditionalFormatting>
  <conditionalFormatting sqref="K5:K18">
    <cfRule type="expression" dxfId="62" priority="5">
      <formula>AND(CF_DaysRemainingMEA&gt;=1,CF_DaysRemainingMEA&lt;=30)</formula>
    </cfRule>
  </conditionalFormatting>
  <conditionalFormatting sqref="K5:K18">
    <cfRule type="expression" dxfId="6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69" t="s">
        <v>5318</v>
      </c>
      <c r="C1" s="269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0" t="s">
        <v>5322</v>
      </c>
      <c r="C3" s="270"/>
    </row>
    <row r="4" spans="1:3" ht="39.950000000000003" customHeight="1" x14ac:dyDescent="0.25">
      <c r="A4" s="175" t="s">
        <v>5320</v>
      </c>
      <c r="B4" s="269" t="s">
        <v>5323</v>
      </c>
      <c r="C4" s="269"/>
    </row>
    <row r="5" spans="1:3" ht="39.950000000000003" customHeight="1" x14ac:dyDescent="0.25">
      <c r="A5" s="175" t="s">
        <v>5321</v>
      </c>
      <c r="B5" s="269" t="s">
        <v>5324</v>
      </c>
      <c r="C5" s="269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3D30612E-7D2C-460B-8D2B-25D379C8156B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288341B9-0A52-42A0-899E-0B0DAE194678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10A2DF84-F2E0-4D46-B17D-AE82A13D9F25}">
  <ds:schemaRefs/>
</ds:datastoreItem>
</file>

<file path=customXml/itemProps11.xml><?xml version="1.0" encoding="utf-8"?>
<ds:datastoreItem xmlns:ds="http://schemas.openxmlformats.org/officeDocument/2006/customXml" ds:itemID="{C4B6AEBE-60E9-4404-99AC-07B10556DFBE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2026-06-13T09:44:37Z</dcterms:modified>
  <cp:category/>
  <cp:contentStatus/>
</cp:coreProperties>
</file>