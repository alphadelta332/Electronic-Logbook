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70B2745A-2064-45A6-B729-5FE2DEEC2180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16" l="1" a="1"/>
  <c r="AQ5" i="16" s="1"/>
  <c r="AQ6" i="16" a="1"/>
  <c r="AQ6" i="16" s="1"/>
  <c r="AO6" i="16" a="1"/>
  <c r="AO6" i="16" s="1"/>
  <c r="AO5" i="16" a="1"/>
  <c r="AO5" i="16" s="1"/>
  <c r="AP6" i="16" a="1"/>
  <c r="AP6" i="16" s="1"/>
  <c r="AP5" i="16" a="1"/>
  <c r="AP5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BD5" i="16" a="1"/>
  <c r="BA5" i="16" a="1"/>
  <c r="AV5" i="16" a="1"/>
  <c r="AW5" i="16" a="1"/>
  <c r="AY5" i="16" a="1"/>
  <c r="BB5" i="16" a="1"/>
  <c r="BF5" i="16" a="1"/>
  <c r="BG5" i="16" a="1"/>
  <c r="BE5" i="16" a="1"/>
  <c r="AT5" i="16" a="1"/>
  <c r="AS5" i="16" a="1"/>
  <c r="AZ5" i="16" a="1"/>
  <c r="AX5" i="16" a="1"/>
  <c r="AU5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<sst xmlns="http://schemas.openxmlformats.org/spreadsheetml/2006/main" count="8186" uniqueCount="5430">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</sst>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3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-2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4" type="button" dataOnly="0" labelOnly="1" outline="0" axis="axisRow" fieldPosition="0"/>
    </format>
    <format dxfId="12">
      <pivotArea dataOnly="0" labelOnly="1" fieldPosition="0">
        <references count="1">
          <reference field="4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" type="button" dataOnly="0" labelOnly="1" outline="0" axis="axisRow" fieldPosition="0"/>
    </format>
    <format dxfId="7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9" type="button" dataOnly="0" labelOnly="1" outline="0" axis="axisRow" fieldPosition="0"/>
    </format>
    <format dxfId="79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230" dataDxfId="229" totalsRowDxfId="227" tableBorderDxfId="228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226" totalsRowDxfId="225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24" totalsRowDxfId="223"/>
    <tableColumn id="2" xr3:uid="{7F2FD0DE-1EBD-4A25-9AB2-8B2FD2016437}" name="Month" dataDxfId="222" totalsRowDxfId="221"/>
    <tableColumn id="3" xr3:uid="{C1637A1C-51D7-4EF1-B132-362CD3F92571}" name="Day" dataDxfId="220" totalsRowDxfId="219"/>
    <tableColumn id="4" xr3:uid="{96485EE2-5F0F-4FA0-B939-E32C66C44C7A}" name="Type" dataDxfId="218" totalsRowDxfId="217"/>
    <tableColumn id="5" xr3:uid="{4F0FBA5D-D369-4B9F-89AE-FEDEFC370AFE}" name="Reg" dataDxfId="216" totalsRowDxfId="215"/>
    <tableColumn id="6" xr3:uid="{0E4DB6A7-0018-4A8F-AFD7-61529B568497}" name="PIC" totalsRowLabel="Grand Total Flying Hours" dataDxfId="214" totalsRowDxfId="213"/>
    <tableColumn id="7" xr3:uid="{7D9307E7-1F1E-42B0-9A4E-D7903D4B651E}" name="Other Pilot or Crew" totalsRowFunction="custom" dataDxfId="212" totalsRowDxfId="211">
      <totalsRowFormula>SUM(Logbook[[#Totals],[SeIcusDay]:[CopilotNight]])</totalsRowFormula>
    </tableColumn>
    <tableColumn id="8" xr3:uid="{31D773BB-578B-40B8-893F-1BAA29E6024F}" name="Details" totalsRowLabel="TOTALS:" dataDxfId="210" totalsRowDxfId="209"/>
    <tableColumn id="9" xr3:uid="{C53B3FE9-B5B3-4FE4-9D2F-CC5CB5F157FB}" name="Custom 1" totalsRowFunction="sum" dataDxfId="208" totalsRowDxfId="207"/>
    <tableColumn id="10" xr3:uid="{D4DF1EA3-5D43-434F-AEBE-A605D9FFD457}" name="Custom 2" totalsRowFunction="sum" dataDxfId="206" totalsRowDxfId="205"/>
    <tableColumn id="11" xr3:uid="{741C7510-6E1A-49A3-9C9E-E42097510CEC}" name="Custom 3" totalsRowFunction="sum" dataDxfId="204" totalsRowDxfId="203"/>
    <tableColumn id="57" xr3:uid="{4E4B2A2B-F980-49E5-9F31-D9E96FB9A587}" name="Custom 4" totalsRowFunction="sum" dataDxfId="202" totalsRowDxfId="201"/>
    <tableColumn id="12" xr3:uid="{EC4A1A18-0A2D-49AC-BFCD-E01030F64888}" name="SeIcusDay" totalsRowFunction="sum" dataDxfId="200" totalsRowDxfId="199"/>
    <tableColumn id="13" xr3:uid="{40EA09A9-61CC-4653-B74B-0553995DCA63}" name="SeIcusNight" totalsRowFunction="sum" dataDxfId="198" totalsRowDxfId="197"/>
    <tableColumn id="14" xr3:uid="{482A4ED7-9580-4817-A603-06ECE9BF848E}" name="SeDualDay" totalsRowFunction="sum" dataDxfId="196" totalsRowDxfId="195"/>
    <tableColumn id="15" xr3:uid="{ECD3AC03-3033-4736-ACF4-108BA4CADCA9}" name="SeDualNight" totalsRowFunction="sum" dataDxfId="194" totalsRowDxfId="193"/>
    <tableColumn id="16" xr3:uid="{0D5B8F94-E65D-4CF8-BCFB-AB7B435439E4}" name="SeCommandDay" totalsRowFunction="sum" dataDxfId="192" totalsRowDxfId="191"/>
    <tableColumn id="17" xr3:uid="{4A01EC43-EE14-4A57-8790-63AD1C10441E}" name="SeCommandNight" totalsRowFunction="sum" dataDxfId="190" totalsRowDxfId="189"/>
    <tableColumn id="18" xr3:uid="{A2239AA3-C2C3-451B-A2A2-60C04EDEE6F8}" name="MeIcusDay" totalsRowFunction="sum" dataDxfId="188" totalsRowDxfId="187"/>
    <tableColumn id="19" xr3:uid="{ECBDA53E-F388-4471-8A51-D64F6CA99F19}" name="MeIcusNight" totalsRowFunction="sum" dataDxfId="186" totalsRowDxfId="185"/>
    <tableColumn id="20" xr3:uid="{27DA3BE1-5062-4E05-9011-130B57ABC06D}" name="MeDualDay" totalsRowFunction="sum" dataDxfId="184" totalsRowDxfId="183"/>
    <tableColumn id="21" xr3:uid="{29820283-7307-4F78-B87D-C36611B4DDD3}" name="MeDualNight" totalsRowFunction="sum" dataDxfId="182" totalsRowDxfId="181"/>
    <tableColumn id="22" xr3:uid="{152C87A1-34A8-4A96-8523-01A7DF8751C5}" name="MeCommandDay" totalsRowFunction="sum" dataDxfId="180" totalsRowDxfId="179"/>
    <tableColumn id="23" xr3:uid="{61E0C9F1-CFD0-42E5-A7DC-2C41309F344C}" name="MeCommandNight" totalsRowFunction="sum" dataDxfId="178" totalsRowDxfId="177"/>
    <tableColumn id="24" xr3:uid="{ADC4E9A8-C2BB-4203-AD5D-C0E8E6DD1FEF}" name="CopilotDay" totalsRowFunction="sum" dataDxfId="176" totalsRowDxfId="175"/>
    <tableColumn id="25" xr3:uid="{FAA08A34-D45C-4AB5-83C7-9DB2A8B0C2E3}" name="CopilotNight" totalsRowFunction="sum" dataDxfId="174" totalsRowDxfId="173"/>
    <tableColumn id="26" xr3:uid="{2C960429-5AF1-4AB6-A6DC-6DA0D3E44FE8}" name="IfrIf" totalsRowFunction="sum" dataDxfId="172" totalsRowDxfId="171"/>
    <tableColumn id="27" xr3:uid="{FADE530A-F0C4-4ADF-96CA-8E4406906F48}" name="IfrSim" totalsRowFunction="sum" dataDxfId="170" totalsRowDxfId="169"/>
    <tableColumn id="28" xr3:uid="{1ABCF964-1A5D-4D44-94AD-A0AEA9405B55}" name="LandingsDay" totalsRowFunction="sum" dataDxfId="168" totalsRowDxfId="167"/>
    <tableColumn id="29" xr3:uid="{402C33EC-355B-4E27-9EDC-61E77D1949DA}" name="LandingsNight" totalsRowFunction="sum" dataDxfId="166" totalsRowDxfId="165"/>
    <tableColumn id="30" xr3:uid="{B49D717E-472F-4145-9125-1A5E9E338FAD}" name="ILS" totalsRowFunction="sum" dataDxfId="164" totalsRowDxfId="163"/>
    <tableColumn id="31" xr3:uid="{3D63FAA1-0E05-4BEC-9D6B-6D9D19465958}" name="VOR" totalsRowFunction="sum" dataDxfId="162" totalsRowDxfId="161"/>
    <tableColumn id="32" xr3:uid="{00BE2531-4BA9-460D-B922-80C609F07A18}" name="RNAV" totalsRowFunction="sum" dataDxfId="160" totalsRowDxfId="159"/>
    <tableColumn id="33" xr3:uid="{DCC3F16C-616F-41F1-BA39-755856D47AF1}" name="NDB" totalsRowFunction="sum" dataDxfId="158" totalsRowDxfId="157"/>
    <tableColumn id="34" xr3:uid="{19FB5B5C-450E-4FCD-B6AD-F55217E6EEFE}" name="DGA (CDI)" totalsRowFunction="sum" dataDxfId="156" totalsRowDxfId="155"/>
    <tableColumn id="35" xr3:uid="{6D9A8927-28A8-42D9-8C00-39BDAD87B064}" name="DGA (Azi)" totalsRowFunction="sum" dataDxfId="154" totalsRowDxfId="153"/>
    <tableColumn id="36" xr3:uid="{F52CFC91-2462-4865-A135-E24F1A59D2F9}" name="Circling" totalsRowFunction="sum" dataDxfId="152" totalsRowDxfId="151"/>
    <tableColumn id="54" xr3:uid="{FA8413FA-CA54-4EB0-A142-59A7B4A9BE3A}" name="TotalHours" totalsRowFunction="sum" dataDxfId="150" totalsRowDxfId="149">
      <calculatedColumnFormula>SUM(Logbook[[#This Row],[SeIcusDay]:[CopilotNight]])</calculatedColumnFormula>
    </tableColumn>
    <tableColumn id="37" xr3:uid="{6F315B7F-6161-4654-A259-C403C03FD38C}" name="TotalApps" totalsRowFunction="sum" dataDxfId="148" totalsRowDxfId="147">
      <calculatedColumnFormula>SUM(Logbook[[#This Row],[ILS]:[DGA (Azi)]])</calculatedColumnFormula>
    </tableColumn>
    <tableColumn id="59" xr3:uid="{CC19E9C7-9DD0-4C26-9253-C5CF95BF3FF1}" name="FlightReview" dataDxfId="146" totalsRowDxfId="145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calculatedColumnFormula>
    </tableColumn>
    <tableColumn id="38" xr3:uid="{EB70B550-0B85-4E89-BD09-86876B5FA686}" name="IPC" dataDxfId="144" totalsRowDxfId="143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142" totalsRowDxfId="141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140" totalsRowDxfId="13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38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36" totalsRowDxfId="135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4" totalsRowDxfId="133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2" totalsRowDxfId="13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30" totalsRowDxfId="129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28" totalsRowDxfId="127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26" totalsRowDxfId="12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24" totalsRowDxfId="123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22" totalsRowDxfId="121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0" totalsRowDxfId="11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18" totalsRowDxfId="117"/>
    <tableColumn id="50" xr3:uid="{D904A10A-DC61-4EF5-A0A7-8E4E66C716B2}" name="Cum2D" dataDxfId="116" totalsRowDxfId="115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14" totalsRowDxfId="113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12" totalsRowDxfId="11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10" totalsRowDxfId="109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6" dataDxfId="264" headerRowBorderDxfId="265" tableBorderDxfId="263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2"/>
    <tableColumn id="1" xr3:uid="{E612514F-E730-44F3-A950-2114D903D763}" name="Requirement" dataDxfId="261"/>
    <tableColumn id="2" xr3:uid="{338C2481-DDBE-4368-8996-7093D48C30F3}" name="RelevantPeriodTotalSEA" dataDxfId="260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59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58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57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6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5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4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3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2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1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0" dataDxfId="248" headerRowBorderDxfId="249" tableBorderDxfId="247">
  <autoFilter ref="S5:U16" xr:uid="{DEFCE430-3315-4B20-AFA3-D492E529A289}"/>
  <tableColumns count="3">
    <tableColumn id="1" xr3:uid="{F5D0C651-FE9A-480F-A721-1E0A1BB11E45}" name="Metric" dataDxfId="246"/>
    <tableColumn id="2" xr3:uid="{4C506A49-FAB5-49F3-AC5A-65E15BED54EB}" name="Value" dataDxfId="245"/>
    <tableColumn id="3" xr3:uid="{5BBE359D-AAAF-44D6-8AB1-858ECC51E85B}" name="Notes" dataDxfId="244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3" dataDxfId="241" headerRowBorderDxfId="242" tableBorderDxfId="240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39"/>
    <tableColumn id="2" xr3:uid="{D767A1F9-BF22-427B-BE13-44AC18B7D000}" name="Manual Override Date" dataDxfId="238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37" dataDxfId="235" headerRowBorderDxfId="236" tableBorderDxfId="234">
  <autoFilter ref="W5:Y12" xr:uid="{EFF60400-83C3-4718-A8CE-C2EC48F70044}"/>
  <tableColumns count="3">
    <tableColumn id="1" xr3:uid="{C0C03FFC-FAC9-4F0C-A19D-C959BFD19EF6}" name="Flight Review" dataDxfId="233"/>
    <tableColumn id="2" xr3:uid="{CED3A314-0EC8-45B6-816A-7786E084B19C}" name="IPC" dataDxfId="232"/>
    <tableColumn id="3" xr3:uid="{82E50908-DF2E-4B0D-976C-DFDCE32326E4}" name="OPC" dataDxfId="23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08" dataDxfId="107">
  <autoFilter ref="A1:B25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13" t="s">
        <v>5339</v>
      </c>
    </row>
    <row r="2" spans="1:1" x14ac:dyDescent="0.25">
      <c r="A2" s="213"/>
    </row>
    <row r="3" spans="1:1" x14ac:dyDescent="0.25">
      <c r="A3" s="213"/>
    </row>
    <row r="4" spans="1:1" x14ac:dyDescent="0.25">
      <c r="A4" s="213"/>
    </row>
    <row r="5" spans="1:1" x14ac:dyDescent="0.25">
      <c r="A5" s="213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N8" sqref="N8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9.42578125" style="156" bestFit="1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26" t="s">
        <v>46</v>
      </c>
      <c r="C1" s="235" t="s">
        <v>46</v>
      </c>
      <c r="D1" s="215"/>
      <c r="E1" s="224"/>
      <c r="F1" s="214" t="s">
        <v>1</v>
      </c>
      <c r="G1" s="224"/>
      <c r="H1" s="229" t="s">
        <v>2</v>
      </c>
      <c r="I1" s="232" t="s">
        <v>3</v>
      </c>
      <c r="J1" s="229" t="s">
        <v>4</v>
      </c>
      <c r="K1" s="214" t="s">
        <v>5337</v>
      </c>
      <c r="L1" s="215"/>
      <c r="M1" s="215"/>
      <c r="N1" s="224"/>
      <c r="O1" s="221" t="s">
        <v>5</v>
      </c>
      <c r="P1" s="221"/>
      <c r="Q1" s="221"/>
      <c r="R1" s="221"/>
      <c r="S1" s="221"/>
      <c r="T1" s="221"/>
      <c r="U1" s="221" t="s">
        <v>6</v>
      </c>
      <c r="V1" s="221"/>
      <c r="W1" s="221"/>
      <c r="X1" s="221"/>
      <c r="Y1" s="221"/>
      <c r="Z1" s="221"/>
      <c r="AA1" s="214" t="s">
        <v>13</v>
      </c>
      <c r="AB1" s="224"/>
      <c r="AC1" s="221" t="s">
        <v>7</v>
      </c>
      <c r="AD1" s="221"/>
      <c r="AE1" s="221" t="s">
        <v>8</v>
      </c>
      <c r="AF1" s="221"/>
      <c r="AG1" s="214" t="s">
        <v>9</v>
      </c>
      <c r="AH1" s="215"/>
      <c r="AI1" s="215"/>
      <c r="AJ1" s="215"/>
      <c r="AK1" s="215"/>
      <c r="AL1" s="215"/>
      <c r="AM1" s="216"/>
    </row>
    <row r="2" spans="1:39" x14ac:dyDescent="0.25">
      <c r="A2" s="134"/>
      <c r="B2" s="227"/>
      <c r="C2" s="236"/>
      <c r="D2" s="218"/>
      <c r="E2" s="225"/>
      <c r="F2" s="217"/>
      <c r="G2" s="225"/>
      <c r="H2" s="230"/>
      <c r="I2" s="233"/>
      <c r="J2" s="230"/>
      <c r="K2" s="217"/>
      <c r="L2" s="218"/>
      <c r="M2" s="218"/>
      <c r="N2" s="225"/>
      <c r="O2" s="220" t="s">
        <v>10</v>
      </c>
      <c r="P2" s="220"/>
      <c r="Q2" s="220" t="s">
        <v>11</v>
      </c>
      <c r="R2" s="220"/>
      <c r="S2" s="220" t="s">
        <v>12</v>
      </c>
      <c r="T2" s="220"/>
      <c r="U2" s="220" t="s">
        <v>10</v>
      </c>
      <c r="V2" s="220"/>
      <c r="W2" s="220" t="s">
        <v>11</v>
      </c>
      <c r="X2" s="220"/>
      <c r="Y2" s="220" t="s">
        <v>12</v>
      </c>
      <c r="Z2" s="220"/>
      <c r="AA2" s="217"/>
      <c r="AB2" s="225"/>
      <c r="AC2" s="220" t="s">
        <v>14</v>
      </c>
      <c r="AD2" s="220" t="s">
        <v>15</v>
      </c>
      <c r="AE2" s="220"/>
      <c r="AF2" s="220"/>
      <c r="AG2" s="217"/>
      <c r="AH2" s="218"/>
      <c r="AI2" s="218"/>
      <c r="AJ2" s="218"/>
      <c r="AK2" s="218"/>
      <c r="AL2" s="218"/>
      <c r="AM2" s="219"/>
    </row>
    <row r="3" spans="1:39" x14ac:dyDescent="0.25">
      <c r="A3" s="134"/>
      <c r="B3" s="228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31"/>
      <c r="I3" s="234"/>
      <c r="J3" s="231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20"/>
      <c r="AD3" s="220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22" t="s">
        <v>5347</v>
      </c>
      <c r="D6" s="222"/>
      <c r="E6" s="222"/>
      <c r="F6" s="222"/>
      <c r="G6" s="222"/>
      <c r="H6" s="222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23"/>
      <c r="D7" s="223"/>
      <c r="E7" s="223"/>
      <c r="F7" s="223"/>
      <c r="G7" s="223"/>
      <c r="H7" s="223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zoomScaleNormal="100" workbookViewId="0">
      <pane ySplit="4" topLeftCell="A5" activePane="bottomLeft" state="frozen"/>
      <selection pane="bottomLeft" activeCell="AP9" sqref="AP9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9.28515625" style="126" customWidth="1"/>
    <col min="12" max="13" width="9.28515625" style="56" customWidth="1"/>
    <col min="14" max="31" width="6.28515625" style="57" customWidth="1"/>
    <col min="32" max="38" width="9.85546875" style="57" customWidth="1"/>
    <col min="39" max="39" width="15.140625" style="126" customWidth="1"/>
    <col min="40" max="41" width="14.42578125" style="127" customWidth="1"/>
    <col min="42" max="43" width="15.5703125" style="56" customWidth="1"/>
    <col min="44" max="44" width="12.140625" style="56" customWidth="1"/>
    <col min="45" max="45" width="16.140625" style="57" customWidth="1"/>
    <col min="46" max="46" width="17.85546875" style="57" customWidth="1"/>
    <col min="47" max="47" width="7.42578125" style="57" customWidth="1"/>
    <col min="48" max="48" width="8.85546875" style="57" customWidth="1"/>
    <col min="49" max="49" width="10.140625" style="57" customWidth="1"/>
    <col min="50" max="50" width="8.85546875" style="57" customWidth="1"/>
    <col min="51" max="51" width="11.140625" style="57" customWidth="1"/>
    <col min="52" max="52" width="11" style="57" customWidth="1"/>
    <col min="53" max="53" width="8.28515625" style="57" customWidth="1"/>
    <col min="54" max="54" width="14" style="57" customWidth="1"/>
    <col min="55" max="55" width="14.7109375" style="57" customWidth="1"/>
    <col min="56" max="57" width="7.42578125" style="57" customWidth="1"/>
    <col min="58" max="58" width="8" style="56" customWidth="1"/>
    <col min="59" max="59" width="8.42578125" style="57" customWidth="1"/>
    <col min="60" max="60" width="3" style="57" customWidth="1"/>
    <col min="61" max="16384" width="9.140625" style="57" hidden="1"/>
  </cols>
  <sheetData>
    <row r="1" spans="1:59" ht="15" customHeight="1" x14ac:dyDescent="0.25">
      <c r="A1" s="258" t="s">
        <v>46</v>
      </c>
      <c r="B1" s="258"/>
      <c r="C1" s="258"/>
      <c r="D1" s="259"/>
      <c r="E1" s="249" t="s">
        <v>1</v>
      </c>
      <c r="F1" s="251"/>
      <c r="G1" s="249" t="s">
        <v>82</v>
      </c>
      <c r="H1" s="251"/>
      <c r="I1" s="246" t="s">
        <v>83</v>
      </c>
      <c r="J1" s="249" t="s">
        <v>5337</v>
      </c>
      <c r="K1" s="250"/>
      <c r="L1" s="250"/>
      <c r="M1" s="251"/>
      <c r="N1" s="245" t="s">
        <v>5</v>
      </c>
      <c r="O1" s="245"/>
      <c r="P1" s="245"/>
      <c r="Q1" s="245"/>
      <c r="R1" s="245"/>
      <c r="S1" s="245"/>
      <c r="T1" s="245" t="s">
        <v>6</v>
      </c>
      <c r="U1" s="245"/>
      <c r="V1" s="245"/>
      <c r="W1" s="245"/>
      <c r="X1" s="245"/>
      <c r="Y1" s="245"/>
      <c r="Z1" s="249" t="s">
        <v>13</v>
      </c>
      <c r="AA1" s="251"/>
      <c r="AB1" s="245" t="s">
        <v>7</v>
      </c>
      <c r="AC1" s="245"/>
      <c r="AD1" s="245" t="s">
        <v>8</v>
      </c>
      <c r="AE1" s="245"/>
      <c r="AF1" s="249" t="s">
        <v>9</v>
      </c>
      <c r="AG1" s="250"/>
      <c r="AH1" s="250"/>
      <c r="AI1" s="250"/>
      <c r="AJ1" s="250"/>
      <c r="AK1" s="250"/>
      <c r="AL1" s="251"/>
      <c r="AM1" s="241" t="s">
        <v>85</v>
      </c>
      <c r="AN1" s="242"/>
      <c r="AO1" s="238" t="s">
        <v>5394</v>
      </c>
      <c r="AP1" s="239"/>
      <c r="AQ1" s="240"/>
      <c r="AS1" s="264" t="s">
        <v>34</v>
      </c>
      <c r="AT1" s="265"/>
      <c r="AU1" s="265"/>
      <c r="AV1" s="265"/>
      <c r="AW1" s="265"/>
      <c r="AX1" s="265"/>
      <c r="AY1" s="265"/>
      <c r="AZ1" s="265"/>
      <c r="BA1" s="265"/>
      <c r="BB1" s="265"/>
      <c r="BC1" s="265"/>
      <c r="BD1" s="265"/>
      <c r="BE1" s="265"/>
      <c r="BF1" s="265"/>
      <c r="BG1" s="266"/>
    </row>
    <row r="2" spans="1:59" x14ac:dyDescent="0.25">
      <c r="A2" s="258"/>
      <c r="B2" s="258"/>
      <c r="C2" s="258"/>
      <c r="D2" s="259"/>
      <c r="E2" s="252"/>
      <c r="F2" s="254"/>
      <c r="G2" s="252"/>
      <c r="H2" s="254"/>
      <c r="I2" s="262"/>
      <c r="J2" s="252"/>
      <c r="K2" s="253"/>
      <c r="L2" s="253"/>
      <c r="M2" s="254"/>
      <c r="N2" s="245" t="s">
        <v>10</v>
      </c>
      <c r="O2" s="245"/>
      <c r="P2" s="245" t="s">
        <v>11</v>
      </c>
      <c r="Q2" s="245"/>
      <c r="R2" s="245" t="s">
        <v>12</v>
      </c>
      <c r="S2" s="245"/>
      <c r="T2" s="245" t="s">
        <v>10</v>
      </c>
      <c r="U2" s="245"/>
      <c r="V2" s="245" t="s">
        <v>11</v>
      </c>
      <c r="W2" s="245"/>
      <c r="X2" s="245" t="s">
        <v>12</v>
      </c>
      <c r="Y2" s="245"/>
      <c r="Z2" s="255"/>
      <c r="AA2" s="257"/>
      <c r="AB2" s="245" t="s">
        <v>14</v>
      </c>
      <c r="AC2" s="245" t="s">
        <v>15</v>
      </c>
      <c r="AD2" s="245"/>
      <c r="AE2" s="245"/>
      <c r="AF2" s="255"/>
      <c r="AG2" s="256"/>
      <c r="AH2" s="256"/>
      <c r="AI2" s="256"/>
      <c r="AJ2" s="256"/>
      <c r="AK2" s="256"/>
      <c r="AL2" s="257"/>
      <c r="AM2" s="243"/>
      <c r="AN2" s="244"/>
      <c r="AO2" s="237" t="s">
        <v>5382</v>
      </c>
      <c r="AP2" s="247" t="s">
        <v>33</v>
      </c>
      <c r="AQ2" s="248" t="s">
        <v>5359</v>
      </c>
      <c r="AS2" s="264" t="s">
        <v>8</v>
      </c>
      <c r="AT2" s="266"/>
      <c r="AU2" s="264" t="s">
        <v>9</v>
      </c>
      <c r="AV2" s="265"/>
      <c r="AW2" s="265"/>
      <c r="AX2" s="265"/>
      <c r="AY2" s="265"/>
      <c r="AZ2" s="265"/>
      <c r="BA2" s="266"/>
      <c r="BB2" s="267" t="s">
        <v>85</v>
      </c>
      <c r="BC2" s="268"/>
      <c r="BD2" s="271" t="s">
        <v>35</v>
      </c>
      <c r="BE2" s="271" t="s">
        <v>36</v>
      </c>
      <c r="BF2" s="271" t="s">
        <v>37</v>
      </c>
      <c r="BG2" s="263" t="s">
        <v>38</v>
      </c>
    </row>
    <row r="3" spans="1:59" ht="15" customHeight="1" x14ac:dyDescent="0.25">
      <c r="A3" s="60" t="s">
        <v>5326</v>
      </c>
      <c r="B3" s="260" t="s">
        <v>5327</v>
      </c>
      <c r="C3" s="260"/>
      <c r="D3" s="261"/>
      <c r="E3" s="252"/>
      <c r="F3" s="254"/>
      <c r="G3" s="252"/>
      <c r="H3" s="254"/>
      <c r="I3" s="262"/>
      <c r="J3" s="255"/>
      <c r="K3" s="256"/>
      <c r="L3" s="256"/>
      <c r="M3" s="257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46"/>
      <c r="AC3" s="246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43"/>
      <c r="AN3" s="244"/>
      <c r="AO3" s="237"/>
      <c r="AP3" s="247"/>
      <c r="AQ3" s="248"/>
      <c r="AS3" s="20" t="s">
        <v>17</v>
      </c>
      <c r="AT3" s="20" t="s">
        <v>20</v>
      </c>
      <c r="AU3" s="20" t="s">
        <v>21</v>
      </c>
      <c r="AV3" s="20" t="s">
        <v>22</v>
      </c>
      <c r="AW3" s="20" t="s">
        <v>23</v>
      </c>
      <c r="AX3" s="20" t="s">
        <v>24</v>
      </c>
      <c r="AY3" s="20" t="s">
        <v>25</v>
      </c>
      <c r="AZ3" s="20" t="s">
        <v>26</v>
      </c>
      <c r="BA3" s="20" t="s">
        <v>27</v>
      </c>
      <c r="BB3" s="269"/>
      <c r="BC3" s="270"/>
      <c r="BD3" s="271"/>
      <c r="BE3" s="271"/>
      <c r="BF3" s="271"/>
      <c r="BG3" s="263"/>
    </row>
    <row r="4" spans="1:59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5301</v>
      </c>
      <c r="AS4" s="74" t="s">
        <v>65</v>
      </c>
      <c r="AT4" s="74" t="s">
        <v>66</v>
      </c>
      <c r="AU4" s="74" t="s">
        <v>67</v>
      </c>
      <c r="AV4" s="74" t="s">
        <v>68</v>
      </c>
      <c r="AW4" s="74" t="s">
        <v>69</v>
      </c>
      <c r="AX4" s="74" t="s">
        <v>70</v>
      </c>
      <c r="AY4" s="74" t="s">
        <v>71</v>
      </c>
      <c r="AZ4" s="74" t="s">
        <v>72</v>
      </c>
      <c r="BA4" s="74" t="s">
        <v>73</v>
      </c>
      <c r="BB4" s="75" t="s">
        <v>74</v>
      </c>
      <c r="BC4" s="76" t="s">
        <v>102</v>
      </c>
      <c r="BD4" s="77" t="s">
        <v>75</v>
      </c>
      <c r="BE4" s="76" t="s">
        <v>76</v>
      </c>
      <c r="BF4" s="76" t="s">
        <v>77</v>
      </c>
      <c r="BG4" s="78" t="s">
        <v>78</v>
      </c>
    </row>
    <row r="5" spans="1:59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90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5" s="90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90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90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91" cm="1">
        <f t="array" aca="1" ref="AS5" ca="1">IF(ROW()=MAX(ROW(Logbook[LandingsDay])), Logbook[[#This Row],[LandingsDay]], Logbook[[#This Row],[LandingsDay]] + OFFSET(INDIRECT(ADDRESS(ROW(),COLUMN())),1,0))</f>
        <v>0</v>
      </c>
      <c r="AT5" s="91" cm="1">
        <f t="array" aca="1" ref="AT5" ca="1">IF(ROW()=MAX(ROW(Logbook[LandingsNight])), Logbook[[#This Row],[LandingsNight]], Logbook[[#This Row],[LandingsNight]] + OFFSET(INDIRECT(ADDRESS(ROW(),COLUMN())),1,0))</f>
        <v>0</v>
      </c>
      <c r="AU5" s="91" cm="1">
        <f t="array" aca="1" ref="AU5" ca="1">IF(ROW()=MAX(ROW(Logbook[ILS])), Logbook[[#This Row],[ILS]], Logbook[[#This Row],[ILS]] + OFFSET(INDIRECT(ADDRESS(ROW(),COLUMN())),1,0))</f>
        <v>0</v>
      </c>
      <c r="AV5" s="91" cm="1">
        <f t="array" aca="1" ref="AV5" ca="1">IF(ROW()=MAX(ROW(Logbook[VOR])), Logbook[[#This Row],[VOR]], Logbook[[#This Row],[VOR]] + OFFSET(INDIRECT(ADDRESS(ROW(),COLUMN())),1,0))</f>
        <v>0</v>
      </c>
      <c r="AW5" s="91" cm="1">
        <f t="array" aca="1" ref="AW5" ca="1">IF(ROW()=MAX(ROW(Logbook[RNAV])), Logbook[[#This Row],[RNAV]], Logbook[[#This Row],[RNAV]] + OFFSET(INDIRECT(ADDRESS(ROW(),COLUMN())),1,0))</f>
        <v>0</v>
      </c>
      <c r="AX5" s="91" cm="1">
        <f t="array" aca="1" ref="AX5" ca="1">IF(ROW()=MAX(ROW(Logbook[NDB])), Logbook[[#This Row],[NDB]], Logbook[[#This Row],[NDB]] + OFFSET(INDIRECT(ADDRESS(ROW(),COLUMN())),1,0))</f>
        <v>0</v>
      </c>
      <c r="AY5" s="91" cm="1">
        <f t="array" aca="1" ref="AY5" ca="1">IF(ROW()=MAX(ROW(Logbook[DGA (CDI)])), Logbook[[#This Row],[DGA (CDI)]], Logbook[[#This Row],[DGA (CDI)]] + OFFSET(INDIRECT(ADDRESS(ROW(),COLUMN())),1,0))</f>
        <v>0</v>
      </c>
      <c r="AZ5" s="91" cm="1">
        <f t="array" aca="1" ref="AZ5" ca="1">IF(ROW()=MAX(ROW(Logbook[DGA (Azi)])), Logbook[[#This Row],[DGA (Azi)]], Logbook[[#This Row],[DGA (Azi)]] + OFFSET(INDIRECT(ADDRESS(ROW(),COLUMN())),1,0))</f>
        <v>0</v>
      </c>
      <c r="BA5" s="91" cm="1">
        <f t="array" aca="1" ref="BA5" ca="1">IF(ROW()=MAX(ROW(Logbook[Circling])), Logbook[[#This Row],[Circling]], Logbook[[#This Row],[Circling]] + OFFSET(INDIRECT(ADDRESS(ROW(),COLUMN())),1,0))</f>
        <v>0</v>
      </c>
      <c r="BB5" s="91" cm="1">
        <f t="array" aca="1" ref="BB5" ca="1">IF(ROW()=MAX(ROW(Logbook[TotalApps])), Logbook[[#This Row],[TotalApps]], Logbook[[#This Row],[TotalApps]] + OFFSET(INDIRECT(ADDRESS(ROW(),COLUMN())),1,0))</f>
        <v>0</v>
      </c>
      <c r="BC5" s="92">
        <f>SUM(INDEX(Logbook[TotalHours],1):Logbook[[#This Row],[TotalHours]])</f>
        <v>0</v>
      </c>
      <c r="BD5" s="93" cm="1">
        <f t="array" aca="1" ref="BD5" ca="1">IF(ROW()=MAX(ROW(Logbook[VOR])), SUM(Logbook[[#This Row],[VOR]:[DGA (Azi)]]), SUM(Logbook[[#This Row],[VOR]:[DGA (Azi)]]) + OFFSET(INDIRECT(ADDRESS(ROW(),COLUMN())),1,0))</f>
        <v>0</v>
      </c>
      <c r="BE5" s="91" cm="1">
        <f t="array" aca="1" ref="BE5" ca="1">IF(ROW()=MAX(ROW(Logbook[ILS])), Logbook[[#This Row],[ILS]], Logbook[[#This Row],[ILS]] + OFFSET(INDIRECT(ADDRESS(ROW(),COLUMN())),1,0))</f>
        <v>0</v>
      </c>
      <c r="BF5" s="93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94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90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6" s="90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90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90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91" cm="1">
        <f t="array" aca="1" ref="AS6" ca="1">IF(ROW()=MAX(ROW(Logbook[LandingsDay])), Logbook[[#This Row],[LandingsDay]], Logbook[[#This Row],[LandingsDay]] + OFFSET(INDIRECT(ADDRESS(ROW(),COLUMN())),1,0))</f>
        <v>0</v>
      </c>
      <c r="AT6" s="91" cm="1">
        <f t="array" aca="1" ref="AT6" ca="1">IF(ROW()=MAX(ROW(Logbook[LandingsNight])), Logbook[[#This Row],[LandingsNight]], Logbook[[#This Row],[LandingsNight]] + OFFSET(INDIRECT(ADDRESS(ROW(),COLUMN())),1,0))</f>
        <v>0</v>
      </c>
      <c r="AU6" s="91" cm="1">
        <f t="array" aca="1" ref="AU6" ca="1">IF(ROW()=MAX(ROW(Logbook[ILS])), Logbook[[#This Row],[ILS]], Logbook[[#This Row],[ILS]] + OFFSET(INDIRECT(ADDRESS(ROW(),COLUMN())),1,0))</f>
        <v>0</v>
      </c>
      <c r="AV6" s="91" cm="1">
        <f t="array" aca="1" ref="AV6" ca="1">IF(ROW()=MAX(ROW(Logbook[VOR])), Logbook[[#This Row],[VOR]], Logbook[[#This Row],[VOR]] + OFFSET(INDIRECT(ADDRESS(ROW(),COLUMN())),1,0))</f>
        <v>0</v>
      </c>
      <c r="AW6" s="91" cm="1">
        <f t="array" aca="1" ref="AW6" ca="1">IF(ROW()=MAX(ROW(Logbook[RNAV])), Logbook[[#This Row],[RNAV]], Logbook[[#This Row],[RNAV]] + OFFSET(INDIRECT(ADDRESS(ROW(),COLUMN())),1,0))</f>
        <v>0</v>
      </c>
      <c r="AX6" s="91" cm="1">
        <f t="array" aca="1" ref="AX6" ca="1">IF(ROW()=MAX(ROW(Logbook[NDB])), Logbook[[#This Row],[NDB]], Logbook[[#This Row],[NDB]] + OFFSET(INDIRECT(ADDRESS(ROW(),COLUMN())),1,0))</f>
        <v>0</v>
      </c>
      <c r="AY6" s="91" cm="1">
        <f t="array" aca="1" ref="AY6" ca="1">IF(ROW()=MAX(ROW(Logbook[DGA (CDI)])), Logbook[[#This Row],[DGA (CDI)]], Logbook[[#This Row],[DGA (CDI)]] + OFFSET(INDIRECT(ADDRESS(ROW(),COLUMN())),1,0))</f>
        <v>0</v>
      </c>
      <c r="AZ6" s="91" cm="1">
        <f t="array" aca="1" ref="AZ6" ca="1">IF(ROW()=MAX(ROW(Logbook[DGA (Azi)])), Logbook[[#This Row],[DGA (Azi)]], Logbook[[#This Row],[DGA (Azi)]] + OFFSET(INDIRECT(ADDRESS(ROW(),COLUMN())),1,0))</f>
        <v>0</v>
      </c>
      <c r="BA6" s="91" cm="1">
        <f t="array" aca="1" ref="BA6" ca="1">IF(ROW()=MAX(ROW(Logbook[Circling])), Logbook[[#This Row],[Circling]], Logbook[[#This Row],[Circling]] + OFFSET(INDIRECT(ADDRESS(ROW(),COLUMN())),1,0))</f>
        <v>0</v>
      </c>
      <c r="BB6" s="91" cm="1">
        <f t="array" aca="1" ref="BB6" ca="1">IF(ROW()=MAX(ROW(Logbook[TotalApps])), Logbook[[#This Row],[TotalApps]], Logbook[[#This Row],[TotalApps]] + OFFSET(INDIRECT(ADDRESS(ROW(),COLUMN())),1,0))</f>
        <v>0</v>
      </c>
      <c r="BC6" s="92">
        <f>SUM(INDEX(Logbook[TotalHours],1):Logbook[[#This Row],[TotalHours]])</f>
        <v>0</v>
      </c>
      <c r="BD6" s="93" cm="1">
        <f t="array" aca="1" ref="BD6" ca="1">IF(ROW()=MAX(ROW(Logbook[VOR])), SUM(Logbook[[#This Row],[VOR]:[DGA (Azi)]]), SUM(Logbook[[#This Row],[VOR]:[DGA (Azi)]]) + OFFSET(INDIRECT(ADDRESS(ROW(),COLUMN())),1,0))</f>
        <v>0</v>
      </c>
      <c r="BE6" s="91" cm="1">
        <f t="array" aca="1" ref="BE6" ca="1">IF(ROW()=MAX(ROW(Logbook[ILS])), Logbook[[#This Row],[ILS]], Logbook[[#This Row],[ILS]] + OFFSET(INDIRECT(ADDRESS(ROW(),COLUMN())),1,0))</f>
        <v>0</v>
      </c>
      <c r="BF6" s="93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94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4"/>
      <c r="AT7" s="114"/>
      <c r="AU7" s="114"/>
      <c r="AV7" s="114"/>
      <c r="AW7" s="114"/>
      <c r="AX7" s="114"/>
      <c r="AY7" s="114"/>
      <c r="AZ7" s="114"/>
      <c r="BA7" s="114"/>
      <c r="BB7" s="113"/>
      <c r="BC7" s="114"/>
      <c r="BD7" s="114"/>
      <c r="BE7" s="114"/>
      <c r="BF7" s="114"/>
      <c r="BG7" s="115"/>
    </row>
    <row r="8" spans="1:59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59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59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59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59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59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59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59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59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3">
    <mergeCell ref="BG2:BG3"/>
    <mergeCell ref="AS1:BG1"/>
    <mergeCell ref="AS2:AT2"/>
    <mergeCell ref="AU2:BA2"/>
    <mergeCell ref="BB2:BC3"/>
    <mergeCell ref="BD2:BD3"/>
    <mergeCell ref="BE2:BE3"/>
    <mergeCell ref="BF2:BF3"/>
    <mergeCell ref="A1:D2"/>
    <mergeCell ref="B3:D3"/>
    <mergeCell ref="E1:F3"/>
    <mergeCell ref="G1:H3"/>
    <mergeCell ref="I1:I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M11" sqref="M11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06" t="s">
        <v>5406</v>
      </c>
      <c r="F2" s="207"/>
      <c r="G2" s="208"/>
      <c r="H2" s="209"/>
      <c r="I2" s="3"/>
      <c r="J2" s="210" t="s">
        <v>5407</v>
      </c>
      <c r="K2" s="211"/>
      <c r="L2" s="211"/>
      <c r="M2" s="211"/>
      <c r="N2" s="212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04" t="s">
        <v>5381</v>
      </c>
      <c r="C5" s="22" t="s">
        <v>5383</v>
      </c>
      <c r="D5" s="21" t="s">
        <v>5382</v>
      </c>
      <c r="E5" s="23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05"/>
      <c r="C6" s="34" t="s">
        <v>5386</v>
      </c>
      <c r="D6" s="33" t="s">
        <v>33</v>
      </c>
      <c r="E6" s="35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f ca="1">TODAY()</f>
        <v>46185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02" t="s">
        <v>39</v>
      </c>
      <c r="C7" s="43" t="s">
        <v>5384</v>
      </c>
      <c r="D7" s="42" t="s">
        <v>17</v>
      </c>
      <c r="E7" s="44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02"/>
      <c r="C8" s="43" t="s">
        <v>5385</v>
      </c>
      <c r="D8" s="42" t="s">
        <v>20</v>
      </c>
      <c r="E8" s="44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01" t="s">
        <v>40</v>
      </c>
      <c r="C9" s="22" t="s">
        <v>5387</v>
      </c>
      <c r="D9" s="21" t="s">
        <v>41</v>
      </c>
      <c r="E9" s="23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02"/>
      <c r="C10" s="43" t="s">
        <v>5388</v>
      </c>
      <c r="D10" s="42" t="s">
        <v>42</v>
      </c>
      <c r="E10" s="44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03"/>
      <c r="C11" s="34">
        <v>61.875</v>
      </c>
      <c r="D11" s="33" t="s">
        <v>43</v>
      </c>
      <c r="E11" s="35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01" t="s">
        <v>9</v>
      </c>
      <c r="C12" s="22" t="s">
        <v>5389</v>
      </c>
      <c r="D12" s="21" t="s">
        <v>21</v>
      </c>
      <c r="E12" s="23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02"/>
      <c r="C13" s="43" t="s">
        <v>5390</v>
      </c>
      <c r="D13" s="42" t="s">
        <v>22</v>
      </c>
      <c r="E13" s="44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02"/>
      <c r="C14" s="43" t="s">
        <v>5390</v>
      </c>
      <c r="D14" s="42" t="s">
        <v>23</v>
      </c>
      <c r="E14" s="44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02"/>
      <c r="C15" s="43" t="s">
        <v>5391</v>
      </c>
      <c r="D15" s="42" t="s">
        <v>24</v>
      </c>
      <c r="E15" s="44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02"/>
      <c r="C16" s="43" t="s">
        <v>5390</v>
      </c>
      <c r="D16" s="42" t="s">
        <v>25</v>
      </c>
      <c r="E16" s="44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02"/>
      <c r="C17" s="43" t="s">
        <v>5391</v>
      </c>
      <c r="D17" s="42" t="s">
        <v>26</v>
      </c>
      <c r="E17" s="44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03"/>
      <c r="C18" s="34" t="s">
        <v>5392</v>
      </c>
      <c r="D18" s="33" t="s">
        <v>27</v>
      </c>
      <c r="E18" s="35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2" priority="1">
      <formula>CF_DaysRemainingSEA=0</formula>
    </cfRule>
  </conditionalFormatting>
  <conditionalFormatting sqref="F5:F18">
    <cfRule type="expression" dxfId="271" priority="2">
      <formula>AND(CF_DaysRemainingSEA&gt;=1,CF_DaysRemainingSEA&lt;=30)</formula>
    </cfRule>
  </conditionalFormatting>
  <conditionalFormatting sqref="F5:F18">
    <cfRule type="expression" dxfId="270" priority="3">
      <formula>CF_DaysRemainingSEA&gt;30</formula>
    </cfRule>
  </conditionalFormatting>
  <conditionalFormatting sqref="K5:K18">
    <cfRule type="expression" dxfId="269" priority="4">
      <formula>CF_DaysRemainingMEA=0</formula>
    </cfRule>
  </conditionalFormatting>
  <conditionalFormatting sqref="K5:K18">
    <cfRule type="expression" dxfId="268" priority="5">
      <formula>AND(CF_DaysRemainingMEA&gt;=1,CF_DaysRemainingMEA&lt;=30)</formula>
    </cfRule>
  </conditionalFormatting>
  <conditionalFormatting sqref="K5:K18">
    <cfRule type="expression" dxfId="267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72" t="s">
        <v>5318</v>
      </c>
      <c r="C1" s="272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3" t="s">
        <v>5322</v>
      </c>
      <c r="C3" s="273"/>
    </row>
    <row r="4" spans="1:3" ht="39.950000000000003" customHeight="1" x14ac:dyDescent="0.25">
      <c r="A4" s="175" t="s">
        <v>5320</v>
      </c>
      <c r="B4" s="272" t="s">
        <v>5323</v>
      </c>
      <c r="C4" s="272"/>
    </row>
    <row r="5" spans="1:3" ht="39.950000000000003" customHeight="1" x14ac:dyDescent="0.25">
      <c r="A5" s="175" t="s">
        <v>5321</v>
      </c>
      <c r="B5" s="272" t="s">
        <v>5324</v>
      </c>
      <c r="C5" s="27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ca="1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ca="1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ca="1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ca="1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ca="1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ca="1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ca="1" si="0"/>
        <v>1994</v>
      </c>
      <c r="AE19" s="189" t="s">
        <v>4277</v>
      </c>
      <c r="AF19" s="1">
        <v>0</v>
      </c>
    </row>
    <row r="20" spans="1:32" x14ac:dyDescent="0.25">
      <c r="A20" s="1">
        <f t="shared" ca="1" si="0"/>
        <v>1995</v>
      </c>
      <c r="AE20" s="189" t="s">
        <v>5193</v>
      </c>
      <c r="AF20" s="1">
        <v>0</v>
      </c>
    </row>
    <row r="21" spans="1:32" x14ac:dyDescent="0.25">
      <c r="A21" s="1">
        <f t="shared" ca="1" si="0"/>
        <v>1996</v>
      </c>
      <c r="AE21" s="189" t="s">
        <v>4281</v>
      </c>
      <c r="AF21" s="1">
        <v>0</v>
      </c>
    </row>
    <row r="22" spans="1:32" x14ac:dyDescent="0.25">
      <c r="A22" s="1">
        <f t="shared" ca="1" si="0"/>
        <v>1997</v>
      </c>
      <c r="AE22" s="189" t="s">
        <v>4455</v>
      </c>
      <c r="AF22" s="1">
        <v>0</v>
      </c>
    </row>
    <row r="23" spans="1:32" x14ac:dyDescent="0.25">
      <c r="A23" s="1">
        <f t="shared" ca="1" si="0"/>
        <v>1998</v>
      </c>
      <c r="AE23" s="189" t="s">
        <v>3354</v>
      </c>
      <c r="AF23" s="1">
        <v>0</v>
      </c>
    </row>
    <row r="24" spans="1:32" x14ac:dyDescent="0.25">
      <c r="A24" s="1">
        <f t="shared" ca="1" si="0"/>
        <v>1999</v>
      </c>
      <c r="AE24" s="189" t="s">
        <v>4447</v>
      </c>
      <c r="AF24" s="1">
        <v>0</v>
      </c>
    </row>
    <row r="25" spans="1:32" x14ac:dyDescent="0.25">
      <c r="A25" s="1">
        <f t="shared" ca="1" si="0"/>
        <v>2000</v>
      </c>
      <c r="AE25" s="189" t="s">
        <v>4313</v>
      </c>
      <c r="AF25" s="1">
        <v>0</v>
      </c>
    </row>
    <row r="26" spans="1:32" x14ac:dyDescent="0.25">
      <c r="A26" s="1">
        <f t="shared" ca="1" si="0"/>
        <v>2001</v>
      </c>
      <c r="AE26" s="189" t="s">
        <v>5251</v>
      </c>
      <c r="AF26" s="1">
        <v>0</v>
      </c>
    </row>
    <row r="27" spans="1:32" x14ac:dyDescent="0.25">
      <c r="A27" s="1">
        <f t="shared" ca="1" si="0"/>
        <v>2002</v>
      </c>
      <c r="AE27" s="189" t="s">
        <v>137</v>
      </c>
      <c r="AF27" s="1">
        <v>0</v>
      </c>
    </row>
    <row r="28" spans="1:32" x14ac:dyDescent="0.25">
      <c r="A28" s="1">
        <f t="shared" ca="1" si="0"/>
        <v>2003</v>
      </c>
      <c r="AE28" s="189" t="s">
        <v>5287</v>
      </c>
      <c r="AF28" s="1">
        <v>0</v>
      </c>
    </row>
    <row r="29" spans="1:32" x14ac:dyDescent="0.25">
      <c r="A29" s="1">
        <f t="shared" ca="1" si="0"/>
        <v>2004</v>
      </c>
      <c r="AE29" s="189" t="s">
        <v>4279</v>
      </c>
      <c r="AF29" s="1">
        <v>0</v>
      </c>
    </row>
    <row r="30" spans="1:32" x14ac:dyDescent="0.25">
      <c r="A30" s="1">
        <f t="shared" ca="1" si="0"/>
        <v>2005</v>
      </c>
      <c r="AE30" s="189" t="s">
        <v>5221</v>
      </c>
      <c r="AF30" s="1">
        <v>0</v>
      </c>
    </row>
    <row r="31" spans="1:32" x14ac:dyDescent="0.25">
      <c r="A31" s="1">
        <f t="shared" ca="1" si="0"/>
        <v>2006</v>
      </c>
      <c r="AE31" s="189" t="s">
        <v>4317</v>
      </c>
      <c r="AF31" s="1">
        <v>0</v>
      </c>
    </row>
    <row r="32" spans="1:32" x14ac:dyDescent="0.25">
      <c r="A32" s="1">
        <f t="shared" ca="1" si="0"/>
        <v>2007</v>
      </c>
      <c r="AE32" s="189" t="s">
        <v>4525</v>
      </c>
      <c r="AF32" s="1">
        <v>0</v>
      </c>
    </row>
    <row r="33" spans="1:32" x14ac:dyDescent="0.25">
      <c r="A33" s="1">
        <f t="shared" ca="1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189" t="s">
        <v>4507</v>
      </c>
      <c r="AF34" s="1">
        <v>0</v>
      </c>
    </row>
    <row r="35" spans="1:32" x14ac:dyDescent="0.25">
      <c r="A35" s="1">
        <f t="shared" ca="1" si="1"/>
        <v>2010</v>
      </c>
      <c r="AE35" s="189" t="s">
        <v>4327</v>
      </c>
      <c r="AF35" s="1">
        <v>0</v>
      </c>
    </row>
    <row r="36" spans="1:32" x14ac:dyDescent="0.25">
      <c r="A36" s="1">
        <f t="shared" ca="1" si="1"/>
        <v>2011</v>
      </c>
      <c r="AE36" s="189" t="s">
        <v>4437</v>
      </c>
      <c r="AF36" s="1">
        <v>0</v>
      </c>
    </row>
    <row r="37" spans="1:32" x14ac:dyDescent="0.25">
      <c r="A37" s="1">
        <f t="shared" ca="1" si="1"/>
        <v>2012</v>
      </c>
      <c r="AE37" s="189" t="s">
        <v>4335</v>
      </c>
      <c r="AF37" s="1">
        <v>0</v>
      </c>
    </row>
    <row r="38" spans="1:32" x14ac:dyDescent="0.25">
      <c r="A38" s="1">
        <f t="shared" ca="1" si="1"/>
        <v>2013</v>
      </c>
      <c r="AE38" s="189" t="s">
        <v>4497</v>
      </c>
      <c r="AF38" s="1">
        <v>0</v>
      </c>
    </row>
    <row r="39" spans="1:32" x14ac:dyDescent="0.25">
      <c r="A39" s="1">
        <f t="shared" ca="1" si="1"/>
        <v>2014</v>
      </c>
      <c r="AE39" s="189" t="s">
        <v>4337</v>
      </c>
      <c r="AF39" s="1">
        <v>0</v>
      </c>
    </row>
    <row r="40" spans="1:32" x14ac:dyDescent="0.25">
      <c r="A40" s="1">
        <f t="shared" ca="1" si="1"/>
        <v>2015</v>
      </c>
      <c r="AE40" s="189" t="s">
        <v>4651</v>
      </c>
      <c r="AF40" s="1">
        <v>0</v>
      </c>
    </row>
    <row r="41" spans="1:32" x14ac:dyDescent="0.25">
      <c r="A41" s="1">
        <f t="shared" ca="1" si="1"/>
        <v>2016</v>
      </c>
      <c r="AE41" s="189" t="s">
        <v>4371</v>
      </c>
      <c r="AF41" s="1">
        <v>0</v>
      </c>
    </row>
    <row r="42" spans="1:32" x14ac:dyDescent="0.25">
      <c r="A42" s="1">
        <f t="shared" ca="1" si="1"/>
        <v>2017</v>
      </c>
      <c r="AE42" s="189" t="s">
        <v>5197</v>
      </c>
      <c r="AF42" s="1">
        <v>0</v>
      </c>
    </row>
    <row r="43" spans="1:32" x14ac:dyDescent="0.25">
      <c r="A43" s="1">
        <f t="shared" ca="1" si="1"/>
        <v>2018</v>
      </c>
      <c r="AE43" s="189" t="s">
        <v>4345</v>
      </c>
      <c r="AF43" s="1">
        <v>0</v>
      </c>
    </row>
    <row r="44" spans="1:32" x14ac:dyDescent="0.25">
      <c r="A44" s="1">
        <f t="shared" ca="1" si="1"/>
        <v>2019</v>
      </c>
      <c r="AE44" s="189" t="s">
        <v>4519</v>
      </c>
      <c r="AF44" s="1">
        <v>0</v>
      </c>
    </row>
    <row r="45" spans="1:32" x14ac:dyDescent="0.25">
      <c r="A45" s="1">
        <f t="shared" ca="1" si="1"/>
        <v>2020</v>
      </c>
      <c r="AE45" s="189" t="s">
        <v>4357</v>
      </c>
      <c r="AF45" s="1">
        <v>0</v>
      </c>
    </row>
    <row r="46" spans="1:32" x14ac:dyDescent="0.25">
      <c r="A46" s="1">
        <f t="shared" ca="1" si="1"/>
        <v>2021</v>
      </c>
      <c r="AE46" s="189" t="s">
        <v>4539</v>
      </c>
      <c r="AF46" s="1">
        <v>0</v>
      </c>
    </row>
    <row r="47" spans="1:32" x14ac:dyDescent="0.25">
      <c r="A47" s="1">
        <f t="shared" ca="1" si="1"/>
        <v>2022</v>
      </c>
      <c r="AE47" s="189" t="s">
        <v>4373</v>
      </c>
      <c r="AF47" s="1">
        <v>0</v>
      </c>
    </row>
    <row r="48" spans="1:32" x14ac:dyDescent="0.25">
      <c r="A48" s="1">
        <f t="shared" ca="1" si="1"/>
        <v>2023</v>
      </c>
      <c r="AE48" s="189" t="s">
        <v>4515</v>
      </c>
      <c r="AF48" s="1">
        <v>0</v>
      </c>
    </row>
    <row r="49" spans="1:32" x14ac:dyDescent="0.25">
      <c r="A49" s="1">
        <f t="shared" ca="1" si="1"/>
        <v>2024</v>
      </c>
      <c r="AE49" s="189" t="s">
        <v>4361</v>
      </c>
      <c r="AF49" s="1">
        <v>0</v>
      </c>
    </row>
    <row r="50" spans="1:32" x14ac:dyDescent="0.25">
      <c r="A50" s="1">
        <f t="shared" ca="1" si="1"/>
        <v>2025</v>
      </c>
      <c r="AE50" s="189" t="s">
        <v>4670</v>
      </c>
      <c r="AF50" s="1">
        <v>0</v>
      </c>
    </row>
    <row r="51" spans="1:32" x14ac:dyDescent="0.25">
      <c r="A51" s="1">
        <f ca="1"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FE3D1AB-2A87-4EE1-931C-1EA693512D85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C7B5702-B2CB-448A-AD9A-15DC2812997C}">
  <ds:schemaRefs/>
</ds:datastoreItem>
</file>

<file path=customXml/itemProps4.xml><?xml version="1.0" encoding="utf-8"?>
<ds:datastoreItem xmlns:ds="http://schemas.openxmlformats.org/officeDocument/2006/customXml" ds:itemID="{288341B9-0A52-42A0-899E-0B0DAE194678}">
  <ds:schemaRefs/>
</ds:datastoreItem>
</file>

<file path=customXml/itemProps5.xml><?xml version="1.0" encoding="utf-8"?>
<ds:datastoreItem xmlns:ds="http://schemas.openxmlformats.org/officeDocument/2006/customXml" ds:itemID="{29011687-F244-4331-A4D9-81406585EBCF}">
  <ds:schemaRefs/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DDEBD228-0A6C-4B38-A199-6F80420AEB9E}">
  <ds:schemaRefs/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B0A2FF92-6D04-4C99-81CD-16C2C9095F1F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10A2DF84-F2E0-4D46-B17D-AE82A13D9F25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673BBB58-F0A0-4786-B51C-6EDB634CEFCC}">
  <ds:schemaRefs/>
</ds:datastoreItem>
</file>

<file path=customXml/itemProps14.xml><?xml version="1.0" encoding="utf-8"?>
<ds:datastoreItem xmlns:ds="http://schemas.openxmlformats.org/officeDocument/2006/customXml" ds:itemID="{3C6A8673-8AC9-46D3-B5D8-076226AA0D4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2026-06-12T01:42:59Z</dcterms:modified>
  <cp:category/>
  <cp:contentStatus/>
</cp:coreProperties>
</file>